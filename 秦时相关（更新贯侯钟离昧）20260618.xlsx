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ghyl\Desktop\deepseek\"/>
    </mc:Choice>
  </mc:AlternateContent>
  <bookViews>
    <workbookView windowWidth="27945" windowHeight="12255" tabRatio="808" activeTab="16"/>
  </bookViews>
  <sheets>
    <sheet name="章节掉落新版 " sheetId="41" r:id="rId1"/>
    <sheet name="新兵法" sheetId="40" r:id="rId2"/>
    <sheet name="合阵" sheetId="17" r:id="rId3"/>
    <sheet name="特殊属性装备" sheetId="38" r:id="rId4"/>
    <sheet name="图鉴汇总" sheetId="36" r:id="rId5"/>
    <sheet name="铭文" sheetId="11" r:id="rId6"/>
    <sheet name="逐鹿" sheetId="12" r:id="rId7"/>
    <sheet name="弟子首发" sheetId="3" r:id="rId8"/>
    <sheet name="神将速度" sheetId="43" r:id="rId9"/>
    <sheet name="神将25阶" sheetId="1" r:id="rId10"/>
    <sheet name="戎装" sheetId="18" r:id="rId11"/>
    <sheet name="橙装锻造" sheetId="8" r:id="rId12"/>
    <sheet name="紫装锻造" sheetId="44" r:id="rId13"/>
    <sheet name="神兵典籍" sheetId="26" r:id="rId14"/>
    <sheet name="红色汇总" sheetId="27" r:id="rId15"/>
    <sheet name="橙色典籍" sheetId="25" r:id="rId16"/>
    <sheet name="典籍属性" sheetId="23" r:id="rId17"/>
    <sheet name="典籍技能" sheetId="22" r:id="rId18"/>
    <sheet name="机关觉醒" sheetId="37" r:id="rId19"/>
    <sheet name="常用机关" sheetId="7" r:id="rId20"/>
    <sheet name="钓鱼" sheetId="30" r:id="rId21"/>
    <sheet name="六堂" sheetId="5" r:id="rId22"/>
    <sheet name="六堂属性" sheetId="42" r:id="rId23"/>
    <sheet name="战匣丹囊" sheetId="34" r:id="rId24"/>
    <sheet name="守护神" sheetId="19" r:id="rId25"/>
    <sheet name="灵宝" sheetId="29" r:id="rId26"/>
    <sheet name="紫色典籍" sheetId="24" r:id="rId27"/>
    <sheet name="紫色装备锻造" sheetId="28" r:id="rId28"/>
    <sheet name="账号升级" sheetId="6" r:id="rId29"/>
    <sheet name="弟子升金" sheetId="21" r:id="rId30"/>
    <sheet name="兵法" sheetId="10" r:id="rId31"/>
    <sheet name="卡册" sheetId="13" r:id="rId32"/>
    <sheet name="百家卡副属性" sheetId="14" r:id="rId33"/>
    <sheet name="金蟾试炼" sheetId="15" r:id="rId34"/>
    <sheet name="小圣" sheetId="16" r:id="rId35"/>
    <sheet name="神将图鉴" sheetId="35" r:id="rId36"/>
    <sheet name="图鉴" sheetId="4" r:id="rId37"/>
    <sheet name="章节掉落" sheetId="32" r:id="rId38"/>
    <sheet name="其他装备" sheetId="20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<sst xmlns="http://schemas.openxmlformats.org/spreadsheetml/2006/main" count="21364" uniqueCount="4656">
  <si>
    <t>第56章</t>
  </si>
  <si>
    <t>高级招募券</t>
  </si>
  <si>
    <t>白羽绸衣</t>
  </si>
  <si>
    <t>天问</t>
  </si>
  <si>
    <t>章节</t>
  </si>
  <si>
    <t>声望奖励</t>
  </si>
  <si>
    <t>第55章</t>
  </si>
  <si>
    <t>精钢管设计图</t>
  </si>
  <si>
    <t>醉梦</t>
  </si>
  <si>
    <t>巨阙</t>
  </si>
  <si>
    <t>赤霄</t>
  </si>
  <si>
    <t>第54章</t>
  </si>
  <si>
    <t>精钢底座设计图</t>
  </si>
  <si>
    <t>纵横战袍</t>
  </si>
  <si>
    <t>秋骊</t>
  </si>
  <si>
    <t>河图</t>
  </si>
  <si>
    <t>第53章</t>
  </si>
  <si>
    <t>青铜螺栓设计图</t>
  </si>
  <si>
    <t>苍云甲</t>
  </si>
  <si>
    <t>墨眉</t>
  </si>
  <si>
    <t>黄金牡丹</t>
  </si>
  <si>
    <t>第52章</t>
  </si>
  <si>
    <t>月华战袍</t>
  </si>
  <si>
    <t>管事</t>
  </si>
  <si>
    <t>醉梦罗裳</t>
  </si>
  <si>
    <t>第51章</t>
  </si>
  <si>
    <t>虎魄</t>
  </si>
  <si>
    <t>第50章</t>
  </si>
  <si>
    <t>玄铁箱设计图</t>
  </si>
  <si>
    <t>黄帝内经</t>
  </si>
  <si>
    <t>第49章</t>
  </si>
  <si>
    <t>玄铁关节设计图</t>
  </si>
  <si>
    <t>白玉君子佩</t>
  </si>
  <si>
    <t>第48章</t>
  </si>
  <si>
    <t>玄铁外壳设计图</t>
  </si>
  <si>
    <t>第47章</t>
  </si>
  <si>
    <t>号钟琴</t>
  </si>
  <si>
    <t>星云</t>
  </si>
  <si>
    <t>乱神</t>
  </si>
  <si>
    <t>残虹</t>
  </si>
  <si>
    <t>第46章</t>
  </si>
  <si>
    <t>双剑魍魉</t>
  </si>
  <si>
    <t>真龙黑袍</t>
  </si>
  <si>
    <t>断水</t>
  </si>
  <si>
    <t>论语</t>
  </si>
  <si>
    <t>第45章</t>
  </si>
  <si>
    <t>非攻</t>
  </si>
  <si>
    <t>天河霓裳</t>
  </si>
  <si>
    <t>木剑</t>
  </si>
  <si>
    <t>罡星戒</t>
  </si>
  <si>
    <t>第44章</t>
  </si>
  <si>
    <t>真刚</t>
  </si>
  <si>
    <t>升雪</t>
  </si>
  <si>
    <t>破阵霸王枪</t>
  </si>
  <si>
    <t xml:space="preserve"> </t>
  </si>
  <si>
    <t>第43章</t>
  </si>
  <si>
    <t>灭魂</t>
  </si>
  <si>
    <t>文曲服</t>
  </si>
  <si>
    <t>羽刃</t>
  </si>
  <si>
    <t>太阿</t>
  </si>
  <si>
    <t>第42章</t>
  </si>
  <si>
    <t>雪霁</t>
  </si>
  <si>
    <t>水寒</t>
  </si>
  <si>
    <t>橙防丹归一</t>
  </si>
  <si>
    <t>第41章</t>
  </si>
  <si>
    <t>凌虚</t>
  </si>
  <si>
    <t>转魄</t>
  </si>
  <si>
    <t>橙攻丹寂灭</t>
  </si>
  <si>
    <t>第40章</t>
  </si>
  <si>
    <t>橙血丹无形</t>
  </si>
  <si>
    <t>第39章</t>
  </si>
  <si>
    <t>道德经</t>
  </si>
  <si>
    <t>第38章</t>
  </si>
  <si>
    <t>精卫石</t>
  </si>
  <si>
    <t>第37章</t>
  </si>
  <si>
    <t>第36章</t>
  </si>
  <si>
    <t>第35章</t>
  </si>
  <si>
    <t>第34章</t>
  </si>
  <si>
    <t>吕老伯</t>
  </si>
  <si>
    <t>第33章</t>
  </si>
  <si>
    <t>第32章</t>
  </si>
  <si>
    <t>第31章</t>
  </si>
  <si>
    <t>第30章</t>
  </si>
  <si>
    <t>嬴政</t>
  </si>
  <si>
    <t>杀手服</t>
  </si>
  <si>
    <t>麒麟刺</t>
  </si>
  <si>
    <t>嗜血双匕</t>
  </si>
  <si>
    <t>第29章</t>
  </si>
  <si>
    <t>机关手</t>
  </si>
  <si>
    <t>无双腕轮</t>
  </si>
  <si>
    <t>刈鹿刃</t>
  </si>
  <si>
    <t>第28章</t>
  </si>
  <si>
    <t>机关伞</t>
  </si>
  <si>
    <t>解牛刀</t>
  </si>
  <si>
    <t>雷神锤</t>
  </si>
  <si>
    <t>第27章</t>
  </si>
  <si>
    <t>瞬飞轮</t>
  </si>
  <si>
    <t>獬豸锦袍</t>
  </si>
  <si>
    <t>玉箫</t>
  </si>
  <si>
    <t>神农令</t>
  </si>
  <si>
    <t>第26章</t>
  </si>
  <si>
    <t>链蛇软剑</t>
  </si>
  <si>
    <t>第25章</t>
  </si>
  <si>
    <t>剑士服</t>
  </si>
  <si>
    <t>第24章</t>
  </si>
  <si>
    <t>连环锁子甲</t>
  </si>
  <si>
    <t>六韬</t>
  </si>
  <si>
    <t>第23章</t>
  </si>
  <si>
    <t>天蚕幻彩衣</t>
  </si>
  <si>
    <t>狼牙爪</t>
  </si>
  <si>
    <t>神行符</t>
  </si>
  <si>
    <t>第22章</t>
  </si>
  <si>
    <t>魍魉</t>
  </si>
  <si>
    <t>银针</t>
  </si>
  <si>
    <t>第21章</t>
  </si>
  <si>
    <t>天明</t>
  </si>
  <si>
    <t>商君匕</t>
  </si>
  <si>
    <t>三略</t>
  </si>
  <si>
    <t>第20章</t>
  </si>
  <si>
    <t>少羽</t>
  </si>
  <si>
    <t>龙纹长枪</t>
  </si>
  <si>
    <t>霸天令</t>
  </si>
  <si>
    <t>第19章</t>
  </si>
  <si>
    <t>石兰</t>
  </si>
  <si>
    <t>管子</t>
  </si>
  <si>
    <t>龙啸</t>
  </si>
  <si>
    <t>第18章</t>
  </si>
  <si>
    <t>逍遥子</t>
  </si>
  <si>
    <t>儒家弟子服</t>
  </si>
  <si>
    <t>第17章</t>
  </si>
  <si>
    <t>高月</t>
  </si>
  <si>
    <t>宫廷华服</t>
  </si>
  <si>
    <t>刺客列传</t>
  </si>
  <si>
    <t>第16章</t>
  </si>
  <si>
    <t>贵族佩剑</t>
  </si>
  <si>
    <t>驱虎令</t>
  </si>
  <si>
    <t>第15章</t>
  </si>
  <si>
    <t>机关蛇</t>
  </si>
  <si>
    <t>粗布衣</t>
  </si>
  <si>
    <t>第14章</t>
  </si>
  <si>
    <t>铁爪</t>
  </si>
  <si>
    <t>第13章</t>
  </si>
  <si>
    <t>旷修</t>
  </si>
  <si>
    <t>第12章</t>
  </si>
  <si>
    <t>破土七郎</t>
  </si>
  <si>
    <t>第11章</t>
  </si>
  <si>
    <t>长矛</t>
  </si>
  <si>
    <t>升雪凌霄衣</t>
  </si>
  <si>
    <t>第10章</t>
  </si>
  <si>
    <t>赤练</t>
  </si>
  <si>
    <t>长棍</t>
  </si>
  <si>
    <t>第9章</t>
  </si>
  <si>
    <t>盗跖</t>
  </si>
  <si>
    <t>疾电披风</t>
  </si>
  <si>
    <t>藤木弓</t>
  </si>
  <si>
    <t>星云法衣</t>
  </si>
  <si>
    <t>第8章</t>
  </si>
  <si>
    <t>公输仇</t>
  </si>
  <si>
    <t>第7章</t>
  </si>
  <si>
    <t>铁剑</t>
  </si>
  <si>
    <t>第6章</t>
  </si>
  <si>
    <t>墨家弟子服</t>
  </si>
  <si>
    <t>第5章</t>
  </si>
  <si>
    <t>绣花布衣</t>
  </si>
  <si>
    <t>第4章</t>
  </si>
  <si>
    <t>青铜战甲</t>
  </si>
  <si>
    <t>第3章</t>
  </si>
  <si>
    <t>第2章</t>
  </si>
  <si>
    <t>匕首</t>
  </si>
  <si>
    <t>第1章</t>
  </si>
  <si>
    <t>英雄关卡</t>
  </si>
  <si>
    <t>大司命</t>
  </si>
  <si>
    <t>八爪铁蜈蚣</t>
  </si>
  <si>
    <t>夜行衣</t>
  </si>
  <si>
    <t>龙且</t>
  </si>
  <si>
    <t>林兵法</t>
  </si>
  <si>
    <t>阴兵法</t>
  </si>
  <si>
    <t>阶</t>
  </si>
  <si>
    <t>基础属性</t>
  </si>
  <si>
    <t>熟练度</t>
  </si>
  <si>
    <t>进阶条件</t>
  </si>
  <si>
    <t>熟练上限</t>
  </si>
  <si>
    <t>演练单次
需要号角</t>
  </si>
  <si>
    <t>每级需
要号角</t>
  </si>
  <si>
    <t>需要号
角总量</t>
  </si>
  <si>
    <t>真言（%）</t>
  </si>
  <si>
    <t>每级需
要碎片</t>
  </si>
  <si>
    <t>需要碎
片总量</t>
  </si>
  <si>
    <t>额外属性</t>
  </si>
  <si>
    <t>血</t>
  </si>
  <si>
    <t>内力</t>
  </si>
  <si>
    <t>攻</t>
  </si>
  <si>
    <t>防</t>
  </si>
  <si>
    <t>林之印记</t>
  </si>
  <si>
    <t>功勋</t>
  </si>
  <si>
    <t>灵（内力）</t>
  </si>
  <si>
    <t>禅（血）</t>
  </si>
  <si>
    <t>统（PVP速）</t>
  </si>
  <si>
    <t>追加伤害</t>
  </si>
  <si>
    <t>护盾</t>
  </si>
  <si>
    <t>暴伤减免</t>
  </si>
  <si>
    <t>阴之印记</t>
  </si>
  <si>
    <t>号角</t>
  </si>
  <si>
    <t>真伤抵抗</t>
  </si>
  <si>
    <t>殇</t>
  </si>
  <si>
    <t>1.0-2.5</t>
  </si>
  <si>
    <t>0.0%</t>
  </si>
  <si>
    <t>1.0%</t>
  </si>
  <si>
    <t>2.0-3.6</t>
  </si>
  <si>
    <t>2.0%</t>
  </si>
  <si>
    <t>3.1-4.8</t>
  </si>
  <si>
    <t>3.0%</t>
  </si>
  <si>
    <t>4.3-6.1</t>
  </si>
  <si>
    <t>4.0%</t>
  </si>
  <si>
    <t>5.6-7.5</t>
  </si>
  <si>
    <t>5.0%</t>
  </si>
  <si>
    <t>7.0-9.0</t>
  </si>
  <si>
    <t>6.0%</t>
  </si>
  <si>
    <t>8.5-10.6</t>
  </si>
  <si>
    <t>7.0%</t>
  </si>
  <si>
    <t>10.1-12.3</t>
  </si>
  <si>
    <t>8.0%</t>
  </si>
  <si>
    <t>11.8-14.1</t>
  </si>
  <si>
    <t>9.0%</t>
  </si>
  <si>
    <t>13.6-16.0</t>
  </si>
  <si>
    <t>10.0%</t>
  </si>
  <si>
    <t>合计</t>
  </si>
  <si>
    <t>11.0%</t>
  </si>
  <si>
    <t>12.0%</t>
  </si>
  <si>
    <t>单次演练</t>
  </si>
  <si>
    <t>号角总量</t>
  </si>
  <si>
    <t>极</t>
  </si>
  <si>
    <t>碎片总量</t>
  </si>
  <si>
    <t>13.0%</t>
  </si>
  <si>
    <t>15.5-18.0</t>
  </si>
  <si>
    <t>14.0%</t>
  </si>
  <si>
    <t>17.5-20.1</t>
  </si>
  <si>
    <t>15.0%</t>
  </si>
  <si>
    <t>19.6-22.3</t>
  </si>
  <si>
    <t>16.0%</t>
  </si>
  <si>
    <t>21.9-24.7</t>
  </si>
  <si>
    <t>24.4-27.3</t>
  </si>
  <si>
    <t>27.0-30.0</t>
  </si>
  <si>
    <t>山兵法</t>
  </si>
  <si>
    <t>雷兵法</t>
  </si>
  <si>
    <t>山之印记</t>
  </si>
  <si>
    <t>裂（暴击）</t>
  </si>
  <si>
    <t>洽(抗暴击)</t>
  </si>
  <si>
    <t>统(PVP速)</t>
  </si>
  <si>
    <t>暴击伤害</t>
  </si>
  <si>
    <t>雷之印记</t>
  </si>
  <si>
    <t>中级闪避</t>
  </si>
  <si>
    <t>盛</t>
  </si>
  <si>
    <t>风兵法</t>
  </si>
  <si>
    <t>风之印记</t>
  </si>
  <si>
    <t>齐（防御）</t>
  </si>
  <si>
    <t>镖（攻击）</t>
  </si>
  <si>
    <t>火兵法</t>
  </si>
  <si>
    <t>心（减免）</t>
  </si>
  <si>
    <t>解（穿透）</t>
  </si>
  <si>
    <t>火之印记</t>
  </si>
  <si>
    <t>次数</t>
  </si>
  <si>
    <t>所需阵眼石</t>
  </si>
  <si>
    <t>合阵名称</t>
  </si>
  <si>
    <t>弟子名称</t>
  </si>
  <si>
    <t>位置</t>
  </si>
  <si>
    <t>妙法阴阳</t>
  </si>
  <si>
    <t>东皇太一</t>
  </si>
  <si>
    <t>旗开得胜</t>
  </si>
  <si>
    <t>神·寒蝉吴旷</t>
  </si>
  <si>
    <t>太极两仪</t>
  </si>
  <si>
    <t>神红莲赤练</t>
  </si>
  <si>
    <t>焱妃</t>
  </si>
  <si>
    <t>神·蚩魔卫庄</t>
  </si>
  <si>
    <t>神墨家雪女</t>
  </si>
  <si>
    <t>星魂</t>
  </si>
  <si>
    <t>神·湘夫人</t>
  </si>
  <si>
    <t>神极诣星魂</t>
  </si>
  <si>
    <t>月神</t>
  </si>
  <si>
    <t>神·燕丹</t>
  </si>
  <si>
    <t>神素华少司命</t>
  </si>
  <si>
    <t>云中君</t>
  </si>
  <si>
    <t>神·王翦</t>
  </si>
  <si>
    <t>神太虚月神</t>
  </si>
  <si>
    <t>湘君</t>
  </si>
  <si>
    <t>神·胜七</t>
  </si>
  <si>
    <t>神森罗大司命</t>
  </si>
  <si>
    <t>湘夫人</t>
  </si>
  <si>
    <t>神·少司命</t>
  </si>
  <si>
    <t>神兰轩紫女</t>
  </si>
  <si>
    <t>帝国霸业</t>
  </si>
  <si>
    <t>戎装嬴政</t>
  </si>
  <si>
    <t>神·星魂</t>
  </si>
  <si>
    <t>神凤吟弄玉</t>
  </si>
  <si>
    <t>王翦</t>
  </si>
  <si>
    <t>胜友如云</t>
  </si>
  <si>
    <t>神·大铁锤</t>
  </si>
  <si>
    <t>潜龙在渊</t>
  </si>
  <si>
    <t>神潜蛟韩信</t>
  </si>
  <si>
    <t>章邯</t>
  </si>
  <si>
    <t>神·扶苏</t>
  </si>
  <si>
    <t>神赤霄刘季</t>
  </si>
  <si>
    <t>胡亥</t>
  </si>
  <si>
    <t>神·蒙恬</t>
  </si>
  <si>
    <t>神惊鲵田言</t>
  </si>
  <si>
    <t>残虹盖聂</t>
  </si>
  <si>
    <t>神·湘君</t>
  </si>
  <si>
    <t>神梅三娘</t>
  </si>
  <si>
    <t>赵高</t>
  </si>
  <si>
    <t>神·田光</t>
  </si>
  <si>
    <t>神荼蘼田蜜</t>
  </si>
  <si>
    <t>兵临城下</t>
  </si>
  <si>
    <t>项羽</t>
  </si>
  <si>
    <t>神·朱家</t>
  </si>
  <si>
    <t>神霸道田虎</t>
  </si>
  <si>
    <t>范增</t>
  </si>
  <si>
    <t>神·大司命</t>
  </si>
  <si>
    <t>神秋水晓梦</t>
  </si>
  <si>
    <t>季布</t>
  </si>
  <si>
    <t>神·月神</t>
  </si>
  <si>
    <t>神龙骧章邯</t>
  </si>
  <si>
    <t>钟离昧</t>
  </si>
  <si>
    <t>云布雨施</t>
  </si>
  <si>
    <t>神·镜仙端木蓉</t>
  </si>
  <si>
    <t>虞子期</t>
  </si>
  <si>
    <t>神·丽姬</t>
  </si>
  <si>
    <t>英布</t>
  </si>
  <si>
    <t>神·惊鲵</t>
  </si>
  <si>
    <t>兼爱平生</t>
  </si>
  <si>
    <t>燕丹</t>
  </si>
  <si>
    <t>神·天宗晓梦</t>
  </si>
  <si>
    <t>琴师高渐离</t>
  </si>
  <si>
    <t>神·诺敏</t>
  </si>
  <si>
    <t>乐师雪女</t>
  </si>
  <si>
    <t>神·晓梦</t>
  </si>
  <si>
    <t>医仙端木蓉</t>
  </si>
  <si>
    <t>神·高渐离</t>
  </si>
  <si>
    <t>木剑盖聂</t>
  </si>
  <si>
    <t>神·赤练</t>
  </si>
  <si>
    <t>黑衣张良</t>
  </si>
  <si>
    <t>施号发令</t>
  </si>
  <si>
    <t>神·真刚</t>
  </si>
  <si>
    <t>以剑论道</t>
  </si>
  <si>
    <t>伏念</t>
  </si>
  <si>
    <t>神·李斯</t>
  </si>
  <si>
    <t>颜路</t>
  </si>
  <si>
    <t>神·高月</t>
  </si>
  <si>
    <t>张良</t>
  </si>
  <si>
    <t>神·虞姬</t>
  </si>
  <si>
    <t>晓梦大师</t>
  </si>
  <si>
    <t>神·王离</t>
  </si>
  <si>
    <t>胜七</t>
  </si>
  <si>
    <t>神·田赐</t>
  </si>
  <si>
    <t>扶苏</t>
  </si>
  <si>
    <t>神·雪女</t>
  </si>
  <si>
    <t>纵横捭阖</t>
  </si>
  <si>
    <t>鬼谷子</t>
  </si>
  <si>
    <t>神·章邯</t>
  </si>
  <si>
    <t>盖聂</t>
  </si>
  <si>
    <t>令不虚行</t>
  </si>
  <si>
    <t>神·项羽</t>
  </si>
  <si>
    <t>卫庄</t>
  </si>
  <si>
    <t>神·嬴政</t>
  </si>
  <si>
    <t>魔化卫庄</t>
  </si>
  <si>
    <t>神·颜路</t>
  </si>
  <si>
    <t>紫女</t>
  </si>
  <si>
    <t>神·东皇太一</t>
  </si>
  <si>
    <t>白凤凰</t>
  </si>
  <si>
    <t>神·龙且</t>
  </si>
  <si>
    <t>红莲</t>
  </si>
  <si>
    <t>神·典庆</t>
  </si>
  <si>
    <t>意气奋发</t>
  </si>
  <si>
    <t>少年盖聂</t>
  </si>
  <si>
    <t>神·盖聂</t>
  </si>
  <si>
    <t>少年卫庄</t>
  </si>
  <si>
    <t>行侠好义</t>
  </si>
  <si>
    <t>神·荆天明</t>
  </si>
  <si>
    <t>少年白凤</t>
  </si>
  <si>
    <t>神·伏念</t>
  </si>
  <si>
    <t>弄玉</t>
  </si>
  <si>
    <t>神·焱妃</t>
  </si>
  <si>
    <t>墨鸦</t>
  </si>
  <si>
    <t>神·胡姬</t>
  </si>
  <si>
    <t>少司命</t>
  </si>
  <si>
    <t>神·小黎</t>
  </si>
  <si>
    <t>小灵</t>
  </si>
  <si>
    <t>神·钟离昧</t>
  </si>
  <si>
    <t>小黎</t>
  </si>
  <si>
    <t>神·田言</t>
  </si>
  <si>
    <t>地泽二十四</t>
  </si>
  <si>
    <t>朱家</t>
  </si>
  <si>
    <t>神·卫庄</t>
  </si>
  <si>
    <t>田虎</t>
  </si>
  <si>
    <t>义薄云天</t>
  </si>
  <si>
    <t>神·巨阙陈胜</t>
  </si>
  <si>
    <t>田言</t>
  </si>
  <si>
    <t>神·紫女</t>
  </si>
  <si>
    <t>田蜜</t>
  </si>
  <si>
    <t>神·李牧</t>
  </si>
  <si>
    <t>田仲</t>
  </si>
  <si>
    <t>神·云中君</t>
  </si>
  <si>
    <t>司徒万里</t>
  </si>
  <si>
    <t>神·赵高</t>
  </si>
  <si>
    <t>刘邦</t>
  </si>
  <si>
    <t>神·田蜜</t>
  </si>
  <si>
    <t>军神韩信</t>
  </si>
  <si>
    <t>神·端木蓉</t>
  </si>
  <si>
    <t>黑剑士胜七</t>
  </si>
  <si>
    <t>神·田仲</t>
  </si>
  <si>
    <t>金先生</t>
  </si>
  <si>
    <t>天光云影</t>
  </si>
  <si>
    <t>神·水寒高渐离</t>
  </si>
  <si>
    <t>田赐</t>
  </si>
  <si>
    <t>神·逍遥子</t>
  </si>
  <si>
    <t>典庆</t>
  </si>
  <si>
    <t>神·张良</t>
  </si>
  <si>
    <t>神·白凤</t>
  </si>
  <si>
    <t>满级所需阵眼石 52个</t>
  </si>
  <si>
    <t>神·吴旷</t>
  </si>
  <si>
    <t>神·刘邦</t>
  </si>
  <si>
    <t>神·田虎</t>
  </si>
  <si>
    <t>影形不离</t>
  </si>
  <si>
    <t>神·渊虹盖聂</t>
  </si>
  <si>
    <t>20%追伤6</t>
  </si>
  <si>
    <t>神·荆轲</t>
  </si>
  <si>
    <t>16%攻3</t>
  </si>
  <si>
    <t>神·掩日</t>
  </si>
  <si>
    <t>16%内力4</t>
  </si>
  <si>
    <t>神·墨鸦</t>
  </si>
  <si>
    <t>18%血5</t>
  </si>
  <si>
    <t>神·季布</t>
  </si>
  <si>
    <t>14%内力2</t>
  </si>
  <si>
    <t>神·英布</t>
  </si>
  <si>
    <t>神·司徒万里</t>
  </si>
  <si>
    <t>14%防1</t>
  </si>
  <si>
    <t>神·韩信</t>
  </si>
  <si>
    <t>阵眼石</t>
  </si>
  <si>
    <t>合阵19</t>
  </si>
  <si>
    <t>主将126</t>
  </si>
  <si>
    <t>助阵1</t>
  </si>
  <si>
    <t>助阵2</t>
  </si>
  <si>
    <t>助阵3</t>
  </si>
  <si>
    <t>助阵4</t>
  </si>
  <si>
    <t>助阵5</t>
  </si>
  <si>
    <t>助阵6</t>
  </si>
  <si>
    <t>无</t>
  </si>
  <si>
    <t>神少司命</t>
  </si>
  <si>
    <t>神大司命</t>
  </si>
  <si>
    <t>神天宗晓梦</t>
  </si>
  <si>
    <t>神王离</t>
  </si>
  <si>
    <t>神颜路</t>
  </si>
  <si>
    <t>神田言</t>
  </si>
  <si>
    <t>神田蜜</t>
  </si>
  <si>
    <t>神白凤</t>
  </si>
  <si>
    <t>神英布</t>
  </si>
  <si>
    <t>武器名称</t>
  </si>
  <si>
    <t>主属性</t>
  </si>
  <si>
    <t>橙色副属性</t>
  </si>
  <si>
    <t>橙金副属性</t>
  </si>
  <si>
    <t>红色副属性</t>
  </si>
  <si>
    <t>红金副属性</t>
  </si>
  <si>
    <t>防具名称</t>
  </si>
  <si>
    <t>饰品名称</t>
  </si>
  <si>
    <t>圣诞长枪</t>
  </si>
  <si>
    <t>5%血</t>
  </si>
  <si>
    <t xml:space="preserve">10%血   </t>
  </si>
  <si>
    <t>吉祥如意</t>
  </si>
  <si>
    <t>圣诞铃铛</t>
  </si>
  <si>
    <t>火灵簪</t>
  </si>
  <si>
    <t>5%穿透</t>
  </si>
  <si>
    <t>血族斗篷</t>
  </si>
  <si>
    <t>和氏璧</t>
  </si>
  <si>
    <t>10%血</t>
  </si>
  <si>
    <t>霜血双剑</t>
  </si>
  <si>
    <t>百战金龙服</t>
  </si>
  <si>
    <t>三军虎符</t>
  </si>
  <si>
    <t>5%攻</t>
  </si>
  <si>
    <t>10%攻</t>
  </si>
  <si>
    <t>南瓜灯笼</t>
  </si>
  <si>
    <t xml:space="preserve">8%攻  </t>
  </si>
  <si>
    <t xml:space="preserve">8%血  </t>
  </si>
  <si>
    <t>暂未开放</t>
  </si>
  <si>
    <t>龙魂黑金袍</t>
  </si>
  <si>
    <t xml:space="preserve">10%攻   </t>
  </si>
  <si>
    <t>貔貅玩偶</t>
  </si>
  <si>
    <t>8%攻</t>
  </si>
  <si>
    <t>8%血</t>
  </si>
  <si>
    <t>朔日辉光</t>
  </si>
  <si>
    <t xml:space="preserve">  5%穿透</t>
  </si>
  <si>
    <t>8%穿透</t>
  </si>
  <si>
    <t>10%穿透</t>
  </si>
  <si>
    <t xml:space="preserve">15%穿透 </t>
  </si>
  <si>
    <t>流焰袍</t>
  </si>
  <si>
    <t>5%减伤</t>
  </si>
  <si>
    <t>火魅耳环</t>
  </si>
  <si>
    <t>5%抗暴</t>
  </si>
  <si>
    <t>逆鳞</t>
  </si>
  <si>
    <t>10%减伤</t>
  </si>
  <si>
    <t>凝血衣</t>
  </si>
  <si>
    <t>化枯冠</t>
  </si>
  <si>
    <t>黑白玄翦</t>
  </si>
  <si>
    <t>15%血</t>
  </si>
  <si>
    <t>圣诞斗篷</t>
  </si>
  <si>
    <t>月光耳坠</t>
  </si>
  <si>
    <t>5%暴击</t>
  </si>
  <si>
    <t>20%血</t>
  </si>
  <si>
    <t>25%血</t>
  </si>
  <si>
    <t>30%血</t>
  </si>
  <si>
    <t>8%暴击</t>
  </si>
  <si>
    <t>清风宝扇</t>
  </si>
  <si>
    <t xml:space="preserve">5%攻  </t>
  </si>
  <si>
    <t xml:space="preserve">10%减伤 </t>
  </si>
  <si>
    <t>藏刃衣</t>
  </si>
  <si>
    <t>寒霜挂坠</t>
  </si>
  <si>
    <t>20%攻</t>
  </si>
  <si>
    <t>25%攻</t>
  </si>
  <si>
    <t>30%攻</t>
  </si>
  <si>
    <t>煞魂蛇噬</t>
  </si>
  <si>
    <t>虎头鞋</t>
  </si>
  <si>
    <t xml:space="preserve">10%血  </t>
  </si>
  <si>
    <t>秦时周年历</t>
  </si>
  <si>
    <t>血矛</t>
  </si>
  <si>
    <t>5%暴伤</t>
  </si>
  <si>
    <t>地煞魔铠</t>
  </si>
  <si>
    <t>15%攻</t>
  </si>
  <si>
    <t>8%暴伤</t>
  </si>
  <si>
    <t>10%暴伤</t>
  </si>
  <si>
    <t>虎年勋章</t>
  </si>
  <si>
    <t>永恒之夜</t>
  </si>
  <si>
    <t>赤眉衣</t>
  </si>
  <si>
    <t xml:space="preserve">5%血  </t>
  </si>
  <si>
    <t>结晶神座</t>
  </si>
  <si>
    <t>玄冥甲</t>
  </si>
  <si>
    <t>花间雾</t>
  </si>
  <si>
    <t>元帅服</t>
  </si>
  <si>
    <t>暗夜凶影</t>
  </si>
  <si>
    <t>神兵武器名称</t>
  </si>
  <si>
    <t>神兵防具名称</t>
  </si>
  <si>
    <t>神兵饰品名称</t>
  </si>
  <si>
    <t>神兵墨眉</t>
  </si>
  <si>
    <t xml:space="preserve">5%防  </t>
  </si>
  <si>
    <t>神兵苍云甲</t>
  </si>
  <si>
    <t>神兵珊瑚樽</t>
  </si>
  <si>
    <t>神兵残虹</t>
  </si>
  <si>
    <t>神兵凌霄衣</t>
  </si>
  <si>
    <t xml:space="preserve">6%攻  </t>
  </si>
  <si>
    <t xml:space="preserve">6%血  </t>
  </si>
  <si>
    <t xml:space="preserve">12%血  </t>
  </si>
  <si>
    <t xml:space="preserve">10%攻  </t>
  </si>
  <si>
    <t xml:space="preserve">15%血  </t>
  </si>
  <si>
    <t>神兵道宝玉</t>
  </si>
  <si>
    <t>神兵霸王枪</t>
  </si>
  <si>
    <t>神兵醉梦</t>
  </si>
  <si>
    <t>神兵女神泪</t>
  </si>
  <si>
    <t>神兵玄翦</t>
  </si>
  <si>
    <t xml:space="preserve">20%血  </t>
  </si>
  <si>
    <t>神兵万象</t>
  </si>
  <si>
    <t>神兵金乌</t>
  </si>
  <si>
    <t xml:space="preserve">15%攻  </t>
  </si>
  <si>
    <t>神兵真刚</t>
  </si>
  <si>
    <t>神兵藏刃衣</t>
  </si>
  <si>
    <t>神兵冰魄戒</t>
  </si>
  <si>
    <t>神兵渊虹</t>
  </si>
  <si>
    <t xml:space="preserve">7%攻  </t>
  </si>
  <si>
    <t>15%暴伤</t>
  </si>
  <si>
    <t>神兵幽兰</t>
  </si>
  <si>
    <t xml:space="preserve">25%血  </t>
  </si>
  <si>
    <t>神兵百鸟</t>
  </si>
  <si>
    <t>神兵水寒</t>
  </si>
  <si>
    <t>神兵蛟龙甲</t>
  </si>
  <si>
    <t>神兵神农令</t>
  </si>
  <si>
    <t>神兵凤鸟</t>
  </si>
  <si>
    <t>神兵星云</t>
  </si>
  <si>
    <t>15%穿透</t>
  </si>
  <si>
    <t>神兵玉玺</t>
  </si>
  <si>
    <t>神兵蚩尤</t>
  </si>
  <si>
    <t xml:space="preserve">20%攻  </t>
  </si>
  <si>
    <t>神兵纵横</t>
  </si>
  <si>
    <t>6%减伤</t>
  </si>
  <si>
    <t>15%减伤</t>
  </si>
  <si>
    <t>神兵共工戒</t>
  </si>
  <si>
    <t>神兵雷神锤</t>
  </si>
  <si>
    <t>神兵管事服</t>
  </si>
  <si>
    <t>神兵白玉</t>
  </si>
  <si>
    <t>神兵寒蝉</t>
  </si>
  <si>
    <t xml:space="preserve">7%血  </t>
  </si>
  <si>
    <t xml:space="preserve">9%血  </t>
  </si>
  <si>
    <t>神兵赤眉衣</t>
  </si>
  <si>
    <t>神兵和氏璧</t>
  </si>
  <si>
    <t>10%抗暴</t>
  </si>
  <si>
    <t>神兵巨阙</t>
  </si>
  <si>
    <t>神兵流焰袍</t>
  </si>
  <si>
    <t>神兵火魅耳环</t>
  </si>
  <si>
    <t>15%抗暴</t>
  </si>
  <si>
    <t>神兵链蛇</t>
  </si>
  <si>
    <t xml:space="preserve">9%攻  </t>
  </si>
  <si>
    <t xml:space="preserve">12%攻  </t>
  </si>
  <si>
    <t xml:space="preserve">16%攻  </t>
  </si>
  <si>
    <t>神兵月狼锦纱</t>
  </si>
  <si>
    <t>6%抗暴</t>
  </si>
  <si>
    <t>8%抗暴</t>
  </si>
  <si>
    <t>神兵化枯冠</t>
  </si>
  <si>
    <t>神兵衍天</t>
  </si>
  <si>
    <t>神兵凝血衣</t>
  </si>
  <si>
    <t>神兵花间雾</t>
  </si>
  <si>
    <t>神兵天问</t>
  </si>
  <si>
    <t>神兵玄冥甲</t>
  </si>
  <si>
    <t>神兵神座</t>
  </si>
  <si>
    <t>神兵秋骊</t>
  </si>
  <si>
    <t>神兵白羽</t>
  </si>
  <si>
    <t>6%穿透</t>
  </si>
  <si>
    <t>神兵牡丹</t>
  </si>
  <si>
    <t>10%暴击</t>
  </si>
  <si>
    <t>神兵羽刃</t>
  </si>
  <si>
    <t>神兵魔铠</t>
  </si>
  <si>
    <t xml:space="preserve">25%攻  </t>
  </si>
  <si>
    <t>神兵寒霜</t>
  </si>
  <si>
    <t xml:space="preserve">30%攻  </t>
  </si>
  <si>
    <t>神兵雪霁</t>
  </si>
  <si>
    <t>神兵元帅服</t>
  </si>
  <si>
    <t>神兵凶影</t>
  </si>
  <si>
    <t>神兵煞魂</t>
  </si>
  <si>
    <t>神兵圣贤服</t>
  </si>
  <si>
    <t>15%暴击</t>
  </si>
  <si>
    <t>神兵月光</t>
  </si>
  <si>
    <t>6%暴击</t>
  </si>
  <si>
    <t xml:space="preserve">30%血  </t>
  </si>
  <si>
    <t>12%暴击</t>
  </si>
  <si>
    <t>神兵无极刃</t>
  </si>
  <si>
    <t>神兵剑侠衣</t>
  </si>
  <si>
    <t>8%减伤</t>
  </si>
  <si>
    <t>神兵鬼谷戒</t>
  </si>
  <si>
    <t>神兵掩日</t>
  </si>
  <si>
    <t>神兵月华</t>
  </si>
  <si>
    <t>神兵虎符</t>
  </si>
  <si>
    <t>神兵潜蛟</t>
  </si>
  <si>
    <t>神兵赤霄</t>
  </si>
  <si>
    <t>神兵穿甲弩</t>
  </si>
  <si>
    <t>神兵火灵簪</t>
  </si>
  <si>
    <t>神兵惊鲵</t>
  </si>
  <si>
    <t>神兵撼地镰</t>
  </si>
  <si>
    <t xml:space="preserve">10%防  </t>
  </si>
  <si>
    <t>神兵霜血</t>
  </si>
  <si>
    <t>神兵环刃</t>
  </si>
  <si>
    <t>神兵血矛</t>
  </si>
  <si>
    <t>神兵镇岳</t>
  </si>
  <si>
    <t>神兵逆鳞</t>
  </si>
  <si>
    <t>神兵太阿</t>
  </si>
  <si>
    <t>神兵宝扇</t>
  </si>
  <si>
    <t>神兵虎魄</t>
  </si>
  <si>
    <t>神兵永夜</t>
  </si>
  <si>
    <t>神兵龙骧</t>
  </si>
  <si>
    <t>神兵辉光</t>
  </si>
  <si>
    <t>10%血量</t>
  </si>
  <si>
    <t>神兵号钟琴</t>
  </si>
  <si>
    <t>神兵鲨齿</t>
  </si>
  <si>
    <t>神兵非攻</t>
  </si>
  <si>
    <t>神兵新渊</t>
  </si>
  <si>
    <t>神兵腾龙枪</t>
  </si>
  <si>
    <t>5%减免</t>
  </si>
  <si>
    <t>10%减免</t>
  </si>
  <si>
    <t>神兵破阵弓</t>
  </si>
  <si>
    <t>紫色0锻</t>
  </si>
  <si>
    <t>锻造↓</t>
  </si>
  <si>
    <t>紫色1锻</t>
  </si>
  <si>
    <t>紫色2锻</t>
  </si>
  <si>
    <t>紫色3锻</t>
  </si>
  <si>
    <t>紫色4锻</t>
  </si>
  <si>
    <t>紫色5锻</t>
  </si>
  <si>
    <t>橙色0锻</t>
  </si>
  <si>
    <t>熔铸→</t>
  </si>
  <si>
    <t>红色0锻</t>
  </si>
  <si>
    <t>橙色1锻</t>
  </si>
  <si>
    <t>红色1锻</t>
  </si>
  <si>
    <t>橙色2锻</t>
  </si>
  <si>
    <t>红色2锻</t>
  </si>
  <si>
    <t>橙色3锻</t>
  </si>
  <si>
    <t>红色3锻</t>
  </si>
  <si>
    <t>橙色4锻</t>
  </si>
  <si>
    <t>红色4锻</t>
  </si>
  <si>
    <t>橙色5锻</t>
  </si>
  <si>
    <t>红色5锻</t>
  </si>
  <si>
    <t>橙金</t>
  </si>
  <si>
    <t>红色6锻</t>
  </si>
  <si>
    <t>红色7锻</t>
  </si>
  <si>
    <t>红色8锻</t>
  </si>
  <si>
    <t>红色9锻</t>
  </si>
  <si>
    <t>红色10锻</t>
  </si>
  <si>
    <t>红金</t>
  </si>
  <si>
    <t>5--6</t>
  </si>
  <si>
    <t>7--8</t>
  </si>
  <si>
    <t>9--10</t>
  </si>
  <si>
    <t>获取途径</t>
  </si>
  <si>
    <t>所属图鉴</t>
  </si>
  <si>
    <t>图鉴等级</t>
  </si>
  <si>
    <t>暗潮汹涌</t>
  </si>
  <si>
    <t>棋阵/招募</t>
  </si>
  <si>
    <t>非攻墨门</t>
  </si>
  <si>
    <t>独黑斗篷</t>
  </si>
  <si>
    <t>冰魄戒</t>
  </si>
  <si>
    <t>千抽</t>
  </si>
  <si>
    <t>阴符经</t>
  </si>
  <si>
    <t>庄园</t>
  </si>
  <si>
    <t>阴阳轮转</t>
  </si>
  <si>
    <t>乐经</t>
  </si>
  <si>
    <t>墨子</t>
  </si>
  <si>
    <t>楼兰/招募</t>
  </si>
  <si>
    <t>万象法袍</t>
  </si>
  <si>
    <t>共工戒</t>
  </si>
  <si>
    <t>凤鸣</t>
  </si>
  <si>
    <t>五德终始</t>
  </si>
  <si>
    <t>鲨齿</t>
  </si>
  <si>
    <t>聚散流沙</t>
  </si>
  <si>
    <t>洛书</t>
  </si>
  <si>
    <t>棋阵/论剑</t>
  </si>
  <si>
    <t>黄石天书</t>
  </si>
  <si>
    <t>女神之泪</t>
  </si>
  <si>
    <t>奇遇</t>
  </si>
  <si>
    <t>大秦帝国</t>
  </si>
  <si>
    <t>商君书</t>
  </si>
  <si>
    <t>传国玉玺</t>
  </si>
  <si>
    <t>五行相生</t>
  </si>
  <si>
    <t>棋阵</t>
  </si>
  <si>
    <t>齐鲁三杰</t>
  </si>
  <si>
    <t>易经</t>
  </si>
  <si>
    <t>47-10/42-10</t>
  </si>
  <si>
    <t>棋阵/千抽</t>
  </si>
  <si>
    <t>门派</t>
  </si>
  <si>
    <t>蜃楼/招募</t>
  </si>
  <si>
    <t>鬼谷纵横</t>
  </si>
  <si>
    <t>蜃楼</t>
  </si>
  <si>
    <t>七海蛟龙甲</t>
  </si>
  <si>
    <t>君临霸王枪</t>
  </si>
  <si>
    <t>亡秦必楚</t>
  </si>
  <si>
    <t>庄子</t>
  </si>
  <si>
    <t>天人合一</t>
  </si>
  <si>
    <t>46-10/18-10</t>
  </si>
  <si>
    <t>魂店</t>
  </si>
  <si>
    <t>孙子兵法</t>
  </si>
  <si>
    <t>天罡斧</t>
  </si>
  <si>
    <t>渊虹</t>
  </si>
  <si>
    <t>逆天转地</t>
  </si>
  <si>
    <t>上农</t>
  </si>
  <si>
    <t>孟子</t>
  </si>
  <si>
    <t>涟衣</t>
  </si>
  <si>
    <t>花影</t>
  </si>
  <si>
    <t>韩信</t>
  </si>
  <si>
    <t>三十六计</t>
  </si>
  <si>
    <t>空山鸟语</t>
  </si>
  <si>
    <t>姬无夜</t>
  </si>
  <si>
    <t>蚩尤</t>
  </si>
  <si>
    <t>龙腾万里</t>
  </si>
  <si>
    <t>小貅貅</t>
  </si>
  <si>
    <t>晏子春秋</t>
  </si>
  <si>
    <t>农家六堂</t>
  </si>
  <si>
    <t>千面</t>
  </si>
  <si>
    <t>列子</t>
  </si>
  <si>
    <t>饮血刃</t>
  </si>
  <si>
    <t>战国策</t>
  </si>
  <si>
    <t>帮派</t>
  </si>
  <si>
    <t>神农不死</t>
  </si>
  <si>
    <t>天命轮</t>
  </si>
  <si>
    <t>元戎</t>
  </si>
  <si>
    <t>门派/魂店</t>
  </si>
  <si>
    <t>干将莫邪</t>
  </si>
  <si>
    <t>寒蝉</t>
  </si>
  <si>
    <t>管事服</t>
  </si>
  <si>
    <t>镇天刀</t>
  </si>
  <si>
    <t>胡姬</t>
  </si>
  <si>
    <t>上郡危机</t>
  </si>
  <si>
    <t>将星蒙恬</t>
  </si>
  <si>
    <t>诺敏</t>
  </si>
  <si>
    <t>公子扶苏</t>
  </si>
  <si>
    <t>禁地</t>
  </si>
  <si>
    <t>夜幕墨鸦</t>
  </si>
  <si>
    <t>身手不凡</t>
  </si>
  <si>
    <t>李牧</t>
  </si>
  <si>
    <t>掩日</t>
  </si>
  <si>
    <t>肃杀真刚</t>
  </si>
  <si>
    <t>一统天下</t>
  </si>
  <si>
    <t>夜幕白凤</t>
  </si>
  <si>
    <t>惊鲵</t>
  </si>
  <si>
    <t>秦王嬴政</t>
  </si>
  <si>
    <t>刺客荆轲</t>
  </si>
  <si>
    <t>青龙计划</t>
  </si>
  <si>
    <t>罗网赵高</t>
  </si>
  <si>
    <t>秦二世</t>
  </si>
  <si>
    <t>兵家王翦</t>
  </si>
  <si>
    <t>东君焱妃</t>
  </si>
  <si>
    <t>蜃楼暗涌</t>
  </si>
  <si>
    <t>丽姬</t>
  </si>
  <si>
    <t>胡非子</t>
  </si>
  <si>
    <t>相国李斯</t>
  </si>
  <si>
    <t>太子燕丹</t>
  </si>
  <si>
    <t>公孙龙子</t>
  </si>
  <si>
    <t>荆天明</t>
  </si>
  <si>
    <t>远古龙魂</t>
  </si>
  <si>
    <t>圣王伏念</t>
  </si>
  <si>
    <t>修行</t>
  </si>
  <si>
    <t>小圣贤庄</t>
  </si>
  <si>
    <t>田光</t>
  </si>
  <si>
    <t>谋圣张良</t>
  </si>
  <si>
    <t>寒蝉吴旷</t>
  </si>
  <si>
    <t>奇门遁甲</t>
  </si>
  <si>
    <t>寒蝉雷阙</t>
  </si>
  <si>
    <t>虞姬</t>
  </si>
  <si>
    <t>人宗逍遥子</t>
  </si>
  <si>
    <t>春秋</t>
  </si>
  <si>
    <t>徐福</t>
  </si>
  <si>
    <t>镜仙端木蓉</t>
  </si>
  <si>
    <t>群芳争艳</t>
  </si>
  <si>
    <t>舜</t>
  </si>
  <si>
    <t>含光颜路</t>
  </si>
  <si>
    <t>南公</t>
  </si>
  <si>
    <t>燕月儿</t>
  </si>
  <si>
    <t>森罗大司命</t>
  </si>
  <si>
    <t>渊虹盖聂</t>
  </si>
  <si>
    <t>娥皇女英</t>
  </si>
  <si>
    <t>蚩魔卫庄</t>
  </si>
  <si>
    <t>赤霄刘季</t>
  </si>
  <si>
    <t>以戈止伐</t>
  </si>
  <si>
    <t>巨阙陈胜</t>
  </si>
  <si>
    <t>韩非子</t>
  </si>
  <si>
    <t>无极东皇</t>
  </si>
  <si>
    <t>水寒高渐离</t>
  </si>
  <si>
    <t>兰轩紫女</t>
  </si>
  <si>
    <t>墨家雪女</t>
  </si>
  <si>
    <t>龙魂小黎</t>
  </si>
  <si>
    <t>红莲赤练</t>
  </si>
  <si>
    <t>聚神/奇遇</t>
  </si>
  <si>
    <t>阴阳消长</t>
  </si>
  <si>
    <t>太虚月神</t>
  </si>
  <si>
    <t>楚王项羽</t>
  </si>
  <si>
    <t>极诣星魂</t>
  </si>
  <si>
    <t>虎伺田猎</t>
  </si>
  <si>
    <t>惊鲵田言</t>
  </si>
  <si>
    <t>力士大铁锤</t>
  </si>
  <si>
    <t>梅三娘</t>
  </si>
  <si>
    <t>王权问鼎</t>
  </si>
  <si>
    <t>龙骧章邯</t>
  </si>
  <si>
    <t>王离</t>
  </si>
  <si>
    <t>碧海珊瑚樽</t>
  </si>
  <si>
    <t>流沙无形</t>
  </si>
  <si>
    <t>神·森罗大司命</t>
  </si>
  <si>
    <t>天宗晓梦</t>
  </si>
  <si>
    <t>幽兰素裳</t>
  </si>
  <si>
    <t>侠道非攻</t>
  </si>
  <si>
    <t>聚神</t>
  </si>
  <si>
    <t>神·太虚月神</t>
  </si>
  <si>
    <t>流沙紫女</t>
  </si>
  <si>
    <t>天罗地网</t>
  </si>
  <si>
    <t>素华少司命</t>
  </si>
  <si>
    <t>神·梅三娘</t>
  </si>
  <si>
    <t>逝者如川</t>
  </si>
  <si>
    <t>潜蛟韩信</t>
  </si>
  <si>
    <t>神·凤吟弄玉</t>
  </si>
  <si>
    <t>无极黑袍</t>
  </si>
  <si>
    <t>蓄势待发</t>
  </si>
  <si>
    <t>荼蘼田蜜</t>
  </si>
  <si>
    <t>神·王道少羽</t>
  </si>
  <si>
    <t>百战穿甲弩</t>
  </si>
  <si>
    <t>霸道田虎</t>
  </si>
  <si>
    <t>桑海之城</t>
  </si>
  <si>
    <t>秋水晓梦</t>
  </si>
  <si>
    <t>天照</t>
  </si>
  <si>
    <t>神·胡亥</t>
  </si>
  <si>
    <t>淬毒环刃</t>
  </si>
  <si>
    <t>鹰视狼顾</t>
  </si>
  <si>
    <t>神·惊鲵田言</t>
  </si>
  <si>
    <t>神·霸道田虎</t>
  </si>
  <si>
    <t>含光</t>
  </si>
  <si>
    <t>图鉴升级</t>
  </si>
  <si>
    <t>需要明鬼绳结</t>
  </si>
  <si>
    <t>需要魂魄</t>
  </si>
  <si>
    <t>需要装备</t>
  </si>
  <si>
    <t>获得成长值</t>
  </si>
  <si>
    <t>等级</t>
  </si>
  <si>
    <t>全体攻</t>
  </si>
  <si>
    <t>全体血</t>
  </si>
  <si>
    <t>全体内力</t>
  </si>
  <si>
    <t>全体防</t>
  </si>
  <si>
    <t>神·秋水晓梦</t>
  </si>
  <si>
    <t>无极刃</t>
  </si>
  <si>
    <t>1-2</t>
  </si>
  <si>
    <t>神·兰轩紫女</t>
  </si>
  <si>
    <t>百鸟信物</t>
  </si>
  <si>
    <t>神·红莲赤练</t>
  </si>
  <si>
    <t>2-3</t>
  </si>
  <si>
    <t>3-4</t>
  </si>
  <si>
    <t>4-5</t>
  </si>
  <si>
    <t>神·墨家雪女</t>
  </si>
  <si>
    <t>左传</t>
  </si>
  <si>
    <t>5-6</t>
  </si>
  <si>
    <t>6-7</t>
  </si>
  <si>
    <t>禁地返场</t>
  </si>
  <si>
    <t>7-8</t>
  </si>
  <si>
    <t>属性</t>
  </si>
  <si>
    <t>镇岳</t>
  </si>
  <si>
    <t>8-9</t>
  </si>
  <si>
    <t>论剑前五</t>
  </si>
  <si>
    <t>满级</t>
  </si>
  <si>
    <t>9-10</t>
  </si>
  <si>
    <t>个数</t>
  </si>
  <si>
    <t>月狼锦纱</t>
  </si>
  <si>
    <t>10-11</t>
  </si>
  <si>
    <t>总数值</t>
  </si>
  <si>
    <t>神·潜蛟韩信</t>
  </si>
  <si>
    <t>圣贤服</t>
  </si>
  <si>
    <t>11-12</t>
  </si>
  <si>
    <t>门派/返场</t>
  </si>
  <si>
    <t>神·赤霄刘季</t>
  </si>
  <si>
    <t>12-13</t>
  </si>
  <si>
    <t>蜃楼东渡</t>
  </si>
  <si>
    <t>神·荼蘼田蜜</t>
  </si>
  <si>
    <t>13-14</t>
  </si>
  <si>
    <t>神·龙骧章邯</t>
  </si>
  <si>
    <t>龙骧</t>
  </si>
  <si>
    <t>14-15</t>
  </si>
  <si>
    <t>神·侠道天明</t>
  </si>
  <si>
    <t>墨梅</t>
  </si>
  <si>
    <t>15-16</t>
  </si>
  <si>
    <t>蓬莱仙书</t>
  </si>
  <si>
    <r>
      <t>金1</t>
    </r>
    <r>
      <rPr>
        <b/>
        <sz val="10"/>
        <color theme="1" tint="0.05"/>
        <rFont val="宋体"/>
        <charset val="134"/>
      </rPr>
      <t>8</t>
    </r>
  </si>
  <si>
    <t>木19</t>
  </si>
  <si>
    <r>
      <t>水2</t>
    </r>
    <r>
      <rPr>
        <b/>
        <sz val="10"/>
        <color theme="1" tint="0.05"/>
        <rFont val="宋体"/>
        <charset val="134"/>
      </rPr>
      <t>4</t>
    </r>
  </si>
  <si>
    <t>火22</t>
  </si>
  <si>
    <t>土17</t>
  </si>
  <si>
    <t>16-17</t>
  </si>
  <si>
    <t>神王道少羽</t>
  </si>
  <si>
    <t>瑶瑶</t>
  </si>
  <si>
    <t>神将威龙且</t>
  </si>
  <si>
    <t>神鲨齿卫庄</t>
  </si>
  <si>
    <t>17-18</t>
  </si>
  <si>
    <t>攻20</t>
  </si>
  <si>
    <t>血26</t>
  </si>
  <si>
    <t>神鬼谷盖聂</t>
  </si>
  <si>
    <t>神侠道天明</t>
  </si>
  <si>
    <t>神逆天而行</t>
  </si>
  <si>
    <t>18-19</t>
  </si>
  <si>
    <t>内力0</t>
  </si>
  <si>
    <t>防9</t>
  </si>
  <si>
    <t>19-20</t>
  </si>
  <si>
    <t>联动10</t>
  </si>
  <si>
    <t>神黑龙天</t>
  </si>
  <si>
    <t>紫色</t>
  </si>
  <si>
    <t>神寒蝉吴旷</t>
  </si>
  <si>
    <t>神镜仙端木蓉</t>
  </si>
  <si>
    <t>神天泽</t>
  </si>
  <si>
    <t>神巨阙陈胜</t>
  </si>
  <si>
    <t>橙色</t>
  </si>
  <si>
    <t>神真刚</t>
  </si>
  <si>
    <t>神逍遥子</t>
  </si>
  <si>
    <t>神蚩魔卫庄</t>
  </si>
  <si>
    <t>绿色</t>
  </si>
  <si>
    <t>数量</t>
  </si>
  <si>
    <t>神嬴政</t>
  </si>
  <si>
    <t>神扶苏</t>
  </si>
  <si>
    <t>神水寒高渐离</t>
  </si>
  <si>
    <t>神李斯</t>
  </si>
  <si>
    <t>金色</t>
  </si>
  <si>
    <t>总属性加成</t>
  </si>
  <si>
    <t>神紫女</t>
  </si>
  <si>
    <t>神韩非</t>
  </si>
  <si>
    <t>神渊虹盖聂</t>
  </si>
  <si>
    <t>神大铁锤</t>
  </si>
  <si>
    <t>神荆轲</t>
  </si>
  <si>
    <t>神云中君</t>
  </si>
  <si>
    <t>神黑白玄翦</t>
  </si>
  <si>
    <t>神湘君</t>
  </si>
  <si>
    <t>神伏念</t>
  </si>
  <si>
    <t>神燕丹</t>
  </si>
  <si>
    <t>神小黎</t>
  </si>
  <si>
    <t>神王翦</t>
  </si>
  <si>
    <t>神李牧</t>
  </si>
  <si>
    <t>神胡姬</t>
  </si>
  <si>
    <t>神项羽</t>
  </si>
  <si>
    <t>神丽姬</t>
  </si>
  <si>
    <t>神田光</t>
  </si>
  <si>
    <t>神胡亥</t>
  </si>
  <si>
    <t>神虞姬</t>
  </si>
  <si>
    <t>神高月</t>
  </si>
  <si>
    <t>神湘夫人</t>
  </si>
  <si>
    <t>神焰灵姬</t>
  </si>
  <si>
    <t>神墨鸦</t>
  </si>
  <si>
    <t>神张良</t>
  </si>
  <si>
    <t>神蒙恬</t>
  </si>
  <si>
    <t>神惊鲵</t>
  </si>
  <si>
    <t>禁地/修行</t>
  </si>
  <si>
    <t>神典庆</t>
  </si>
  <si>
    <t>神吴旷</t>
  </si>
  <si>
    <t>神赵高</t>
  </si>
  <si>
    <t>神掩日</t>
  </si>
  <si>
    <t>神田赐</t>
  </si>
  <si>
    <t>神季布</t>
  </si>
  <si>
    <t>神诺敏</t>
  </si>
  <si>
    <t>神东皇太一</t>
  </si>
  <si>
    <t>神章邯</t>
  </si>
  <si>
    <t>神司徒万里</t>
  </si>
  <si>
    <t>神白亦非</t>
  </si>
  <si>
    <t>神焱妃</t>
  </si>
  <si>
    <t>神赤练</t>
  </si>
  <si>
    <t>神韩信</t>
  </si>
  <si>
    <t>神荆天明</t>
  </si>
  <si>
    <t>神龙且</t>
  </si>
  <si>
    <t>神星魂</t>
  </si>
  <si>
    <t>神月神</t>
  </si>
  <si>
    <t>神端木蓉</t>
  </si>
  <si>
    <t>神田仲</t>
  </si>
  <si>
    <t>神胜七</t>
  </si>
  <si>
    <t>神钟离昧</t>
  </si>
  <si>
    <t>神朱家</t>
  </si>
  <si>
    <t>神田虎</t>
  </si>
  <si>
    <t>神晓梦</t>
  </si>
  <si>
    <t>神刘邦</t>
  </si>
  <si>
    <t>神卫庄</t>
  </si>
  <si>
    <t>神盖聂</t>
  </si>
  <si>
    <t>神雪女</t>
  </si>
  <si>
    <t>神高渐离</t>
  </si>
  <si>
    <t>魂店/修行</t>
  </si>
  <si>
    <t>魂店/庄园</t>
  </si>
  <si>
    <t>绝版</t>
  </si>
  <si>
    <t>天遁</t>
  </si>
  <si>
    <t>地遁</t>
  </si>
  <si>
    <t>人遁</t>
  </si>
  <si>
    <t>风遁</t>
  </si>
  <si>
    <t>云遁</t>
  </si>
  <si>
    <t>龙遁</t>
  </si>
  <si>
    <t>虎遁</t>
  </si>
  <si>
    <t>神遁</t>
  </si>
  <si>
    <t>鬼遁</t>
  </si>
  <si>
    <t>天相</t>
  </si>
  <si>
    <t>流沙赤练</t>
  </si>
  <si>
    <t>剑圣盖聂</t>
  </si>
  <si>
    <t>流沙卫庄</t>
  </si>
  <si>
    <t>墨家端木蓉</t>
  </si>
  <si>
    <t>姬如千泷</t>
  </si>
  <si>
    <t>西蜀石兰</t>
  </si>
  <si>
    <t>侠道天明</t>
  </si>
  <si>
    <t>霸王少羽</t>
  </si>
  <si>
    <t>高渐离</t>
  </si>
  <si>
    <t>焰灵姬</t>
  </si>
  <si>
    <t>白亦非</t>
  </si>
  <si>
    <t>凤吟弄玉</t>
  </si>
  <si>
    <t>将威龙且</t>
  </si>
  <si>
    <t>鲨齿卫庄</t>
  </si>
  <si>
    <t>天泽</t>
  </si>
  <si>
    <t>王道少羽</t>
  </si>
  <si>
    <t>流沙韩非</t>
  </si>
  <si>
    <t>鬼谷盖聂</t>
  </si>
  <si>
    <t>贯侯钟离昧</t>
  </si>
  <si>
    <t>天同</t>
  </si>
  <si>
    <t>天梁</t>
  </si>
  <si>
    <t>天府</t>
  </si>
  <si>
    <t>墨眉天明</t>
  </si>
  <si>
    <t>天机</t>
  </si>
  <si>
    <t>神镜湖医仙</t>
  </si>
  <si>
    <t>神贯侯钟离昧</t>
  </si>
  <si>
    <t>逐鹿商城</t>
  </si>
  <si>
    <t>（每日刷新）</t>
  </si>
  <si>
    <t>7固定+1随机？</t>
  </si>
  <si>
    <t>进度要求</t>
  </si>
  <si>
    <t>道具</t>
  </si>
  <si>
    <t>赛季</t>
  </si>
  <si>
    <t>紫书1（紫）</t>
  </si>
  <si>
    <t>紫书2（橙）</t>
  </si>
  <si>
    <t>紫书3（紫）</t>
  </si>
  <si>
    <t>紫书4（橙）</t>
  </si>
  <si>
    <t>紫/橙书1（红）</t>
  </si>
  <si>
    <t>紫/橙书2（橙）</t>
  </si>
  <si>
    <t>烤山鸡</t>
  </si>
  <si>
    <t>所需进度</t>
  </si>
  <si>
    <t>解锁所需进度</t>
  </si>
  <si>
    <t>出现频率</t>
  </si>
  <si>
    <t>每日上限</t>
  </si>
  <si>
    <t>单价/逐鹿币</t>
  </si>
  <si>
    <t>总价/逐鹿币</t>
  </si>
  <si>
    <t>所需元宝</t>
  </si>
  <si>
    <t>元宝</t>
  </si>
  <si>
    <t>消耗元宝</t>
  </si>
  <si>
    <t>天赋强化石</t>
  </si>
  <si>
    <t>必然固定</t>
  </si>
  <si>
    <t>真人丹</t>
  </si>
  <si>
    <t>2021.7</t>
  </si>
  <si>
    <t>孟子（紫）</t>
  </si>
  <si>
    <t>三略（橙）</t>
  </si>
  <si>
    <t>易经（紫）</t>
  </si>
  <si>
    <t>六韬（橙）</t>
  </si>
  <si>
    <t>36计（红）</t>
  </si>
  <si>
    <t>列子（橙）</t>
  </si>
  <si>
    <t>红将激活石</t>
  </si>
  <si>
    <t>聚仙丹</t>
  </si>
  <si>
    <t>伍德终始（紫）</t>
  </si>
  <si>
    <t>易经（橙）</t>
  </si>
  <si>
    <t>刺客列传（紫）</t>
  </si>
  <si>
    <t>乐经（橙）</t>
  </si>
  <si>
    <t>孙子兵法（红）</t>
  </si>
  <si>
    <t>礼经（橙）</t>
  </si>
  <si>
    <t>红将进化石</t>
  </si>
  <si>
    <t>御鬼丹</t>
  </si>
  <si>
    <t>庄子（紫）</t>
  </si>
  <si>
    <t>管子（橙）</t>
  </si>
  <si>
    <t>管子（紫）</t>
  </si>
  <si>
    <t>庄子（橙）</t>
  </si>
  <si>
    <t>胡非子（红）</t>
  </si>
  <si>
    <t>孙子兵法（橙）</t>
  </si>
  <si>
    <t>技能进化石</t>
  </si>
  <si>
    <t>随机</t>
  </si>
  <si>
    <r>
      <rPr>
        <sz val="11"/>
        <rFont val="宋体"/>
        <charset val="134"/>
      </rPr>
      <t>2021.1</t>
    </r>
    <r>
      <rPr>
        <sz val="11"/>
        <rFont val="宋体"/>
        <charset val="134"/>
      </rPr>
      <t>0</t>
    </r>
  </si>
  <si>
    <t>胡非子（紫）</t>
  </si>
  <si>
    <t>春秋（橙）</t>
  </si>
  <si>
    <t>南公（紫）</t>
  </si>
  <si>
    <t>晏子春秋（橙）</t>
  </si>
  <si>
    <t>阴符经（红）</t>
  </si>
  <si>
    <t>论语（橙）</t>
  </si>
  <si>
    <t>红色锻造石</t>
  </si>
  <si>
    <t>蕴灵丹</t>
  </si>
  <si>
    <t>乐经（紫）</t>
  </si>
  <si>
    <t>南公（橙）</t>
  </si>
  <si>
    <t>上农（橙）</t>
  </si>
  <si>
    <t>道德经（红）</t>
  </si>
  <si>
    <t>黄帝内经（橙）</t>
  </si>
  <si>
    <t>初级铭文包</t>
  </si>
  <si>
    <t>金树银铃</t>
  </si>
  <si>
    <t>春秋（紫）</t>
  </si>
  <si>
    <t>阴符经（橙）</t>
  </si>
  <si>
    <t>晏子春秋（紫）</t>
  </si>
  <si>
    <t>洛书（橙）</t>
  </si>
  <si>
    <t>上农（红）</t>
  </si>
  <si>
    <t>河图（橙）</t>
  </si>
  <si>
    <t>中级铭文包</t>
  </si>
  <si>
    <t>锦书残卷</t>
  </si>
  <si>
    <t>三略（紫）</t>
  </si>
  <si>
    <t>公孙龙子（橙）</t>
  </si>
  <si>
    <t>六韬（紫）</t>
  </si>
  <si>
    <t>胡非子（橙）</t>
  </si>
  <si>
    <t>墨子（红）</t>
  </si>
  <si>
    <t>商君书（橙）</t>
  </si>
  <si>
    <t>淬火印记</t>
  </si>
  <si>
    <t>上农（紫）</t>
  </si>
  <si>
    <t>孟子（橙）</t>
  </si>
  <si>
    <t>洛书（紫）</t>
  </si>
  <si>
    <t>36计（橙）</t>
  </si>
  <si>
    <t>黄石天书（红）</t>
  </si>
  <si>
    <t>战国策（橙）</t>
  </si>
  <si>
    <t>阴符经（紫）</t>
  </si>
  <si>
    <t>伍德终始（橙）</t>
  </si>
  <si>
    <t>36计（紫）</t>
  </si>
  <si>
    <t>刺客列传（橙）</t>
  </si>
  <si>
    <t>庄子（红）</t>
  </si>
  <si>
    <t>道德经（橙）</t>
  </si>
  <si>
    <t>陨铁</t>
  </si>
  <si>
    <t>洛书（红）</t>
  </si>
  <si>
    <t>墨子（橙）</t>
  </si>
  <si>
    <t>炼器符</t>
  </si>
  <si>
    <t>珍兽鳞甲</t>
  </si>
  <si>
    <t>聚神印</t>
  </si>
  <si>
    <t>金沙</t>
  </si>
  <si>
    <t>驱邪令</t>
  </si>
  <si>
    <t>金羽</t>
  </si>
  <si>
    <t>武器精粹</t>
  </si>
  <si>
    <t>防具精粹</t>
  </si>
  <si>
    <t>2022.10</t>
  </si>
  <si>
    <t>饰品精粹</t>
  </si>
  <si>
    <t>典籍精粹</t>
  </si>
  <si>
    <t>花元宝买次数</t>
  </si>
  <si>
    <t>每日上限10次</t>
  </si>
  <si>
    <t>单次消耗元宝</t>
  </si>
  <si>
    <t>累计消耗元宝</t>
  </si>
  <si>
    <t>技能灵符</t>
  </si>
  <si>
    <t>2023.10</t>
  </si>
  <si>
    <t>武器进化石</t>
  </si>
  <si>
    <t>防具进化石</t>
  </si>
  <si>
    <t>饰品进化石</t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</si>
  <si>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024.01</t>
    </r>
  </si>
  <si>
    <t>典籍进化石</t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</si>
  <si>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024.02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</si>
  <si>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024.03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</si>
  <si>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024.04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</si>
  <si>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024.05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</si>
  <si>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024.06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</si>
  <si>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024.07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</si>
  <si>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024.08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</si>
  <si>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024.09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</si>
  <si>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024.10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</si>
  <si>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024.11</t>
    </r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</si>
  <si>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024.12</t>
    </r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</si>
  <si>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</si>
  <si>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</si>
  <si>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</si>
  <si>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</si>
  <si>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</si>
  <si>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</si>
  <si>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</si>
  <si>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</si>
  <si>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</si>
  <si>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</si>
  <si>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</si>
  <si>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</si>
  <si>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</si>
  <si>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</si>
  <si>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</si>
  <si>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</si>
  <si>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</si>
  <si>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</si>
  <si>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</si>
  <si>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</si>
  <si>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</si>
  <si>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</si>
  <si>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</si>
  <si>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</si>
  <si>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弟子</t>
  </si>
  <si>
    <t>时间</t>
  </si>
  <si>
    <t>2019-01-10</t>
  </si>
  <si>
    <t>2020-01-16</t>
  </si>
  <si>
    <t>2022-01-31</t>
  </si>
  <si>
    <t>2023-01-21</t>
  </si>
  <si>
    <t>2019-02-04</t>
  </si>
  <si>
    <t>2020-02-13</t>
  </si>
  <si>
    <t>2021-02-04</t>
  </si>
  <si>
    <t>2019-03-07</t>
  </si>
  <si>
    <t>2020-03-12</t>
  </si>
  <si>
    <t>2019-04-11</t>
  </si>
  <si>
    <t>2020-04-16</t>
  </si>
  <si>
    <t>2021-04-08</t>
  </si>
  <si>
    <t>2022-04-07</t>
  </si>
  <si>
    <t>2023-04-27</t>
  </si>
  <si>
    <t>圣光伏念</t>
  </si>
  <si>
    <t>2019-05-04</t>
  </si>
  <si>
    <t>2020-05-14</t>
  </si>
  <si>
    <t>2019-06-13</t>
  </si>
  <si>
    <t>2020-06-11</t>
  </si>
  <si>
    <t>2021-06-17</t>
  </si>
  <si>
    <t>2022-06-02</t>
  </si>
  <si>
    <t>2023-06-22</t>
  </si>
  <si>
    <t>2018-07-05</t>
  </si>
  <si>
    <t>2019-07-11</t>
  </si>
  <si>
    <t>2020-07-23</t>
  </si>
  <si>
    <t>2018-08-09</t>
  </si>
  <si>
    <t>2019-08-15</t>
  </si>
  <si>
    <t>2020-08-20</t>
  </si>
  <si>
    <t>2021-08-05</t>
  </si>
  <si>
    <t>2022-08-11</t>
  </si>
  <si>
    <t>2023-08-17</t>
  </si>
  <si>
    <t>2018-09-06</t>
  </si>
  <si>
    <t>2019-09-12</t>
  </si>
  <si>
    <t>2018-10-01</t>
  </si>
  <si>
    <t>2019-10-05</t>
  </si>
  <si>
    <t>2020-10-01</t>
  </si>
  <si>
    <t>2021-10-01</t>
  </si>
  <si>
    <t>2022-10-01</t>
  </si>
  <si>
    <t>2023-09-28</t>
  </si>
  <si>
    <t>2018-11-08</t>
  </si>
  <si>
    <t>2019-11-07</t>
  </si>
  <si>
    <t>2020-11-26</t>
  </si>
  <si>
    <t>2018-12-13</t>
  </si>
  <si>
    <t>2019-12-12</t>
  </si>
  <si>
    <t>2021-12-02</t>
  </si>
  <si>
    <t>2022-12-08</t>
  </si>
  <si>
    <t>2023-12-7</t>
  </si>
  <si>
    <t>2025-01-02</t>
  </si>
  <si>
    <t>2024-02-08</t>
  </si>
  <si>
    <t>2026-02-12</t>
  </si>
  <si>
    <t>2025-03-20</t>
  </si>
  <si>
    <t>2024-04-18</t>
  </si>
  <si>
    <t>2026-04-02</t>
  </si>
  <si>
    <t>2025-05-15</t>
  </si>
  <si>
    <t>白亦非、焰灵姬</t>
  </si>
  <si>
    <t>2024-06-13</t>
  </si>
  <si>
    <t>2026-06-18</t>
  </si>
  <si>
    <t>2025-07-17</t>
  </si>
  <si>
    <t>2024-08-15</t>
  </si>
  <si>
    <t>2024-10-01</t>
  </si>
  <si>
    <t>2025-10-01</t>
  </si>
  <si>
    <t>2024-11-21</t>
  </si>
  <si>
    <t>王道少羽
侠道天明</t>
  </si>
  <si>
    <t>2025-11-13</t>
  </si>
  <si>
    <t>编号</t>
  </si>
  <si>
    <t>名称</t>
  </si>
  <si>
    <t>神将编号</t>
  </si>
  <si>
    <t>神将名称</t>
  </si>
  <si>
    <t>初始速度</t>
  </si>
  <si>
    <t>墨家弟子</t>
  </si>
  <si>
    <t>少年天明</t>
  </si>
  <si>
    <t>儒家弟子</t>
  </si>
  <si>
    <t>少年项羽</t>
  </si>
  <si>
    <t>道家弟子</t>
  </si>
  <si>
    <t>少年高月</t>
  </si>
  <si>
    <t>兵家弟子</t>
  </si>
  <si>
    <t>六指黑侠</t>
  </si>
  <si>
    <t>罗网杀手</t>
  </si>
  <si>
    <t>荆轲</t>
  </si>
  <si>
    <t>罗网头领</t>
  </si>
  <si>
    <t>陪酒侍郎</t>
  </si>
  <si>
    <t>李善德</t>
  </si>
  <si>
    <t>海盗</t>
  </si>
  <si>
    <t>逆天而行</t>
  </si>
  <si>
    <t>海盗头领</t>
  </si>
  <si>
    <t>楚南公</t>
  </si>
  <si>
    <t>神水寒渐离</t>
  </si>
  <si>
    <t>黑麒麟</t>
  </si>
  <si>
    <t>项燕</t>
  </si>
  <si>
    <t>荀子</t>
  </si>
  <si>
    <t>隐蝠</t>
  </si>
  <si>
    <t>蒙恬</t>
  </si>
  <si>
    <t>蒙武</t>
  </si>
  <si>
    <t>雪女</t>
  </si>
  <si>
    <t>绝影</t>
  </si>
  <si>
    <t>大铁锤</t>
  </si>
  <si>
    <t>丁胖子</t>
  </si>
  <si>
    <t>宴懿</t>
  </si>
  <si>
    <t>项梁</t>
  </si>
  <si>
    <t>班大师</t>
  </si>
  <si>
    <t>机关无双</t>
  </si>
  <si>
    <t>端木蓉</t>
  </si>
  <si>
    <t>李斯</t>
  </si>
  <si>
    <t>苍狼王</t>
  </si>
  <si>
    <t>雁春君</t>
  </si>
  <si>
    <t>无双鬼</t>
  </si>
  <si>
    <t>公孙玲珑</t>
  </si>
  <si>
    <t>子慕</t>
  </si>
  <si>
    <t>徐夫子</t>
  </si>
  <si>
    <t>阿纲</t>
  </si>
  <si>
    <t>阿明</t>
  </si>
  <si>
    <t>阿金</t>
  </si>
  <si>
    <t>铁甲兵</t>
  </si>
  <si>
    <t>龙虎战骑</t>
  </si>
  <si>
    <t>安西镇军</t>
  </si>
  <si>
    <t>阴阳家弟子</t>
  </si>
  <si>
    <t>近卫步兵</t>
  </si>
  <si>
    <t>近卫战骑</t>
  </si>
  <si>
    <t>近卫工兵</t>
  </si>
  <si>
    <t>黄金火骑兵</t>
  </si>
  <si>
    <t>近卫火骑兵</t>
  </si>
  <si>
    <t>精锐步兵</t>
  </si>
  <si>
    <t>精锐战骑</t>
  </si>
  <si>
    <t>精锐弓兵</t>
  </si>
  <si>
    <t>精锐火骑兵</t>
  </si>
  <si>
    <t>子思</t>
  </si>
  <si>
    <t>子游</t>
  </si>
  <si>
    <t>子聪</t>
  </si>
  <si>
    <t>黑龙 天</t>
  </si>
  <si>
    <t>奇遇弟子  57个</t>
  </si>
  <si>
    <t>100神</t>
  </si>
  <si>
    <t>25阶批次</t>
  </si>
  <si>
    <t>15阶</t>
  </si>
  <si>
    <t>20阶</t>
  </si>
  <si>
    <t>25阶</t>
  </si>
  <si>
    <t>未25阶59个</t>
  </si>
  <si>
    <t>1批16个</t>
  </si>
  <si>
    <t>普通攻击后，己方随机单体获得抵抗1次非真实伤害的护盾</t>
  </si>
  <si>
    <t>在场时，己方全体提升10%技能伤害减免和抗暴击</t>
  </si>
  <si>
    <r>
      <rPr>
        <sz val="8"/>
        <color theme="1"/>
        <rFont val="宋体"/>
        <charset val="134"/>
        <scheme val="minor"/>
      </rPr>
      <t>机师位的自愈效果，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</si>
  <si>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【千人千面】附加自身内力值70%的额外伤害</t>
  </si>
  <si>
    <t>释放【千人千面】时，暴击率和技能穿透额外提升25%</t>
  </si>
  <si>
    <t>发动【千人千面】时若被控制，可消耗20%当前生命强制发动</t>
  </si>
  <si>
    <t>【九转断魂】所附带的额外伤害提升200%</t>
  </si>
  <si>
    <t>释放【九转断魂】时，暴击率和技能穿透额外提升25%</t>
  </si>
  <si>
    <t>发动【九转断魂】时若被控制，可消耗20%当前生命强制发动</t>
  </si>
  <si>
    <t>【一诺千金】附加恢复自身20%神将护盾的效果</t>
  </si>
  <si>
    <t>自身抗暴击和暴击伤害抵抗提升25%</t>
  </si>
  <si>
    <r>
      <rPr>
        <sz val="8"/>
        <color theme="1"/>
        <rFont val="宋体"/>
        <charset val="134"/>
        <scheme val="minor"/>
      </rPr>
      <t>【山之守护】的效果，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</si>
  <si>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【石破天惊】的伤害无视减免伤害</t>
  </si>
  <si>
    <t>【石破天惊】的伤害无视中级闪避</t>
  </si>
  <si>
    <r>
      <rPr>
        <sz val="8"/>
        <color theme="1"/>
        <rFont val="宋体"/>
        <charset val="134"/>
        <scheme val="minor"/>
      </rPr>
      <t>【林之庇佑】的效果，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</si>
  <si>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【烈火装甲】的效果提升至50%，且每回合转换10%防御为5%的攻击</t>
  </si>
  <si>
    <t>【龙战于野】的伤害效果进化为抹除类伤害</t>
  </si>
  <si>
    <r>
      <rPr>
        <sz val="8"/>
        <color theme="1"/>
        <rFont val="宋体"/>
        <charset val="134"/>
        <scheme val="minor"/>
      </rPr>
      <t>【烈火装甲】的效果，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</si>
  <si>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【追风弧箭】计算自身双倍的攻击和目标双倍的防御</t>
  </si>
  <si>
    <t>【追风弧箭】附加目标总血量20%的额外伤害</t>
  </si>
  <si>
    <r>
      <rPr>
        <sz val="8"/>
        <color theme="1"/>
        <rFont val="宋体"/>
        <charset val="134"/>
        <scheme val="minor"/>
      </rPr>
      <t>【风之奇袭】的效果，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</si>
  <si>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自身技能减免和技能穿透提升25%</t>
  </si>
  <si>
    <t>【春寒断掌】附加的额外伤害提升至自身损失生命的40%</t>
  </si>
  <si>
    <t>主动行动时，自身回复40%神将护盾</t>
  </si>
  <si>
    <t>2批12个</t>
  </si>
  <si>
    <t>自身暴击和暴击伤害提升25%</t>
  </si>
  <si>
    <t>【凤舞九天】附加自身攻击值的追加伤害</t>
  </si>
  <si>
    <t>神·墨鸦在场时，神·白凤开场提升40%攻击</t>
  </si>
  <si>
    <t>自身抗暴击和中级闪避提升20%</t>
  </si>
  <si>
    <t>【不祥之羽】有几率使目标残废，1回合</t>
  </si>
  <si>
    <t>神·白凤在场时，神·墨鸦开场获得内力值150%的化劲</t>
  </si>
  <si>
    <t>4批6个</t>
  </si>
  <si>
    <t>战斗中暴击和技能穿透提升25%</t>
  </si>
  <si>
    <t>【魂兮龙游】可无视技能锁定状态释放</t>
  </si>
  <si>
    <t>每次受到伤害后，攻击提升5%（最多叠加10层）</t>
  </si>
  <si>
    <t>战斗中抗暴击提升40%</t>
  </si>
  <si>
    <t>【迷踪蝶影】附加恢复自身30%神将护盾的效果</t>
  </si>
  <si>
    <t>【迷踪蝶影】额外为我方全体回复神·虞姬20%的最大生命值</t>
  </si>
  <si>
    <t>【六魂恐咒】的伤害，无视目标一半的技能减免和中级闪避</t>
  </si>
  <si>
    <t>主动行动无视自身的残废和摄魂傀儡效果</t>
  </si>
  <si>
    <t>释放【六魂恐咒】前提升20%攻击，可叠加3层</t>
  </si>
  <si>
    <t>战斗中，获得自身基础总血量15%的伤害抵抗</t>
  </si>
  <si>
    <t>【天下皆白】的治疗比率提升至15%</t>
  </si>
  <si>
    <t>在场时，敌方全体下降10%暴击和中级闪避</t>
  </si>
  <si>
    <t>战斗中抗暴击和技能减免提升25%</t>
  </si>
  <si>
    <t>【洪荒无极】附加恢复自身30%神将护盾的效果</t>
  </si>
  <si>
    <t>受到致命攻击时可抵抗阵亡且回复所有生命，并使随机2名敌人进入濒死状态
（此效果只发动1次）</t>
  </si>
  <si>
    <t>3批7个</t>
  </si>
  <si>
    <t>自身暴击和技能穿透提升25%</t>
  </si>
  <si>
    <t>敌方每有一个单位阵亡或不存在，【九死一生】额外提升10%暴击率和技能伤害</t>
  </si>
  <si>
    <t>【九死一生】不触发目标损血被动特效，并对有化劲的目标提升20%技能伤害</t>
  </si>
  <si>
    <t>自身抗暴击和技能减免提升25%</t>
  </si>
  <si>
    <t>防御值等同攻击一同参与【阴盛阳灭】的伤害计算</t>
  </si>
  <si>
    <t>在场时，敌方全体降低5%防御和受到治疗效果</t>
  </si>
  <si>
    <t>百战神机对全体敌人造成其内力值的薄命效果</t>
  </si>
  <si>
    <r>
      <rPr>
        <b/>
        <sz val="8"/>
        <color theme="1"/>
        <rFont val="宋体"/>
        <charset val="134"/>
        <scheme val="minor"/>
      </rPr>
      <t>我方全体技能穿透提升5%</t>
    </r>
    <r>
      <rPr>
        <sz val="8"/>
        <color theme="1"/>
        <rFont val="宋体"/>
        <charset val="134"/>
        <scheme val="minor"/>
      </rPr>
      <t>，神·王离在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</si>
  <si>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释放黄金之魂时，防御等同于攻击参与伤害计算</t>
  </si>
  <si>
    <t>黄金之魂可无视技能锁定状态释放</t>
  </si>
  <si>
    <t>神将护盾消耗完毕时，可无视控制额外释放黄金之魂(每回合只可发动一次)</t>
  </si>
  <si>
    <t>【致命切割】附加目标当前血量20%的额外伤害</t>
  </si>
  <si>
    <r>
      <rPr>
        <sz val="8"/>
        <color theme="1"/>
        <rFont val="宋体"/>
        <charset val="134"/>
        <scheme val="minor"/>
      </rPr>
      <t>【月狼之血】的效果，</t>
    </r>
    <r>
      <rPr>
        <b/>
        <sz val="8"/>
        <color theme="1"/>
        <rFont val="宋体"/>
        <charset val="134"/>
        <scheme val="minor"/>
      </rPr>
      <t>不在机师位时也能发动</t>
    </r>
  </si>
  <si>
    <t>自身抗暴击提升40%</t>
  </si>
  <si>
    <t>第二回合时，回复所有神将护盾</t>
  </si>
  <si>
    <t>在场时，己方全体提升10%暴击伤害抵抗</t>
  </si>
  <si>
    <t>【深渊魔影】附加目标当前血量20%的额外伤害和自身损失血量20%的追加伤害</t>
  </si>
  <si>
    <r>
      <rPr>
        <b/>
        <sz val="8"/>
        <color theme="1"/>
        <rFont val="宋体"/>
        <charset val="134"/>
        <scheme val="minor"/>
      </rPr>
      <t>我方全体暴击伤害提升10%</t>
    </r>
    <r>
      <rPr>
        <sz val="8"/>
        <color theme="1"/>
        <rFont val="宋体"/>
        <charset val="134"/>
        <scheme val="minor"/>
      </rPr>
      <t>，神·赵高在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</si>
  <si>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自身暴击和抗暴击提升25%</t>
  </si>
  <si>
    <t>发动堡垒剑阵时若被控制，可消耗10%当前生命值强行释放</t>
  </si>
  <si>
    <t>在机师位置时，我方全体提升总血量4%的追加伤害</t>
  </si>
  <si>
    <t>释放【侠义之道】时，防御和攻击一同参与伤害计算</t>
  </si>
  <si>
    <r>
      <rPr>
        <sz val="8"/>
        <color theme="1"/>
        <rFont val="宋体"/>
        <charset val="134"/>
        <scheme val="minor"/>
      </rPr>
      <t>神·田光在场时，</t>
    </r>
    <r>
      <rPr>
        <b/>
        <sz val="8"/>
        <color theme="1"/>
        <rFont val="宋体"/>
        <charset val="134"/>
        <scheme val="minor"/>
      </rPr>
      <t>敌方全体技能穿透和真伤抵抗下降5%</t>
    </r>
  </si>
  <si>
    <r>
      <rPr>
        <sz val="8"/>
        <color theme="1"/>
        <rFont val="宋体"/>
        <charset val="134"/>
        <scheme val="minor"/>
      </rPr>
      <t>突破20阶的效果，神·田光在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</si>
  <si>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自身中级闪避提升30%</t>
  </si>
  <si>
    <t>神·张良和神·伏念在场时，三人技能减免提升20%</t>
  </si>
  <si>
    <t>在场时，神·伏念可无视目标中级闪避</t>
  </si>
  <si>
    <t>【决胜千里】附加自身内力值80%的额外伤害</t>
  </si>
  <si>
    <t>神·颜路和神·伏念在场时，三人暴击伤害提升30%</t>
  </si>
  <si>
    <t>在场时，神·伏念可无视目标抗暴</t>
  </si>
  <si>
    <t>自身暴击伤害提升50%</t>
  </si>
  <si>
    <t>神·颜路和神·张良在场时，三人攻击提升25%</t>
  </si>
  <si>
    <t>神·张良、神·颜路和神·伏念开场可获得三人防御总和2倍的化劲值</t>
  </si>
  <si>
    <t>【白露欺霜】附加自身总血量20%的追加伤害</t>
  </si>
  <si>
    <t>神·湘君在场时，自身技能减免、抗暴、中级闪避提升15%</t>
  </si>
  <si>
    <r>
      <rPr>
        <b/>
        <sz val="8"/>
        <color theme="1"/>
        <rFont val="宋体"/>
        <charset val="134"/>
        <scheme val="minor"/>
      </rPr>
      <t>敌方全体中级闪避下降5%</t>
    </r>
    <r>
      <rPr>
        <sz val="8"/>
        <color theme="1"/>
        <rFont val="宋体"/>
        <charset val="134"/>
        <scheme val="minor"/>
      </rPr>
      <t>，神·湘夫人在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</si>
  <si>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【三峰并峙】附加自身内力值100%的额外伤害</t>
  </si>
  <si>
    <t>神·湘夫人在场时，自身技能穿透、暴击、暴击伤害提升20%</t>
  </si>
  <si>
    <r>
      <rPr>
        <b/>
        <sz val="8"/>
        <color theme="1"/>
        <rFont val="宋体"/>
        <charset val="134"/>
        <scheme val="minor"/>
      </rPr>
      <t>我方全体速度提升3</t>
    </r>
    <r>
      <rPr>
        <sz val="8"/>
        <color theme="1"/>
        <rFont val="宋体"/>
        <charset val="134"/>
        <scheme val="minor"/>
      </rPr>
      <t>，神·湘君在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</si>
  <si>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敌方每有1名盾位弟子位于后排或剑位弟子位于前排，我方全体提升8%技能系数</t>
  </si>
  <si>
    <t>在场时，敌方全体降低4%伤害增幅</t>
  </si>
  <si>
    <t>血量下降至50%以下时，回复所有神将护盾，此效果仅发动一次</t>
  </si>
  <si>
    <r>
      <rPr>
        <b/>
        <sz val="8"/>
        <color theme="1"/>
        <rFont val="宋体"/>
        <charset val="134"/>
        <scheme val="minor"/>
      </rPr>
      <t>敌方全体受到治疗效果下降10%</t>
    </r>
    <r>
      <rPr>
        <sz val="8"/>
        <color theme="1"/>
        <rFont val="宋体"/>
        <charset val="134"/>
        <scheme val="minor"/>
      </rPr>
      <t>，神·李斯在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</si>
  <si>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t>【唯我独尊】的伤害系数提升40%</t>
  </si>
  <si>
    <t>主动施放【唯我独尊】可无视控制状态，并可将自身的眩晕转移给随机的技能目标</t>
  </si>
  <si>
    <t>神·嬴政在场时，敌方开场释放的攻击技能伤害减半</t>
  </si>
  <si>
    <t>自身暴击伤害抵抗提升50%</t>
  </si>
  <si>
    <t>举世无双可解除我方所有薄命效果</t>
  </si>
  <si>
    <t>神·扶苏在场时，己方全体抗暴击提升10%</t>
  </si>
  <si>
    <t>发动破军杀将时若被控制，可消耗10%当前生命强行释放</t>
  </si>
  <si>
    <r>
      <rPr>
        <b/>
        <sz val="8"/>
        <color theme="1"/>
        <rFont val="宋体"/>
        <charset val="134"/>
        <scheme val="minor"/>
      </rPr>
      <t>敌方全体速度下降3</t>
    </r>
    <r>
      <rPr>
        <sz val="8"/>
        <color theme="1"/>
        <rFont val="宋体"/>
        <charset val="134"/>
        <scheme val="minor"/>
      </rPr>
      <t>，神·王翦在</t>
    </r>
    <r>
      <rPr>
        <b/>
        <sz val="8"/>
        <color theme="1"/>
        <rFont val="宋体"/>
        <charset val="134"/>
        <scheme val="minor"/>
      </rPr>
      <t>机师</t>
    </r>
    <r>
      <rPr>
        <sz val="8"/>
        <color theme="1"/>
        <rFont val="宋体"/>
        <charset val="134"/>
        <scheme val="minor"/>
      </rPr>
      <t>位置时此效果同样生效</t>
    </r>
  </si>
  <si>
    <r>
      <rPr>
        <b/>
        <sz val="8"/>
        <color theme="1"/>
        <rFont val="宋体"/>
        <charset val="134"/>
        <scheme val="minor"/>
      </rPr>
      <t>敌方前排速度额外下降3</t>
    </r>
    <r>
      <rPr>
        <sz val="8"/>
        <color theme="1"/>
        <rFont val="宋体"/>
        <charset val="134"/>
        <scheme val="minor"/>
      </rPr>
      <t>；且降速效果，神·王翦</t>
    </r>
    <r>
      <rPr>
        <b/>
        <sz val="8"/>
        <color theme="1"/>
        <rFont val="宋体"/>
        <charset val="134"/>
        <scheme val="minor"/>
      </rPr>
      <t>不在机师位置时同样生效</t>
    </r>
  </si>
  <si>
    <t>战斗中暴击伤害抵抗提升50%</t>
  </si>
  <si>
    <t>【女神启示】附加恢复自身30%神将护盾的效果</t>
  </si>
  <si>
    <t>阴晴圆缺反弹伤害的比例，提升至90%（前排）和60%（后排）</t>
  </si>
  <si>
    <t>万物回春追加内力值的治疗目标增加至3人</t>
  </si>
  <si>
    <t>释放【人剑合一】时，优先对全体敌人消除人宗逍遥子攻击值50%的神将护盾</t>
  </si>
  <si>
    <t>主动释放【雷神之锤】时，附加自身损失血量40%的追加伤害</t>
  </si>
  <si>
    <t>被动释放【雷神之锤】时，获得可免疫1次非真实伤害的护盾</t>
  </si>
  <si>
    <t>在机师位置时，我方全体提升4%中级闪避</t>
  </si>
  <si>
    <t>【易水深寒】造成伤害时，利用目标攻击的50%一同参与伤害计算,
此部分伤害不超过基础伤害2倍</t>
  </si>
  <si>
    <t>【易水深寒】的伤害系数提升40%</t>
  </si>
  <si>
    <t>在机师位置时，我方全体提升5%内力</t>
  </si>
  <si>
    <t>战斗中技能减免和技能穿透提升25%</t>
  </si>
  <si>
    <t>释放【诛灭】时，每2%技能穿透可抵消目标1%真伤抵抗</t>
  </si>
  <si>
    <t>开场和释放【炼狱风暴】时，获得最大生命值30%的化劲；首次获得时，最大
生命值提升25%</t>
  </si>
  <si>
    <t>战斗中技能穿透提升40%</t>
  </si>
  <si>
    <t>释放【绝命瞬杀】时，每2%技能穿透可抵消目标1%真伤抵抗</t>
  </si>
  <si>
    <t>开场和释放【影斩乱舞】时，获得攻击200%的化劲；首次获得时，攻击提升30%</t>
  </si>
  <si>
    <t>技能附带目标当前血量10%的额外伤害</t>
  </si>
  <si>
    <t>在机师位置时，敌方全体降低15%技能系数</t>
  </si>
  <si>
    <t>戎装名称</t>
  </si>
  <si>
    <t>终焉风暴</t>
  </si>
  <si>
    <t>凤鸣榣山</t>
  </si>
  <si>
    <t>yao</t>
  </si>
  <si>
    <t>却邪战意</t>
  </si>
  <si>
    <t>月舞凝香</t>
  </si>
  <si>
    <t>冰鸾流霜</t>
  </si>
  <si>
    <t>骁骥踏福</t>
  </si>
  <si>
    <t>殁世机甲</t>
  </si>
  <si>
    <t>mo</t>
  </si>
  <si>
    <t>寒霜御法</t>
  </si>
  <si>
    <t>天水覆海</t>
  </si>
  <si>
    <t>跃动冲击</t>
  </si>
  <si>
    <t>蝶舞龙吟</t>
  </si>
  <si>
    <t>霜天凌风</t>
  </si>
  <si>
    <t>炎龙啸天</t>
  </si>
  <si>
    <t>飞鱼瞻京</t>
  </si>
  <si>
    <t>zhan</t>
  </si>
  <si>
    <t>朔月之晖</t>
  </si>
  <si>
    <t>闇阳当空</t>
  </si>
  <si>
    <t>an</t>
  </si>
  <si>
    <t>蔷薇弥影</t>
  </si>
  <si>
    <t>朔漠驱狼</t>
  </si>
  <si>
    <t>神佑龙裔</t>
  </si>
  <si>
    <t>幽影流岚</t>
  </si>
  <si>
    <t>神焰降尘</t>
  </si>
  <si>
    <t>水月禅心</t>
  </si>
  <si>
    <t>冥渊暗影</t>
  </si>
  <si>
    <t>阴阳往极</t>
  </si>
  <si>
    <t>铁血修罗</t>
  </si>
  <si>
    <t>神荫荣光</t>
  </si>
  <si>
    <t>楼兰绮丽</t>
  </si>
  <si>
    <t>噬魔血眸</t>
  </si>
  <si>
    <t>跋扈乖戾</t>
  </si>
  <si>
    <t>寂灭星河</t>
  </si>
  <si>
    <t>千娇百媚</t>
  </si>
  <si>
    <t>乐动次元</t>
  </si>
  <si>
    <t>怒涛沧澜</t>
  </si>
  <si>
    <t>跃影青锋</t>
  </si>
  <si>
    <t>万骨仙尊</t>
  </si>
  <si>
    <t>金凤红裳</t>
  </si>
  <si>
    <t>锦羽青鸾</t>
  </si>
  <si>
    <t>银龙擐甲</t>
  </si>
  <si>
    <t>huan</t>
  </si>
  <si>
    <t>巧若倩兮</t>
  </si>
  <si>
    <t>怒雷尊者</t>
  </si>
  <si>
    <t>狼胥啸月</t>
  </si>
  <si>
    <t>xu</t>
  </si>
  <si>
    <t>永霜剑皇</t>
  </si>
  <si>
    <t>栖梧燃天霞</t>
  </si>
  <si>
    <t>炽焰魔将</t>
  </si>
  <si>
    <t>潜渊卷星潮</t>
  </si>
  <si>
    <t>曳影烛龙</t>
  </si>
  <si>
    <t>ye</t>
  </si>
  <si>
    <t>业火临渊</t>
  </si>
  <si>
    <t>装备名称</t>
  </si>
  <si>
    <t>0-1锻材料</t>
  </si>
  <si>
    <t>1-2锻材料</t>
  </si>
  <si>
    <t>2-3锻材料</t>
  </si>
  <si>
    <t>3-4锻材料</t>
  </si>
  <si>
    <t>4-5锻材料</t>
  </si>
  <si>
    <t>5-6锻材料</t>
  </si>
  <si>
    <t>6-7锻材料</t>
  </si>
  <si>
    <t>7-8锻材料</t>
  </si>
  <si>
    <t>8-9锻材料</t>
  </si>
  <si>
    <t>9-10锻材料</t>
  </si>
  <si>
    <t>10锻-红金材料</t>
  </si>
  <si>
    <t>武器</t>
  </si>
  <si>
    <t>10紫石2橙石</t>
  </si>
  <si>
    <t>10紫石3橙石</t>
  </si>
  <si>
    <t>5紫石2橙石</t>
  </si>
  <si>
    <t>12橙石5红石</t>
  </si>
  <si>
    <t>5橙石3红石</t>
  </si>
  <si>
    <t>12橙石10红石</t>
  </si>
  <si>
    <t>50紫石54橙石24红石</t>
  </si>
  <si>
    <t>盔甲</t>
  </si>
  <si>
    <t>60紫石54橙石24红石</t>
  </si>
  <si>
    <t>首饰</t>
  </si>
  <si>
    <t>12紫石3橙石</t>
  </si>
  <si>
    <t>15紫石3橙石</t>
  </si>
  <si>
    <t>5紫石3橙石</t>
  </si>
  <si>
    <t>52紫石54橙石24红石</t>
  </si>
  <si>
    <t>典籍</t>
  </si>
  <si>
    <t>42紫石54橙石24红石</t>
  </si>
  <si>
    <t>凌虚、木剑</t>
  </si>
  <si>
    <t>-</t>
  </si>
  <si>
    <t>凤鸟自舞</t>
  </si>
  <si>
    <t>潜蛟</t>
  </si>
  <si>
    <t>怒涛</t>
  </si>
  <si>
    <t>寂行剑</t>
  </si>
  <si>
    <t>衍天星际</t>
  </si>
  <si>
    <t>惊倪</t>
  </si>
  <si>
    <t>撼地镰</t>
  </si>
  <si>
    <t>非攻九变</t>
  </si>
  <si>
    <t>重铸渊虹</t>
  </si>
  <si>
    <t>腾龙枪</t>
  </si>
  <si>
    <t>破阵弓</t>
  </si>
  <si>
    <t>盔甲名称</t>
  </si>
  <si>
    <t>真龙黑袍、文曲服</t>
  </si>
  <si>
    <t>霸天令、文曲服</t>
  </si>
  <si>
    <t>天河霓裳、升雪凌霄衣</t>
  </si>
  <si>
    <t>剑侠衣</t>
  </si>
  <si>
    <t>首饰名称</t>
  </si>
  <si>
    <t>玲珑</t>
  </si>
  <si>
    <t>道经师宝玉</t>
  </si>
  <si>
    <t>金乌神饰</t>
  </si>
  <si>
    <t>鬼谷戒</t>
  </si>
  <si>
    <t>典籍名称</t>
  </si>
  <si>
    <t>礼经</t>
  </si>
  <si>
    <t>百家杂记</t>
  </si>
  <si>
    <t>尚书</t>
  </si>
  <si>
    <t>吕氏春秋</t>
  </si>
  <si>
    <t>封神纪</t>
  </si>
  <si>
    <t>冥界史诗</t>
  </si>
  <si>
    <t>南华真经</t>
  </si>
  <si>
    <t>神兵鬼谷子</t>
  </si>
  <si>
    <t>紫升橙</t>
  </si>
  <si>
    <t>10蓝石1紫石</t>
  </si>
  <si>
    <t>10蓝石2紫石</t>
  </si>
  <si>
    <t>5蓝石1紫石</t>
  </si>
  <si>
    <t>55蓝石10紫石</t>
  </si>
  <si>
    <t>15蓝石1紫石</t>
  </si>
  <si>
    <t>15蓝石2紫石</t>
  </si>
  <si>
    <t>7蓝石2紫石</t>
  </si>
  <si>
    <t>72蓝石10紫石</t>
  </si>
  <si>
    <t>5蓝石2紫石</t>
  </si>
  <si>
    <t>30蓝石10紫石</t>
  </si>
  <si>
    <t>1锻材料</t>
  </si>
  <si>
    <t>2锻材料</t>
  </si>
  <si>
    <t>3锻材料</t>
  </si>
  <si>
    <t>4锻材料</t>
  </si>
  <si>
    <t>5锻材料</t>
  </si>
  <si>
    <t>紫升橙进阶</t>
  </si>
  <si>
    <t>麒麟刺、刈鹿刃</t>
  </si>
  <si>
    <t>雷神锤、链蛇软剑</t>
  </si>
  <si>
    <t>瞬飞轮、银针</t>
  </si>
  <si>
    <r>
      <rPr>
        <b/>
        <sz val="11"/>
        <color rgb="FF0070C0"/>
        <rFont val="宋体"/>
        <charset val="134"/>
        <scheme val="minor"/>
      </rPr>
      <t>商君匕、</t>
    </r>
    <r>
      <rPr>
        <b/>
        <sz val="11"/>
        <color rgb="FF9E5ECE"/>
        <rFont val="宋体"/>
        <charset val="134"/>
        <scheme val="minor"/>
      </rPr>
      <t>凌虚</t>
    </r>
  </si>
  <si>
    <r>
      <rPr>
        <b/>
        <sz val="11"/>
        <color rgb="FF0070C0"/>
        <rFont val="宋体"/>
        <charset val="134"/>
        <scheme val="minor"/>
      </rPr>
      <t>机关手、</t>
    </r>
    <r>
      <rPr>
        <b/>
        <sz val="11"/>
        <color rgb="FF9E5ECE"/>
        <rFont val="宋体"/>
        <charset val="134"/>
        <scheme val="minor"/>
      </rPr>
      <t>水寒</t>
    </r>
  </si>
  <si>
    <t>木剑、五德终始</t>
  </si>
  <si>
    <t>银针、解牛刀</t>
  </si>
  <si>
    <t>雷神锤、狼牙爪</t>
  </si>
  <si>
    <t>瞬飞轮、龙纹长枪</t>
  </si>
  <si>
    <r>
      <rPr>
        <b/>
        <sz val="11"/>
        <color rgb="FF0070C0"/>
        <rFont val="宋体"/>
        <charset val="134"/>
        <scheme val="minor"/>
      </rPr>
      <t>商君匕、</t>
    </r>
    <r>
      <rPr>
        <b/>
        <sz val="11"/>
        <color rgb="FF9E5ECE"/>
        <rFont val="宋体"/>
        <charset val="134"/>
        <scheme val="minor"/>
      </rPr>
      <t>乱神</t>
    </r>
  </si>
  <si>
    <r>
      <rPr>
        <b/>
        <sz val="11"/>
        <color rgb="FF0070C0"/>
        <rFont val="宋体"/>
        <charset val="134"/>
        <scheme val="minor"/>
      </rPr>
      <t>刈鹿刃、</t>
    </r>
    <r>
      <rPr>
        <b/>
        <sz val="11"/>
        <color rgb="FF9E5ECE"/>
        <rFont val="宋体"/>
        <charset val="134"/>
        <scheme val="minor"/>
      </rPr>
      <t>水寒</t>
    </r>
  </si>
  <si>
    <t>木剑、六韬</t>
  </si>
  <si>
    <t>银针、龙纹长枪</t>
  </si>
  <si>
    <t>瞬飞轮、解牛刀</t>
  </si>
  <si>
    <t>木剑、三略</t>
  </si>
  <si>
    <t>嗜血双刃、无双腕轮</t>
  </si>
  <si>
    <t>解牛刀、龙纹长枪</t>
  </si>
  <si>
    <t>木剑、乐经</t>
  </si>
  <si>
    <t>木剑、管子</t>
  </si>
  <si>
    <t>木剑、刺客列传</t>
  </si>
  <si>
    <t>银针、瞬飞轮</t>
  </si>
  <si>
    <t>木剑、上农</t>
  </si>
  <si>
    <t>木剑、孟子</t>
  </si>
  <si>
    <t>嗜血双刃、龙纹长枪</t>
  </si>
  <si>
    <t>玉箫、狼牙爪</t>
  </si>
  <si>
    <t>无双腕轮、解牛刀</t>
  </si>
  <si>
    <t>木剑、易经</t>
  </si>
  <si>
    <t>獬豸锦袍、杀手服</t>
  </si>
  <si>
    <t>连环锁子甲、疾电披风</t>
  </si>
  <si>
    <r>
      <rPr>
        <b/>
        <sz val="11"/>
        <color rgb="FF0070C0"/>
        <rFont val="宋体"/>
        <charset val="134"/>
        <scheme val="minor"/>
      </rPr>
      <t>天蚕幻彩衣、</t>
    </r>
    <r>
      <rPr>
        <b/>
        <sz val="11"/>
        <color rgb="FF9E5ECE"/>
        <rFont val="宋体"/>
        <charset val="134"/>
        <scheme val="minor"/>
      </rPr>
      <t>星云法衣</t>
    </r>
  </si>
  <si>
    <r>
      <rPr>
        <b/>
        <sz val="11"/>
        <color rgb="FF0070C0"/>
        <rFont val="宋体"/>
        <charset val="134"/>
        <scheme val="minor"/>
      </rPr>
      <t>剑士服、</t>
    </r>
    <r>
      <rPr>
        <b/>
        <sz val="11"/>
        <color rgb="FF9E5ECE"/>
        <rFont val="宋体"/>
        <charset val="134"/>
        <scheme val="minor"/>
      </rPr>
      <t>真龙黑袍</t>
    </r>
  </si>
  <si>
    <t>文曲服、凤鸣</t>
  </si>
  <si>
    <r>
      <rPr>
        <b/>
        <sz val="11"/>
        <color rgb="FF0070C0"/>
        <rFont val="宋体"/>
        <charset val="134"/>
        <scheme val="minor"/>
      </rPr>
      <t>夜行衣、</t>
    </r>
    <r>
      <rPr>
        <b/>
        <sz val="11"/>
        <color rgb="FF9E5ECE"/>
        <rFont val="宋体"/>
        <charset val="134"/>
        <scheme val="minor"/>
      </rPr>
      <t>星云法衣</t>
    </r>
  </si>
  <si>
    <t>文曲服、龙啸</t>
  </si>
  <si>
    <t>文曲服、冰魄戒</t>
  </si>
  <si>
    <t>剑士服、疾电披风</t>
  </si>
  <si>
    <t>文曲服、驱虎令</t>
  </si>
  <si>
    <t>碧玉环</t>
  </si>
  <si>
    <t>虎符</t>
  </si>
  <si>
    <t>苍狼令</t>
  </si>
  <si>
    <t>宁神珠</t>
  </si>
  <si>
    <t>司马法</t>
  </si>
  <si>
    <t>太上感应篇</t>
  </si>
  <si>
    <t>尹文子</t>
  </si>
  <si>
    <t>尹佚</t>
  </si>
  <si>
    <t>握奇经</t>
  </si>
  <si>
    <t>慎子</t>
  </si>
  <si>
    <t>随巢子</t>
  </si>
  <si>
    <t>机关大全</t>
  </si>
  <si>
    <t>装备
技能</t>
  </si>
  <si>
    <t>装备</t>
  </si>
  <si>
    <t>橙色初始</t>
  </si>
  <si>
    <t>橙色10阶</t>
  </si>
  <si>
    <t>橙金初始</t>
  </si>
  <si>
    <t>橙金15阶</t>
  </si>
  <si>
    <t>红色初始</t>
  </si>
  <si>
    <t>红色15阶</t>
  </si>
  <si>
    <t>红金初始</t>
  </si>
  <si>
    <t>红金15阶</t>
  </si>
  <si>
    <t>系数（不含速）</t>
  </si>
  <si>
    <t>常胜之道</t>
  </si>
  <si>
    <t>神兵列子</t>
  </si>
  <si>
    <t>血、内力</t>
  </si>
  <si>
    <t>130速 12%血     28%减伤 4%暴伤 8%穿透</t>
  </si>
  <si>
    <t>140速 30%血     58%减伤  5%暴伤 15%抗暴</t>
  </si>
  <si>
    <t>145速 36%血     60%减伤 36%暴击 6%暴伤 18%抗暴  12%穿透</t>
  </si>
  <si>
    <t>150速 36%血     60%减伤 36%暴击 6%暴伤 18%抗暴  12%穿透</t>
  </si>
  <si>
    <t>以刑止刑</t>
  </si>
  <si>
    <t>神兵韩非子</t>
  </si>
  <si>
    <t>攻、内力</t>
  </si>
  <si>
    <t>130速 9%攻防血  28%减伤 6%抗暴 3%穿透</t>
  </si>
  <si>
    <t>140速 24%攻防血 58%减伤         20%抗暴  4%穿透</t>
  </si>
  <si>
    <t xml:space="preserve">145速 30%攻防血 60%减伤 36%暴击        25%抗暴   5%穿透 </t>
  </si>
  <si>
    <t xml:space="preserve">150速 30%攻防血 60%减伤 36%暴击        25%抗暴   5%穿透 </t>
  </si>
  <si>
    <t>百家争鸣</t>
  </si>
  <si>
    <t>神兵战国策</t>
  </si>
  <si>
    <t>130速 12%攻     28%减伤 4%暴伤 8%抗暴</t>
  </si>
  <si>
    <t xml:space="preserve">140速 30%攻     58%减伤  5%暴伤 10%抗暴 15%穿透 </t>
  </si>
  <si>
    <t xml:space="preserve">145速 36%攻     60%减伤 36%暴击 6%暴伤 12%抗暴  18%穿透  </t>
  </si>
  <si>
    <t xml:space="preserve">150速 36%攻     60%减伤 36%暴击 6%暴伤 12%抗暴  18%穿透  </t>
  </si>
  <si>
    <t>以礼存心</t>
  </si>
  <si>
    <t>神兵礼经</t>
  </si>
  <si>
    <t>130速 12%攻防血 28%减伤 7%穿透</t>
  </si>
  <si>
    <t>140速 26%攻防血 58%减伤 12%暴击          8%穿透</t>
  </si>
  <si>
    <t>145速 48%攻防血 62%减伤 25%暴击         8%抗暴  15%穿透</t>
  </si>
  <si>
    <t>150速 48%攻防血 62%减伤 25%暴击         8%抗暴  15%穿透</t>
  </si>
  <si>
    <t>三奇八门</t>
  </si>
  <si>
    <t>神兵奇门</t>
  </si>
  <si>
    <t>130速 12%攻防血 28%减伤 7%暴击</t>
  </si>
  <si>
    <t>140速 26%攻防血 58%减伤 20%暴击</t>
  </si>
  <si>
    <t xml:space="preserve">145速 48%攻防血 62%减伤 40%暴击         8%抗暴 </t>
  </si>
  <si>
    <t xml:space="preserve">150速 48%攻防血 62%减伤 40%暴击         8%抗暴 </t>
  </si>
  <si>
    <t>大经大法</t>
  </si>
  <si>
    <t>神兵尚书</t>
  </si>
  <si>
    <t>145速 48%攻防血 62%减伤 33%暴击                 15%穿透</t>
  </si>
  <si>
    <t>150速 48%攻防血 62%减伤 33%暴击                 15%穿透</t>
  </si>
  <si>
    <t>诸侯争霸</t>
  </si>
  <si>
    <t>神兵左传</t>
  </si>
  <si>
    <t>130速 12%攻防血 28%减伤</t>
  </si>
  <si>
    <t>140速 26%攻防血 60%减伤</t>
  </si>
  <si>
    <t>145速 51%攻防血 60%减伤 25%暴击 22%暴伤 51%抗暴</t>
  </si>
  <si>
    <t>150速 51%攻防血 60%减伤 25%暴击 22%暴伤 51%抗暴</t>
  </si>
  <si>
    <t>万物之理</t>
  </si>
  <si>
    <t>神兵吕览</t>
  </si>
  <si>
    <t xml:space="preserve">145速 51%攻防血 60%减伤 25%暴击 16%暴伤 35%抗暴 15%穿透 </t>
  </si>
  <si>
    <t xml:space="preserve">150速 51%攻防血 60%减伤 25%暴击 16%暴伤 35%抗暴 15%穿透 </t>
  </si>
  <si>
    <t>众神之王</t>
  </si>
  <si>
    <t>神兵封神纪</t>
  </si>
  <si>
    <t>132速 12%攻防血 28%减伤</t>
  </si>
  <si>
    <t>142速 26%攻防血 60%减伤</t>
  </si>
  <si>
    <t xml:space="preserve">146速 51%攻防血 60%减伤 16%暴击 25%暴伤 35%抗暴 20%穿透 </t>
  </si>
  <si>
    <t xml:space="preserve">151速 51%攻防血 60%减伤 16%暴击 25%暴伤 35%抗暴 20%穿透 </t>
  </si>
  <si>
    <t>万众一心</t>
  </si>
  <si>
    <t>神兵冥史</t>
  </si>
  <si>
    <t>秦时杂记</t>
  </si>
  <si>
    <t>神兵百家</t>
  </si>
  <si>
    <t xml:space="preserve">145速 53%攻防血 60%减伤 25%暴击 44%暴伤 28%抗暴 12%穿透 </t>
  </si>
  <si>
    <t xml:space="preserve">150速 53%攻防血 60%减伤 25%暴击 44%暴伤 28%抗暴 12%穿透 </t>
  </si>
  <si>
    <t>得意忘言</t>
  </si>
  <si>
    <t>神兵南华</t>
  </si>
  <si>
    <t xml:space="preserve">145速 51%攻防血 60%减伤 25%暴击 44%暴伤 12%抗暴 23%穿透 </t>
  </si>
  <si>
    <t xml:space="preserve">150速 51%攻防血 60%减伤 25%暴击 44%暴伤 12%抗暴 23%穿透 </t>
  </si>
  <si>
    <t>合纵连横</t>
  </si>
  <si>
    <t>145速 51%攻防血 60%减伤 41%暴击 28%暴伤 35%抗暴</t>
  </si>
  <si>
    <t>150速 51%攻防血 60%减伤 41%暴击 28%暴伤 35%抗暴</t>
  </si>
  <si>
    <t>坚壁清野</t>
  </si>
  <si>
    <t>70%暴击 45%防 50%减伤 5%穿透</t>
  </si>
  <si>
    <t>73%暴击 45%防 50%减伤 5%穿透</t>
  </si>
  <si>
    <t>天地不仁</t>
  </si>
  <si>
    <t>70%暴击 敌方-7.6%防         5%暴伤</t>
  </si>
  <si>
    <t>73%暴击 敌方-7.6%防         5%暴伤</t>
  </si>
  <si>
    <t>防、内力</t>
  </si>
  <si>
    <t>142速   敌方-7.6%防 35%暴击 5%暴伤</t>
  </si>
  <si>
    <t>146速   敌方-7.6%防 35%暴击 5%暴伤</t>
  </si>
  <si>
    <t>绳之于法</t>
  </si>
  <si>
    <t>70%暴击 敌方-7.6%攻         5%暴伤</t>
  </si>
  <si>
    <t>73%暴击 敌方-7.6%攻         5%暴伤</t>
  </si>
  <si>
    <t>内圣外王</t>
  </si>
  <si>
    <t>140速 20%防 25%血 50%减伤 35%暴击 5%穿透</t>
  </si>
  <si>
    <t>140速 20%防 25%血 50%减伤 38%暴击 5%穿透</t>
  </si>
  <si>
    <t>天人极限</t>
  </si>
  <si>
    <t>142速 45%攻 50%减伤 35%暴击 5%暴伤</t>
  </si>
  <si>
    <t>146速 45%攻 50%减伤 35%暴击 5%暴伤</t>
  </si>
  <si>
    <t>伍德终始</t>
  </si>
  <si>
    <t xml:space="preserve">140速 20%血 50%减伤 35%暴击 5%暴伤 20%抗暴 </t>
  </si>
  <si>
    <t xml:space="preserve">140速 20%血 50%减伤 38%暴击 5%暴伤 20%抗暴 </t>
  </si>
  <si>
    <t>旋相为宫</t>
  </si>
  <si>
    <t>140速 20%攻 50%减伤 35%暴击        20%抗暴 5%穿透</t>
  </si>
  <si>
    <t>140速 20%攻 50%减伤 38%暴击        20%抗暴 5%穿透</t>
  </si>
  <si>
    <t>黔首之怒</t>
  </si>
  <si>
    <t>140速 45%血 50%减伤 35%暴击                5%穿透</t>
  </si>
  <si>
    <t>140速 45%血 50%减伤 38%暴击                5%穿透</t>
  </si>
  <si>
    <t>143速 45%攻       50%减伤 35%暴击 5%暴伤</t>
  </si>
  <si>
    <t>147速 45%攻       50%减伤 35%暴击  5%暴伤</t>
  </si>
  <si>
    <t>道法自然</t>
  </si>
  <si>
    <t>140速 25%攻 20%血 50%减伤 36%暴击 5%暴伤</t>
  </si>
  <si>
    <t>140速 25%攻 20%血 50%减伤 39%暴击  5%暴伤</t>
  </si>
  <si>
    <t>以战止战</t>
  </si>
  <si>
    <t>143速 20%攻 25%血 50%减伤 35%暴击                 5%穿透</t>
  </si>
  <si>
    <t>147速 20%攻 25%血 50%减伤 35%暴击                     5%穿透</t>
  </si>
  <si>
    <t xml:space="preserve">140速 20%血       50%减伤 36%暴击 5%暴伤 20%抗暴 </t>
  </si>
  <si>
    <t>140速 20%血       50%减伤 39%暴击  5%暴伤  20%抗暴</t>
  </si>
  <si>
    <t xml:space="preserve">140速 20%血       50%减伤 36%暴击 5%暴伤 20%抗暴  </t>
  </si>
  <si>
    <t>140速 20%防 25%血 50%减伤 36%暴击                 5%穿透</t>
  </si>
  <si>
    <t>140速 20%防 25%血 50%减伤 39%暴击                     5%穿透</t>
  </si>
  <si>
    <t>文王八卦</t>
  </si>
  <si>
    <t>140速 40%血       55%减伤 37%暴击                 5%穿透</t>
  </si>
  <si>
    <t>140速 40%血       55%减伤 39%暴击                     5%穿透</t>
  </si>
  <si>
    <t>144速 40%攻       55%减伤 35%暴击 5%暴伤</t>
  </si>
  <si>
    <t>147速 40%攻       55%减伤 35%暴击  5%暴伤</t>
  </si>
  <si>
    <t>百战不殆</t>
  </si>
  <si>
    <t>140速 35%攻       60%减伤 38%暴击                 5%穿透</t>
  </si>
  <si>
    <t>140速 35%攻       60%减伤 40%暴击                     5%穿透</t>
  </si>
  <si>
    <t>145速 35%攻       60%减伤 35%暴击                 5%穿透</t>
  </si>
  <si>
    <t>148速 35%攻       60%减伤 35%暴击                     5%穿透</t>
  </si>
  <si>
    <t>145速 35%血       60%减伤 35%暴击 5%暴伤</t>
  </si>
  <si>
    <t>148速 35%血       60%减伤 35%暴击  5%暴伤</t>
  </si>
  <si>
    <t>145速 28%攻防血   60%减伤 35%暴击         30%抗暴</t>
  </si>
  <si>
    <t>148速 28%攻防血   60%减伤 35%暴击          30%抗暴</t>
  </si>
  <si>
    <t>145速 46%攻防血   60%减伤 35%暴击</t>
  </si>
  <si>
    <t>148速 46%攻防血   60%减伤 35%暴击</t>
  </si>
  <si>
    <t xml:space="preserve">145速 46%攻防血   60%减伤 25%暴击                 10%穿透 </t>
  </si>
  <si>
    <t xml:space="preserve">148速 46%攻防血   60%减伤 25%暴击                    10%穿透 </t>
  </si>
  <si>
    <t xml:space="preserve">145速 37%攻防血   63%减伤 15%暴击         12%抗暴 10%穿透 </t>
  </si>
  <si>
    <t>148速 37%攻防血   63%减伤 15%暴击          12%抗暴   10%穿透</t>
  </si>
  <si>
    <t xml:space="preserve">145速 46%攻防血   60%减伤 30%暴击                  5%穿透 </t>
  </si>
  <si>
    <t xml:space="preserve">148速 46%攻防血   60%减伤 30%暴击                     5%穿透 </t>
  </si>
  <si>
    <t>145速 46%攻防血   60%减伤 20%暴击 15%暴伤</t>
  </si>
  <si>
    <t>148速 46%攻防血   60%减伤 20%暴击 15%暴伤</t>
  </si>
  <si>
    <t>145速 46%攻防血   60%减伤 20%暴击                 15%穿透</t>
  </si>
  <si>
    <t>148速 46%攻防血   60%减伤 20%暴击                    15%穿透</t>
  </si>
  <si>
    <t>145速 46%攻防血   60%减伤 15%暴击 15%暴伤         15%穿透</t>
  </si>
  <si>
    <t>148速 46%攻防血   60%减伤 15%暴击 15%暴伤            15%穿透</t>
  </si>
  <si>
    <t>145速 46%攻防血   60%减伤 20%暴击 25%暴伤</t>
  </si>
  <si>
    <t>148速 46%攻防血   60%减伤 20%暴击 25%暴伤</t>
  </si>
  <si>
    <t>145速 36%血     60%减伤 36%暴击 6%暴伤 18%抗暴 12%穿透</t>
  </si>
  <si>
    <t>150速 36%血     60%减伤 36%暴击 6%暴伤 18%抗暴 12%穿透</t>
  </si>
  <si>
    <t xml:space="preserve">145速 30%攻防血 60%减伤 36%暴击        25%抗暴  5%穿透 </t>
  </si>
  <si>
    <t>150速 30%攻防血 60%减伤 36%暴击        25%抗暴  5%穿透</t>
  </si>
  <si>
    <t>145速 36%攻     60%减伤 36%暴击 6%暴伤 12%抗暴 18%穿透</t>
  </si>
  <si>
    <t>150速 36%攻     60%减伤 36%暴击 6%暴伤 12%抗暴 18%穿透</t>
  </si>
  <si>
    <t xml:space="preserve">145速 48%攻防血 62%减伤 25%暴击         8%抗暴 15%穿透 </t>
  </si>
  <si>
    <t xml:space="preserve">150速 48%攻防血 62%减伤 25%暴击         8%抗暴 15%穿透 </t>
  </si>
  <si>
    <t>145速 48%攻防血 62%减伤 33%暴击                15%穿透</t>
  </si>
  <si>
    <t>150速 48%攻防血 62%减伤 33%暴击                15%穿透</t>
  </si>
  <si>
    <t>145速 51%攻防血 60%减伤 25%暴击 16%暴伤 35%抗暴 15%穿透</t>
  </si>
  <si>
    <t>150速 51%攻防血 60%减伤 25%暴击 16%暴伤 35%抗暴 15%穿透</t>
  </si>
  <si>
    <t>146速 51%攻防血 60%减伤 16%暴击 25%暴伤 35%抗暴 20%穿透</t>
  </si>
  <si>
    <t>151速 51%攻防血 60%减伤 16%暴击 25%暴伤 35%抗暴 20%穿透</t>
  </si>
  <si>
    <t>145速 53%攻防血 60%减伤 25%暴击 44%暴伤 28%抗暴 12%穿透</t>
  </si>
  <si>
    <t>150速 53%攻防血 60%减伤 25%暴击 44%暴伤 28%抗暴 12%穿透</t>
  </si>
  <si>
    <t>145速 51%攻防血 60%减伤 25%暴击 44%暴伤 12%抗暴 23%穿透</t>
  </si>
  <si>
    <t>150速 51%攻防血 60%减伤 25%暴击 44%暴伤 12%抗暴 23%穿透</t>
  </si>
  <si>
    <t>120速 28.1%攻</t>
  </si>
  <si>
    <t>130速 34%攻 35%减伤</t>
  </si>
  <si>
    <t>143速 45%攻 50%减伤 35%暴击 5%暴伤</t>
  </si>
  <si>
    <t>147速 45%攻 50%减伤 35%暴击 5%暴伤</t>
  </si>
  <si>
    <t>32%暴击 10.5%血 25%减伤</t>
  </si>
  <si>
    <t>34%暴击 35%减伤 36%血</t>
  </si>
  <si>
    <t>36%暴击 20%血 50%减伤 25%攻 140速 5%暴伤</t>
  </si>
  <si>
    <t>39%暴击 20%血 50%减伤 25%攻 140速 5%暴伤</t>
  </si>
  <si>
    <t>125速 10.5%血 17.6%攻</t>
  </si>
  <si>
    <t>135速 14%攻 20%血 35%减伤</t>
  </si>
  <si>
    <t>143速 20%攻 50%减伤 25%血 35%暴击 5%穿透</t>
  </si>
  <si>
    <t>147速 20%攻 50%减伤 25%血 35%暴击 5%穿透</t>
  </si>
  <si>
    <t>15%招架 26%抗暴</t>
  </si>
  <si>
    <t>16%招架 31%抗暴 35%减伤</t>
  </si>
  <si>
    <t>36%暴击 20%血 50%减伤 20%抗暴 140速 5%暴伤</t>
  </si>
  <si>
    <t>39%暴击 20%血 50%减伤 20%抗暴 140速 5%暴伤</t>
  </si>
  <si>
    <t>30%暴击 26%抗暴</t>
  </si>
  <si>
    <t>32%暴击 31%抗暴 35%减伤</t>
  </si>
  <si>
    <t>16%招架 10.5%防 17.6%血</t>
  </si>
  <si>
    <t>17%招架 14%血 20%防 35%减伤</t>
  </si>
  <si>
    <t>36%暴击 20%防 50%减伤 25%血 140速 5%穿透</t>
  </si>
  <si>
    <t>39%暴击 20%防 50%减伤 25%血 140速 5%穿透</t>
  </si>
  <si>
    <t>32%暴击 15%减伤 17.6%血</t>
  </si>
  <si>
    <t>34%暴击 30%血 45%减伤</t>
  </si>
  <si>
    <t>37%暴击 40%血 55%减伤 140速 5%穿透</t>
  </si>
  <si>
    <t>39%暴击 40%血 55%减伤 140速 5%穿透</t>
  </si>
  <si>
    <t>125速 40%减伤</t>
  </si>
  <si>
    <t>135速 50%减伤 26%攻</t>
  </si>
  <si>
    <t>144速 40%攻 55%减伤 35%暴击 5%暴伤</t>
  </si>
  <si>
    <t>147速 40%攻 55%减伤 35%暴击 5%暴伤</t>
  </si>
  <si>
    <t>32%暴击 16%血 24%减伤</t>
  </si>
  <si>
    <t>35%暴击 34%血 56%减伤</t>
  </si>
  <si>
    <t>38%暴击 35%攻 60%减伤 140速 5%穿透</t>
  </si>
  <si>
    <t>40%暴击 35%攻 60%减伤 140速 5%穿透</t>
  </si>
  <si>
    <t>130速 16%攻 24%减伤</t>
  </si>
  <si>
    <t>140速 34%攻 56%减伤</t>
  </si>
  <si>
    <t>145速 35%攻 60%减伤 35%暴击 5%穿透</t>
  </si>
  <si>
    <t>148速 35%攻 60%减伤 35%暴击 5%穿透</t>
  </si>
  <si>
    <t>130速 16%血 24%减伤</t>
  </si>
  <si>
    <t>140速 34%血 56%减伤</t>
  </si>
  <si>
    <t>145速 35%血 60%减伤 35%暴击 5%暴伤</t>
  </si>
  <si>
    <t>148速 35%血 60%减伤 35%暴击 5%暴伤</t>
  </si>
  <si>
    <t>130速 11%攻防血 24%减伤</t>
  </si>
  <si>
    <t>140速 23.5%攻防血 56%减伤</t>
  </si>
  <si>
    <t>145速 28%攻防血 60%减伤 35%暴击 30%抗暴</t>
  </si>
  <si>
    <t>148速 28%攻防血 60%减伤 35%暴击 30%抗暴</t>
  </si>
  <si>
    <t>140速 22.5%攻防血 58%减伤</t>
  </si>
  <si>
    <t>145速 46%攻防血 60%减伤 35%暴击</t>
  </si>
  <si>
    <t>148速 46%攻防血 60%减伤 35%暴击</t>
  </si>
  <si>
    <t>145速 46%攻防血 60%减伤 10%穿透 25%暴击</t>
  </si>
  <si>
    <t>148速 46%攻防血 60%减伤 10%穿透 25%暴击</t>
  </si>
  <si>
    <t>130速 10%攻防血 24%减伤 4%穿透 6%抗暴</t>
  </si>
  <si>
    <t>140速 22%攻防血 57%减伤 5%穿透 7%抗暴 10%暴击</t>
  </si>
  <si>
    <t>145速 37%攻防血 63%减伤 10%穿透 12%抗暴 15%暴击</t>
  </si>
  <si>
    <t>148速 37%攻防血 63%减伤 10%穿透 12%抗暴 15%暴击</t>
  </si>
  <si>
    <t>145速 46%攻防血 60%减伤 5%穿透 30%暴击</t>
  </si>
  <si>
    <t>148速 46%攻防血 60%减伤 5%穿透 30%暴击</t>
  </si>
  <si>
    <t>145速 46%攻防血 60%减伤 20%暴击 15%暴伤</t>
  </si>
  <si>
    <t>148速 46%攻防血 60%减伤 20%暴击 15%暴伤</t>
  </si>
  <si>
    <t>145速 46%攻防血 60%减伤 20%暴击 15%穿透</t>
  </si>
  <si>
    <t>148速 46%攻防血 60%减伤 20%暴击 15%穿透</t>
  </si>
  <si>
    <t>145速 46%攻防血 60%减伤 15%暴击 15%暴伤 15%穿透</t>
  </si>
  <si>
    <t>148速 46%攻防血 60%减伤 15%暴击 15%暴伤 15%穿透</t>
  </si>
  <si>
    <t>145速 46%攻防血 60%减伤 20%暴击 25%暴伤</t>
  </si>
  <si>
    <t>148速 46%攻防血 60%减伤 20%暴击 25%暴伤</t>
  </si>
  <si>
    <t>紫色0阶</t>
  </si>
  <si>
    <t>紫色5阶</t>
  </si>
  <si>
    <t>紫色10阶</t>
  </si>
  <si>
    <t>橙色0阶</t>
  </si>
  <si>
    <t>橙色5阶</t>
  </si>
  <si>
    <t>橙金0阶</t>
  </si>
  <si>
    <t>橙金5阶</t>
  </si>
  <si>
    <t>橙金10阶</t>
  </si>
  <si>
    <t>红色0阶</t>
  </si>
  <si>
    <t>红色5阶</t>
  </si>
  <si>
    <t>红色10阶</t>
  </si>
  <si>
    <t>红金0阶</t>
  </si>
  <si>
    <t>红金5阶</t>
  </si>
  <si>
    <t>红金10阶</t>
  </si>
  <si>
    <t>20%暴击</t>
  </si>
  <si>
    <t>7%防</t>
  </si>
  <si>
    <t>14%防</t>
  </si>
  <si>
    <t>25%暴击</t>
  </si>
  <si>
    <t>10.5%防</t>
  </si>
  <si>
    <t>17.6%防</t>
  </si>
  <si>
    <t>27%暴击</t>
  </si>
  <si>
    <t>20%防</t>
  </si>
  <si>
    <t>26%防</t>
  </si>
  <si>
    <t>35%暴击</t>
  </si>
  <si>
    <t>20%防
20%减伤</t>
  </si>
  <si>
    <t>25%防
30%减伤</t>
  </si>
  <si>
    <t>35%暴击
5%穿透</t>
  </si>
  <si>
    <t>38%暴击</t>
  </si>
  <si>
    <t>10%闪避</t>
  </si>
  <si>
    <t>13%闪避</t>
  </si>
  <si>
    <t>14%闪避</t>
  </si>
  <si>
    <t>82速</t>
  </si>
  <si>
    <t>112速</t>
  </si>
  <si>
    <t>122速</t>
  </si>
  <si>
    <t>19%暴击</t>
  </si>
  <si>
    <t>敌方-1%防</t>
  </si>
  <si>
    <t>敌方-2%防</t>
  </si>
  <si>
    <t>24%暴击</t>
  </si>
  <si>
    <t>敌方-1.5%防</t>
  </si>
  <si>
    <t>敌方-2.5%防</t>
  </si>
  <si>
    <t>26%暴击</t>
  </si>
  <si>
    <t>敌方-3%防</t>
  </si>
  <si>
    <t>敌方-3.5%防</t>
  </si>
  <si>
    <t>敌方-4%防</t>
  </si>
  <si>
    <t>敌方-3.6%防</t>
  </si>
  <si>
    <t>35%暴击
5%暴伤</t>
  </si>
  <si>
    <t>8%招架</t>
  </si>
  <si>
    <t>敌方-1%攻</t>
  </si>
  <si>
    <t>敌方-2%攻</t>
  </si>
  <si>
    <t>11%招架</t>
  </si>
  <si>
    <t>敌方-1.5%攻</t>
  </si>
  <si>
    <t>敌方-2.5%攻</t>
  </si>
  <si>
    <t>12%招架</t>
  </si>
  <si>
    <t>敌方-3%攻</t>
  </si>
  <si>
    <t>敌方-3.5%攻</t>
  </si>
  <si>
    <t>敌方-4%攻</t>
  </si>
  <si>
    <t>敌方-3.6%攻</t>
  </si>
  <si>
    <t>83速</t>
  </si>
  <si>
    <t>113速</t>
  </si>
  <si>
    <t>123速</t>
  </si>
  <si>
    <t>142速</t>
  </si>
  <si>
    <t>146速</t>
  </si>
  <si>
    <t>10%招架</t>
  </si>
  <si>
    <t>13%招架</t>
  </si>
  <si>
    <t>14%招架</t>
  </si>
  <si>
    <t>7%抗暴</t>
  </si>
  <si>
    <t>13%抗暴</t>
  </si>
  <si>
    <t>16%抗暴</t>
  </si>
  <si>
    <t>18%抗暴</t>
  </si>
  <si>
    <t>35%减伤</t>
  </si>
  <si>
    <t>20%血
20%减伤</t>
  </si>
  <si>
    <t>20%抗暴
30%减伤</t>
  </si>
  <si>
    <t>140速
5%暴伤</t>
  </si>
  <si>
    <t>7%血</t>
  </si>
  <si>
    <t>17.6%血</t>
  </si>
  <si>
    <t>14%血</t>
  </si>
  <si>
    <t>25%血
30%减伤</t>
  </si>
  <si>
    <t>140速
5%穿透</t>
  </si>
  <si>
    <t>21%暴击</t>
  </si>
  <si>
    <t>敌方-1%血</t>
  </si>
  <si>
    <t>敌方-2%血</t>
  </si>
  <si>
    <t>敌方-1.5%血</t>
  </si>
  <si>
    <t>敌方-2.5%血</t>
  </si>
  <si>
    <t>28%暴击</t>
  </si>
  <si>
    <t>敌方-3%血</t>
  </si>
  <si>
    <t>敌方-3.5%血</t>
  </si>
  <si>
    <t>20%攻
20%减伤</t>
  </si>
  <si>
    <t>9%招架</t>
  </si>
  <si>
    <t>84速</t>
  </si>
  <si>
    <t>114速</t>
  </si>
  <si>
    <t>124速</t>
  </si>
  <si>
    <t>22%暴击</t>
  </si>
  <si>
    <t>7%攻</t>
  </si>
  <si>
    <t>14%攻</t>
  </si>
  <si>
    <t>10.5%攻</t>
  </si>
  <si>
    <t>17.6%攻</t>
  </si>
  <si>
    <t>29%暴击</t>
  </si>
  <si>
    <t>25%攻
30%减伤</t>
  </si>
  <si>
    <t>80速</t>
  </si>
  <si>
    <t>110速</t>
  </si>
  <si>
    <t>120速</t>
  </si>
  <si>
    <t>10.5%血</t>
  </si>
  <si>
    <t>85速</t>
  </si>
  <si>
    <t>115速</t>
  </si>
  <si>
    <t>125速</t>
  </si>
  <si>
    <t>130速</t>
  </si>
  <si>
    <t>143速</t>
  </si>
  <si>
    <t>147速</t>
  </si>
  <si>
    <t>32%暴击</t>
  </si>
  <si>
    <t>25%减伤</t>
  </si>
  <si>
    <t>34%暴击</t>
  </si>
  <si>
    <t>20%减伤</t>
  </si>
  <si>
    <t>16%血
15%减伤</t>
  </si>
  <si>
    <t>36%暴击</t>
  </si>
  <si>
    <t>39%暴击</t>
  </si>
  <si>
    <t>135速</t>
  </si>
  <si>
    <t>15%招架</t>
  </si>
  <si>
    <t>16%招架</t>
  </si>
  <si>
    <t>17%招架</t>
  </si>
  <si>
    <t>30%暴击</t>
  </si>
  <si>
    <t>30%减伤</t>
  </si>
  <si>
    <t>37%暴击</t>
  </si>
  <si>
    <t>20%血
35%减伤</t>
  </si>
  <si>
    <t>26%攻</t>
  </si>
  <si>
    <t>144速</t>
  </si>
  <si>
    <t>15%攻
25%减伤</t>
  </si>
  <si>
    <t>6%血
8%减伤</t>
  </si>
  <si>
    <t>10%血
16%减伤</t>
  </si>
  <si>
    <t>8%血
12%减伤</t>
  </si>
  <si>
    <t>12%血
20%减伤</t>
  </si>
  <si>
    <t>14%血
24%减伤</t>
  </si>
  <si>
    <t>20%攻
35%减伤</t>
  </si>
  <si>
    <t>40%暴击</t>
  </si>
  <si>
    <t>6%攻
8%减伤</t>
  </si>
  <si>
    <t>10%攻
16%减伤</t>
  </si>
  <si>
    <t>140速</t>
  </si>
  <si>
    <t>8%攻
12%减伤</t>
  </si>
  <si>
    <t>12%攻
20%减伤</t>
  </si>
  <si>
    <t>14%攻
24%减伤</t>
  </si>
  <si>
    <t>145速</t>
  </si>
  <si>
    <t>148速</t>
  </si>
  <si>
    <t>15%血
25%减伤</t>
  </si>
  <si>
    <t>4.5%攻防血
8%减伤</t>
  </si>
  <si>
    <t>6.5%攻防血
16%减伤</t>
  </si>
  <si>
    <t>5.5%攻防血
12%减伤</t>
  </si>
  <si>
    <t>8%攻防血
20%减伤</t>
  </si>
  <si>
    <t>10%攻防血
24%减伤</t>
  </si>
  <si>
    <t>12%攻防血
25%减伤</t>
  </si>
  <si>
    <t>16%攻防血
35%减伤</t>
  </si>
  <si>
    <t>35%暴击
30%抗暴</t>
  </si>
  <si>
    <t>9%攻防血
26%减伤</t>
  </si>
  <si>
    <t>18%攻防血
35%暴击</t>
  </si>
  <si>
    <t>18%攻防血
10%穿透
25%暴击</t>
  </si>
  <si>
    <t>4%攻防血
8%减伤
4%穿透</t>
  </si>
  <si>
    <t>6%攻防血
16%减伤
6%抗暴</t>
  </si>
  <si>
    <t>5%攻防血
12%减伤
5%穿透</t>
  </si>
  <si>
    <t>7%攻防血
20%减伤
7%抗暴</t>
  </si>
  <si>
    <t>10%攻防血
25%减伤
10%暴击</t>
  </si>
  <si>
    <t>10%攻防血
18%减伤
10%穿透</t>
  </si>
  <si>
    <t>12%攻防血
21%减伤
12%抗暴</t>
  </si>
  <si>
    <t>15%攻防血
24%减伤
15%暴击</t>
  </si>
  <si>
    <t>18%攻防血
5%穿透
30%暴击</t>
  </si>
  <si>
    <t>18%攻防血
20%暴击
15%暴伤</t>
  </si>
  <si>
    <t>18%攻防血
20%暴击
15%穿透</t>
  </si>
  <si>
    <t>18%攻防血
15%暴击
15%暴伤
15%穿透</t>
  </si>
  <si>
    <t>18%攻防血
20%暴击
25%暴伤</t>
  </si>
  <si>
    <t>4%血
12%减伤
4%暴伤</t>
  </si>
  <si>
    <t>8%血
16%减伤
8%穿透</t>
  </si>
  <si>
    <t>5%血
14%减伤
5%暴伤</t>
  </si>
  <si>
    <t>10%血
20%减伤
10%穿透</t>
  </si>
  <si>
    <t>15%血
24%减伤
15%抗暴</t>
  </si>
  <si>
    <t>6%血
28%减伤
6%暴伤</t>
  </si>
  <si>
    <t>12%血
32%减伤
12%穿透</t>
  </si>
  <si>
    <t>18%血
36%暴击
18%抗暴</t>
  </si>
  <si>
    <t>150速</t>
  </si>
  <si>
    <t>3%攻防血
12%减伤
3%穿透</t>
  </si>
  <si>
    <t>4%攻防血
14%减伤
4%穿透</t>
  </si>
  <si>
    <t>8%攻防血
20%减伤
8%抗暴</t>
  </si>
  <si>
    <t>12%攻防血
24%减伤
12%抗暴</t>
  </si>
  <si>
    <t>5%攻防血
28%减伤
5%穿透</t>
  </si>
  <si>
    <t>10%攻防血
32%减伤
10%抗暴</t>
  </si>
  <si>
    <t>15%攻防血
36%暴击
15%抗暴</t>
  </si>
  <si>
    <t>4%攻
12%减伤
4%暴伤</t>
  </si>
  <si>
    <t>8%攻
16%减伤
8%抗暴</t>
  </si>
  <si>
    <t>5%攻
14%减伤
5%暴伤</t>
  </si>
  <si>
    <t>10%攻
20%减伤
10%抗暴</t>
  </si>
  <si>
    <t>15%攻
24%减伤
15%穿透</t>
  </si>
  <si>
    <t>6%攻
28%减伤
6%暴伤</t>
  </si>
  <si>
    <t>12%攻
32%减伤
12%抗暴</t>
  </si>
  <si>
    <t>18%攻
36%暴击
18%穿透</t>
  </si>
  <si>
    <t>5%攻防血
12%减伤</t>
  </si>
  <si>
    <t>7%攻防血
16%减伤
7%穿透</t>
  </si>
  <si>
    <t>6%攻防血
14%减伤</t>
  </si>
  <si>
    <t>8%攻防血
20%减伤
8%穿透</t>
  </si>
  <si>
    <t>12%攻防血
24%减伤
12%暴击</t>
  </si>
  <si>
    <t>8%攻防血
18%减伤
8%抗暴</t>
  </si>
  <si>
    <t>15%攻防血
22%减伤
15%穿透</t>
  </si>
  <si>
    <t>25%攻防血
10%穿透
25%暴击</t>
  </si>
  <si>
    <t>25%攻防血
22%减伤
25%暴击</t>
  </si>
  <si>
    <t>7%攻防血
16%减伤
7%暴击</t>
  </si>
  <si>
    <t>8%攻防血
20%减伤
8%暴击</t>
  </si>
  <si>
    <t>15%攻防血
22%减伤
15%暴击</t>
  </si>
  <si>
    <t>8%攻防血
18%减伤
8%暴击</t>
  </si>
  <si>
    <t>7%攻防血
16%减伤</t>
  </si>
  <si>
    <t>12%攻防血
26%减伤</t>
  </si>
  <si>
    <t>12%攻防血
25%减伤
12%抗暴</t>
  </si>
  <si>
    <t>16%攻防血
35%减伤
16%抗暴</t>
  </si>
  <si>
    <t>23%攻防血
25%暴击
22%暴伤
23%抗暴</t>
  </si>
  <si>
    <t>16%攻防血
35%减伤
16%暴伤</t>
  </si>
  <si>
    <t>23%攻防血
25%暴击
15%穿透
23%抗暴</t>
  </si>
  <si>
    <t>23%攻防血
25%暴击
23%抗暴
15%穿透</t>
  </si>
  <si>
    <t>132速</t>
  </si>
  <si>
    <t>16%攻防血
35%减伤
16%暴击</t>
  </si>
  <si>
    <t>23%攻防血
25%暴伤
23%抗暴
20%穿透</t>
  </si>
  <si>
    <t>151速</t>
  </si>
  <si>
    <t>12%攻防血
25%减伤
12%穿透</t>
  </si>
  <si>
    <t>25%攻防血
28%抗暴
28%暴伤
25%暴击</t>
  </si>
  <si>
    <t>23%攻防血
23%穿透
28%暴伤
25%暴击</t>
  </si>
  <si>
    <t>23%攻防血
23%抗暴
28%暴伤
25%暴击</t>
  </si>
  <si>
    <t>装备技能</t>
  </si>
  <si>
    <t>典籍数量</t>
  </si>
  <si>
    <t>35%暴击
5%爆伤</t>
  </si>
  <si>
    <t>20%抗爆
30%减伤</t>
  </si>
  <si>
    <t>7%抗爆</t>
  </si>
  <si>
    <t>13%抗爆</t>
  </si>
  <si>
    <t>10%抗爆</t>
  </si>
  <si>
    <t>16%抗爆</t>
  </si>
  <si>
    <t>18%抗爆</t>
  </si>
  <si>
    <t>140速
5%爆伤</t>
  </si>
  <si>
    <t>没</t>
  </si>
  <si>
    <t>有</t>
  </si>
  <si>
    <t>35%暴击
30%抗爆</t>
  </si>
  <si>
    <t>6%攻防血
16%减伤
6%抗爆</t>
  </si>
  <si>
    <t>7%攻防血
20%减伤
7%抗爆</t>
  </si>
  <si>
    <t>12%攻防血
21%减伤
12%抗爆</t>
  </si>
  <si>
    <t>18%攻防血
20%暴击
15%爆伤</t>
  </si>
  <si>
    <t>18%攻防血
20%暴击
25%爆伤</t>
  </si>
  <si>
    <t>4%血
12%减伤
4%爆伤</t>
  </si>
  <si>
    <t>5%血
14%减伤
5%爆伤</t>
  </si>
  <si>
    <t>15%血
24%减伤
15%抗爆</t>
  </si>
  <si>
    <t>6%血
28%减伤
6%爆伤</t>
  </si>
  <si>
    <t>18%血
36%暴击
18%抗爆</t>
  </si>
  <si>
    <t>8%攻防血
20%减伤
8%抗爆</t>
  </si>
  <si>
    <t>12%攻防血
24%减伤
12%抗爆</t>
  </si>
  <si>
    <t>10%攻防血
32%减伤
10%抗爆</t>
  </si>
  <si>
    <t>15%攻防血
36%暴击
15%抗爆</t>
  </si>
  <si>
    <t>神兵韩非</t>
  </si>
  <si>
    <t>4%攻
12%减伤
4%爆伤</t>
  </si>
  <si>
    <t>8%攻
16%减伤
8%抗爆</t>
  </si>
  <si>
    <t>5%攻
14%减伤
5%爆伤</t>
  </si>
  <si>
    <t>10%攻
20%减伤
10%抗爆</t>
  </si>
  <si>
    <t>6%攻
28%减伤
6%爆伤</t>
  </si>
  <si>
    <t>12%攻
32%减伤
12%抗爆</t>
  </si>
  <si>
    <t>神兵战国</t>
  </si>
  <si>
    <t>8%攻防血
18%减伤
8%抗爆</t>
  </si>
  <si>
    <t>12%攻防血
25%减伤
12%抗爆</t>
  </si>
  <si>
    <t>16%攻防血
35%减伤
16%抗爆</t>
  </si>
  <si>
    <t>23%攻防血
25%暴击
22%爆伤
23%抗爆</t>
  </si>
  <si>
    <t>23%攻防血
25%暴击
15%穿透
23%抗爆</t>
  </si>
  <si>
    <t>23%攻防血
25%暴击
23%抗爆
15%穿透</t>
  </si>
  <si>
    <t>23%攻防血
25%暴伤
23%抗爆
20%穿透</t>
  </si>
  <si>
    <t>霸道机关14个</t>
  </si>
  <si>
    <t>觉醒等级10</t>
  </si>
  <si>
    <t>觉醒等级15</t>
  </si>
  <si>
    <t>觉醒等级20</t>
  </si>
  <si>
    <t>觉醒等级25</t>
  </si>
  <si>
    <t>霸道</t>
  </si>
  <si>
    <t>觉醒等级上限</t>
  </si>
  <si>
    <t>觉醒效果</t>
  </si>
  <si>
    <t>品色</t>
  </si>
  <si>
    <t>碎片贡献</t>
  </si>
  <si>
    <t>机关兽</t>
  </si>
  <si>
    <t>研发上限</t>
  </si>
  <si>
    <t>需研发度</t>
  </si>
  <si>
    <t>觉醒神图</t>
  </si>
  <si>
    <t>机关破片</t>
  </si>
  <si>
    <t>折算7阶数量</t>
  </si>
  <si>
    <t>0阶数量</t>
  </si>
  <si>
    <t>神改数量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</si>
  <si>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5%内力</t>
    </r>
  </si>
  <si>
    <t>流派加成</t>
  </si>
  <si>
    <t>阵容特效</t>
  </si>
  <si>
    <t>机关兽特效</t>
  </si>
  <si>
    <t>蓝色</t>
  </si>
  <si>
    <t>/</t>
  </si>
  <si>
    <t>机关蛇、飞翼、七郎</t>
  </si>
  <si>
    <r>
      <rPr>
        <sz val="11"/>
        <color theme="1"/>
        <rFont val="宋体"/>
        <charset val="134"/>
        <scheme val="minor"/>
      </rPr>
      <t>270个</t>
    </r>
    <r>
      <rPr>
        <b/>
        <sz val="11"/>
        <color theme="1"/>
        <rFont val="宋体"/>
        <charset val="134"/>
        <scheme val="minor"/>
      </rPr>
      <t>2阶</t>
    </r>
    <r>
      <rPr>
        <sz val="11"/>
        <color theme="1"/>
        <rFont val="宋体"/>
        <charset val="134"/>
        <scheme val="minor"/>
      </rPr>
      <t>+4个</t>
    </r>
    <r>
      <rPr>
        <b/>
        <sz val="11"/>
        <color theme="1"/>
        <rFont val="宋体"/>
        <charset val="134"/>
        <scheme val="minor"/>
      </rPr>
      <t>0阶</t>
    </r>
    <r>
      <rPr>
        <sz val="11"/>
        <color theme="1"/>
        <rFont val="宋体"/>
        <charset val="134"/>
        <scheme val="minor"/>
      </rPr>
      <t>，共274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</si>
  <si>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9%防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</si>
  <si>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15%防</t>
    </r>
  </si>
  <si>
    <t>1阶</t>
  </si>
  <si>
    <t>总攻+2%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</si>
  <si>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初始攻击最低</t>
    </r>
    <r>
      <rPr>
        <sz val="10"/>
        <color theme="1"/>
        <rFont val="宋体"/>
        <charset val="134"/>
        <scheme val="minor"/>
      </rPr>
      <t>的后排单位为基准，使其他后排单位的初始攻击</t>
    </r>
    <r>
      <rPr>
        <b/>
        <sz val="10"/>
        <color theme="1"/>
        <rFont val="宋体"/>
        <charset val="134"/>
        <scheme val="minor"/>
      </rPr>
      <t>下降两者差值的12%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</si>
  <si>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最高初始攻击和暴击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机关兽获得两者差值的14%</t>
    </r>
  </si>
  <si>
    <t>四爪、八爪、蝙蝠、沙船</t>
  </si>
  <si>
    <r>
      <rPr>
        <sz val="11"/>
        <color theme="1"/>
        <rFont val="宋体"/>
        <charset val="134"/>
        <scheme val="minor"/>
      </rPr>
      <t>30个</t>
    </r>
    <r>
      <rPr>
        <b/>
        <sz val="11"/>
        <color theme="1"/>
        <rFont val="宋体"/>
        <charset val="134"/>
        <scheme val="minor"/>
      </rPr>
      <t>5阶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3阶</t>
    </r>
    <r>
      <rPr>
        <sz val="11"/>
        <color theme="1"/>
        <rFont val="宋体"/>
        <charset val="134"/>
        <scheme val="minor"/>
      </rPr>
      <t>，共32</t>
    </r>
  </si>
  <si>
    <t>机关蝙蝠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</si>
  <si>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3%暴击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</si>
  <si>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5%暴击</t>
    </r>
  </si>
  <si>
    <t>2阶</t>
  </si>
  <si>
    <t>总攻+4%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</si>
  <si>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初始攻击最低</t>
    </r>
    <r>
      <rPr>
        <sz val="10"/>
        <color theme="1"/>
        <rFont val="宋体"/>
        <charset val="134"/>
        <scheme val="minor"/>
      </rPr>
      <t>的后排单位为基准，使其他后排单位的初始攻击</t>
    </r>
    <r>
      <rPr>
        <b/>
        <sz val="10"/>
        <color theme="1"/>
        <rFont val="宋体"/>
        <charset val="134"/>
        <scheme val="minor"/>
      </rPr>
      <t>下降两者差值的24%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</si>
  <si>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最高初始攻击和暴击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机关兽获得两者差值的28%</t>
    </r>
  </si>
  <si>
    <t>橙一</t>
  </si>
  <si>
    <t>铜人、王蛇</t>
  </si>
  <si>
    <r>
      <rPr>
        <sz val="11"/>
        <color theme="1"/>
        <rFont val="宋体"/>
        <charset val="134"/>
        <scheme val="minor"/>
      </rPr>
      <t>6个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4阶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0阶</t>
    </r>
    <r>
      <rPr>
        <sz val="11"/>
        <color theme="1"/>
        <rFont val="宋体"/>
        <charset val="134"/>
        <scheme val="minor"/>
      </rPr>
      <t>，共8</t>
    </r>
  </si>
  <si>
    <r>
      <rPr>
        <b/>
        <sz val="11"/>
        <color theme="1"/>
        <rFont val="宋体"/>
        <charset val="134"/>
        <scheme val="minor"/>
      </rPr>
      <t>8阶满神改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0阶</t>
    </r>
    <r>
      <rPr>
        <sz val="11"/>
        <color theme="1"/>
        <rFont val="宋体"/>
        <charset val="134"/>
        <scheme val="minor"/>
      </rPr>
      <t>，共5</t>
    </r>
  </si>
  <si>
    <t>机关沙船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</si>
  <si>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7%血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</si>
  <si>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15%血</t>
    </r>
  </si>
  <si>
    <t>3阶</t>
  </si>
  <si>
    <t>总攻+6%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</si>
  <si>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初始攻击最低</t>
    </r>
    <r>
      <rPr>
        <sz val="10"/>
        <color theme="1"/>
        <rFont val="宋体"/>
        <charset val="134"/>
        <scheme val="minor"/>
      </rPr>
      <t>的后排单位为基准，使其他后排单位的初始攻击</t>
    </r>
    <r>
      <rPr>
        <b/>
        <sz val="10"/>
        <color theme="1"/>
        <rFont val="宋体"/>
        <charset val="134"/>
        <scheme val="minor"/>
      </rPr>
      <t>下降两者差值的36%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</si>
  <si>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最高初始攻击和暴击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机关兽获得两者差值的42%</t>
    </r>
  </si>
  <si>
    <t>橙二</t>
  </si>
  <si>
    <t>白虎、朱雀、玄武、三郎</t>
  </si>
  <si>
    <r>
      <rPr>
        <sz val="11"/>
        <color theme="1"/>
        <rFont val="宋体"/>
        <charset val="134"/>
        <scheme val="minor"/>
      </rPr>
      <t>9个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5阶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4阶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3阶</t>
    </r>
    <r>
      <rPr>
        <sz val="11"/>
        <color theme="1"/>
        <rFont val="宋体"/>
        <charset val="134"/>
        <scheme val="minor"/>
      </rPr>
      <t>，共12</t>
    </r>
  </si>
  <si>
    <r>
      <rPr>
        <b/>
        <sz val="11"/>
        <color theme="1"/>
        <rFont val="宋体"/>
        <charset val="134"/>
        <scheme val="minor"/>
      </rPr>
      <t>9阶满神改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4阶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2阶</t>
    </r>
    <r>
      <rPr>
        <sz val="11"/>
        <color theme="1"/>
        <rFont val="宋体"/>
        <charset val="134"/>
        <scheme val="minor"/>
      </rPr>
      <t>，共9</t>
    </r>
  </si>
  <si>
    <t>赤练王蛇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</si>
  <si>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10%攻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</si>
  <si>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20%攻</t>
    </r>
  </si>
  <si>
    <t>4阶</t>
  </si>
  <si>
    <t>总攻+8%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</si>
  <si>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初始攻击最低</t>
    </r>
    <r>
      <rPr>
        <sz val="10"/>
        <color theme="1"/>
        <rFont val="宋体"/>
        <charset val="134"/>
        <scheme val="minor"/>
      </rPr>
      <t>的后排单位为基准，使其他后排单位的初始攻击</t>
    </r>
    <r>
      <rPr>
        <b/>
        <sz val="10"/>
        <color theme="1"/>
        <rFont val="宋体"/>
        <charset val="134"/>
        <scheme val="minor"/>
      </rPr>
      <t>下降两者差值的48%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</si>
  <si>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最高初始攻击和暴击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机关兽获得两者差值的56%</t>
    </r>
  </si>
  <si>
    <t>橙三</t>
  </si>
  <si>
    <t>青龙、零号</t>
  </si>
  <si>
    <t>破土三郎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</si>
  <si>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4%暴击伤害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</si>
  <si>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7%暴击伤害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</si>
  <si>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11%暴击伤害</t>
    </r>
  </si>
  <si>
    <t>5阶</t>
  </si>
  <si>
    <t>总攻+10%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</si>
  <si>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初始攻击最低</t>
    </r>
    <r>
      <rPr>
        <sz val="10"/>
        <color theme="1"/>
        <rFont val="宋体"/>
        <charset val="134"/>
        <scheme val="minor"/>
      </rPr>
      <t>的后排单位为基准，使其他后排单位的初始攻击</t>
    </r>
    <r>
      <rPr>
        <b/>
        <sz val="10"/>
        <color theme="1"/>
        <rFont val="宋体"/>
        <charset val="134"/>
        <scheme val="minor"/>
      </rPr>
      <t>下降两者差值的60%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</si>
  <si>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最高初始攻击和暴击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机关兽获得两者差值的70%</t>
    </r>
  </si>
  <si>
    <t>橙四</t>
  </si>
  <si>
    <t>蜃楼、年兽、南瓜、神龙
兵魔神、九头、元兽</t>
  </si>
  <si>
    <t>兵魔神</t>
  </si>
  <si>
    <r>
      <rPr>
        <sz val="10"/>
        <rFont val="宋体"/>
        <charset val="134"/>
        <scheme val="minor"/>
      </rPr>
      <t>机关兽行动后，有</t>
    </r>
    <r>
      <rPr>
        <b/>
        <sz val="10"/>
        <rFont val="宋体"/>
        <charset val="134"/>
        <scheme val="minor"/>
      </rPr>
      <t>12%几率斩杀</t>
    </r>
    <r>
      <rPr>
        <sz val="10"/>
        <rFont val="宋体"/>
        <charset val="134"/>
        <scheme val="minor"/>
      </rPr>
      <t>血量最少的目标</t>
    </r>
  </si>
  <si>
    <r>
      <rPr>
        <sz val="10"/>
        <rFont val="宋体"/>
        <charset val="134"/>
        <scheme val="minor"/>
      </rPr>
      <t>机关兽行动后，有</t>
    </r>
    <r>
      <rPr>
        <b/>
        <sz val="10"/>
        <rFont val="宋体"/>
        <charset val="134"/>
        <scheme val="minor"/>
      </rPr>
      <t>24%几率斩杀</t>
    </r>
    <r>
      <rPr>
        <sz val="10"/>
        <rFont val="宋体"/>
        <charset val="134"/>
        <scheme val="minor"/>
      </rPr>
      <t>血量最少的目标</t>
    </r>
  </si>
  <si>
    <r>
      <rPr>
        <sz val="10"/>
        <rFont val="宋体"/>
        <charset val="134"/>
        <scheme val="minor"/>
      </rPr>
      <t>机关兽行动后，有</t>
    </r>
    <r>
      <rPr>
        <b/>
        <sz val="10"/>
        <rFont val="宋体"/>
        <charset val="134"/>
        <scheme val="minor"/>
      </rPr>
      <t>36%几率斩杀</t>
    </r>
    <r>
      <rPr>
        <sz val="10"/>
        <rFont val="宋体"/>
        <charset val="134"/>
        <scheme val="minor"/>
      </rPr>
      <t>血量最少的目标</t>
    </r>
  </si>
  <si>
    <t>橙五</t>
  </si>
  <si>
    <t>熊罴、青鸾、炎傀、鲲鹏、岳獠</t>
  </si>
  <si>
    <r>
      <rPr>
        <sz val="11"/>
        <color theme="1"/>
        <rFont val="宋体"/>
        <charset val="134"/>
        <scheme val="minor"/>
      </rPr>
      <t>13个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+1个</t>
    </r>
    <r>
      <rPr>
        <b/>
        <sz val="11"/>
        <color theme="1"/>
        <rFont val="宋体"/>
        <charset val="134"/>
        <scheme val="minor"/>
      </rPr>
      <t>6阶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0阶</t>
    </r>
    <r>
      <rPr>
        <sz val="11"/>
        <color theme="1"/>
        <rFont val="宋体"/>
        <charset val="134"/>
        <scheme val="minor"/>
      </rPr>
      <t>，共16</t>
    </r>
  </si>
  <si>
    <r>
      <rPr>
        <b/>
        <sz val="11"/>
        <color theme="1"/>
        <rFont val="宋体"/>
        <charset val="134"/>
        <scheme val="minor"/>
      </rPr>
      <t>10阶满神改</t>
    </r>
    <r>
      <rPr>
        <sz val="11"/>
        <color theme="1"/>
        <rFont val="宋体"/>
        <charset val="134"/>
        <scheme val="minor"/>
      </rPr>
      <t>+2个</t>
    </r>
    <r>
      <rPr>
        <b/>
        <sz val="11"/>
        <color theme="1"/>
        <rFont val="宋体"/>
        <charset val="134"/>
        <scheme val="minor"/>
      </rPr>
      <t>7阶</t>
    </r>
    <r>
      <rPr>
        <sz val="11"/>
        <color theme="1"/>
        <rFont val="宋体"/>
        <charset val="134"/>
        <scheme val="minor"/>
      </rPr>
      <t>+3个</t>
    </r>
    <r>
      <rPr>
        <b/>
        <sz val="11"/>
        <color theme="1"/>
        <rFont val="宋体"/>
        <charset val="134"/>
        <scheme val="minor"/>
      </rPr>
      <t>4阶</t>
    </r>
    <r>
      <rPr>
        <sz val="11"/>
        <color theme="1"/>
        <rFont val="宋体"/>
        <charset val="134"/>
        <scheme val="minor"/>
      </rPr>
      <t>，共13</t>
    </r>
  </si>
  <si>
    <t>九头勾玉</t>
  </si>
  <si>
    <r>
      <rPr>
        <sz val="10"/>
        <rFont val="宋体"/>
        <charset val="134"/>
        <scheme val="minor"/>
      </rPr>
      <t>普通关卡产出</t>
    </r>
    <r>
      <rPr>
        <b/>
        <sz val="10"/>
        <rFont val="宋体"/>
        <charset val="134"/>
        <scheme val="minor"/>
      </rPr>
      <t>8%概率翻倍</t>
    </r>
  </si>
  <si>
    <r>
      <rPr>
        <sz val="10"/>
        <rFont val="宋体"/>
        <charset val="134"/>
        <scheme val="minor"/>
      </rPr>
      <t>普通关卡产出</t>
    </r>
    <r>
      <rPr>
        <b/>
        <sz val="10"/>
        <rFont val="宋体"/>
        <charset val="134"/>
        <scheme val="minor"/>
      </rPr>
      <t>15%概率翻倍</t>
    </r>
  </si>
  <si>
    <r>
      <rPr>
        <sz val="10"/>
        <rFont val="宋体"/>
        <charset val="134"/>
        <scheme val="minor"/>
      </rPr>
      <t>普通关卡产出</t>
    </r>
    <r>
      <rPr>
        <b/>
        <sz val="10"/>
        <rFont val="宋体"/>
        <charset val="134"/>
        <scheme val="minor"/>
      </rPr>
      <t>25%概率翻倍</t>
    </r>
  </si>
  <si>
    <t>理论值</t>
  </si>
  <si>
    <r>
      <rPr>
        <sz val="10"/>
        <rFont val="宋体"/>
        <charset val="134"/>
        <scheme val="minor"/>
      </rPr>
      <t>大厅每日派遣上限提高</t>
    </r>
    <r>
      <rPr>
        <b/>
        <sz val="10"/>
        <rFont val="宋体"/>
        <charset val="134"/>
        <scheme val="minor"/>
      </rPr>
      <t>3次</t>
    </r>
  </si>
  <si>
    <r>
      <rPr>
        <sz val="10"/>
        <rFont val="宋体"/>
        <charset val="134"/>
        <scheme val="minor"/>
      </rPr>
      <t>大厅每日派遣上限提高</t>
    </r>
    <r>
      <rPr>
        <b/>
        <sz val="10"/>
        <rFont val="宋体"/>
        <charset val="134"/>
        <scheme val="minor"/>
      </rPr>
      <t>6次</t>
    </r>
  </si>
  <si>
    <r>
      <rPr>
        <sz val="10"/>
        <rFont val="宋体"/>
        <charset val="134"/>
        <scheme val="minor"/>
      </rPr>
      <t>大厅每日派遣上限提高</t>
    </r>
    <r>
      <rPr>
        <b/>
        <sz val="10"/>
        <rFont val="宋体"/>
        <charset val="134"/>
        <scheme val="minor"/>
      </rPr>
      <t>10次</t>
    </r>
  </si>
  <si>
    <t>机关元兽</t>
  </si>
  <si>
    <r>
      <rPr>
        <sz val="10"/>
        <rFont val="宋体"/>
        <charset val="134"/>
        <scheme val="minor"/>
      </rPr>
      <t>前排单位首次主动行动前，</t>
    </r>
    <r>
      <rPr>
        <b/>
        <sz val="10"/>
        <rFont val="宋体"/>
        <charset val="134"/>
        <scheme val="minor"/>
      </rPr>
      <t>中级闪避提升8%</t>
    </r>
  </si>
  <si>
    <r>
      <rPr>
        <sz val="10"/>
        <rFont val="宋体"/>
        <charset val="134"/>
        <scheme val="minor"/>
      </rPr>
      <t>前排单位首次主动行动前，</t>
    </r>
    <r>
      <rPr>
        <b/>
        <sz val="10"/>
        <rFont val="宋体"/>
        <charset val="134"/>
        <scheme val="minor"/>
      </rPr>
      <t>中级闪避提升15%</t>
    </r>
  </si>
  <si>
    <r>
      <rPr>
        <sz val="10"/>
        <rFont val="宋体"/>
        <charset val="134"/>
        <scheme val="minor"/>
      </rPr>
      <t>前排单位首次主动行动前，</t>
    </r>
    <r>
      <rPr>
        <b/>
        <sz val="10"/>
        <rFont val="宋体"/>
        <charset val="134"/>
        <scheme val="minor"/>
      </rPr>
      <t>中级闪避提升25%</t>
    </r>
  </si>
  <si>
    <t>机关神龙</t>
  </si>
  <si>
    <r>
      <rPr>
        <sz val="10"/>
        <rFont val="宋体"/>
        <charset val="134"/>
        <scheme val="minor"/>
      </rPr>
      <t>机关兽在场时，每有1个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单位存活，全体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加</t>
    </r>
    <r>
      <rPr>
        <b/>
        <sz val="10"/>
        <rFont val="宋体"/>
        <charset val="134"/>
        <scheme val="minor"/>
      </rPr>
      <t>7%攻击的追伤</t>
    </r>
  </si>
  <si>
    <r>
      <rPr>
        <sz val="10"/>
        <rFont val="宋体"/>
        <charset val="134"/>
        <scheme val="minor"/>
      </rPr>
      <t>机关兽在场时，每有1个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单位存活，全体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加</t>
    </r>
    <r>
      <rPr>
        <b/>
        <sz val="10"/>
        <rFont val="宋体"/>
        <charset val="134"/>
        <scheme val="minor"/>
      </rPr>
      <t>13%攻击的追伤</t>
    </r>
  </si>
  <si>
    <r>
      <rPr>
        <sz val="10"/>
        <rFont val="宋体"/>
        <charset val="134"/>
        <scheme val="minor"/>
      </rPr>
      <t>机关兽在场时，每有1个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单位存活，全体</t>
    </r>
    <r>
      <rPr>
        <b/>
        <sz val="10"/>
        <rFont val="宋体"/>
        <charset val="134"/>
        <scheme val="minor"/>
      </rPr>
      <t>后排</t>
    </r>
    <r>
      <rPr>
        <sz val="10"/>
        <rFont val="宋体"/>
        <charset val="134"/>
        <scheme val="minor"/>
      </rPr>
      <t>加</t>
    </r>
    <r>
      <rPr>
        <b/>
        <sz val="10"/>
        <rFont val="宋体"/>
        <charset val="134"/>
        <scheme val="minor"/>
      </rPr>
      <t>20%攻击的追伤</t>
    </r>
  </si>
  <si>
    <t>机关熊罴</t>
  </si>
  <si>
    <r>
      <rPr>
        <sz val="10"/>
        <rFont val="宋体"/>
        <charset val="134"/>
        <scheme val="minor"/>
      </rPr>
      <t>后排单位主动行动后，使随机3名敌人</t>
    </r>
    <r>
      <rPr>
        <b/>
        <sz val="10"/>
        <rFont val="宋体"/>
        <charset val="134"/>
        <scheme val="minor"/>
      </rPr>
      <t>抗暴下降5%</t>
    </r>
    <r>
      <rPr>
        <sz val="10"/>
        <rFont val="宋体"/>
        <charset val="134"/>
        <scheme val="minor"/>
      </rPr>
      <t>，可叠加3层</t>
    </r>
  </si>
  <si>
    <r>
      <rPr>
        <sz val="10"/>
        <rFont val="宋体"/>
        <charset val="134"/>
        <scheme val="minor"/>
      </rPr>
      <t>后排单位主动行动后，使随机3名敌人</t>
    </r>
    <r>
      <rPr>
        <b/>
        <sz val="10"/>
        <rFont val="宋体"/>
        <charset val="134"/>
        <scheme val="minor"/>
      </rPr>
      <t>抗暴下降9%</t>
    </r>
    <r>
      <rPr>
        <sz val="10"/>
        <rFont val="宋体"/>
        <charset val="134"/>
        <scheme val="minor"/>
      </rPr>
      <t>，可叠加3层</t>
    </r>
  </si>
  <si>
    <r>
      <rPr>
        <sz val="10"/>
        <rFont val="宋体"/>
        <charset val="134"/>
        <scheme val="minor"/>
      </rPr>
      <t>后排单位主动行动后，使随机3名敌人</t>
    </r>
    <r>
      <rPr>
        <b/>
        <sz val="10"/>
        <rFont val="宋体"/>
        <charset val="134"/>
        <scheme val="minor"/>
      </rPr>
      <t>抗暴下降14%</t>
    </r>
    <r>
      <rPr>
        <sz val="10"/>
        <rFont val="宋体"/>
        <charset val="134"/>
        <scheme val="minor"/>
      </rPr>
      <t>，可叠加3层</t>
    </r>
  </si>
  <si>
    <r>
      <rPr>
        <sz val="10"/>
        <rFont val="宋体"/>
        <charset val="134"/>
        <scheme val="minor"/>
      </rPr>
      <t>后排单位主动行动后，使随机3名敌人</t>
    </r>
    <r>
      <rPr>
        <b/>
        <sz val="10"/>
        <rFont val="宋体"/>
        <charset val="134"/>
        <scheme val="minor"/>
      </rPr>
      <t>抗暴下降20%</t>
    </r>
    <r>
      <rPr>
        <sz val="10"/>
        <rFont val="宋体"/>
        <charset val="134"/>
        <scheme val="minor"/>
      </rPr>
      <t>，可叠加3层</t>
    </r>
  </si>
  <si>
    <t>机关炎傀</t>
  </si>
  <si>
    <r>
      <rPr>
        <sz val="10"/>
        <rFont val="宋体"/>
        <charset val="134"/>
        <scheme val="minor"/>
      </rPr>
      <t>机关兽行动后，使</t>
    </r>
    <r>
      <rPr>
        <b/>
        <sz val="10"/>
        <rFont val="宋体"/>
        <charset val="134"/>
        <scheme val="minor"/>
      </rPr>
      <t>自身下回合伤害提升40%</t>
    </r>
  </si>
  <si>
    <r>
      <rPr>
        <sz val="10"/>
        <rFont val="宋体"/>
        <charset val="134"/>
        <scheme val="minor"/>
      </rPr>
      <t>机关兽行动后，使</t>
    </r>
    <r>
      <rPr>
        <b/>
        <sz val="10"/>
        <rFont val="宋体"/>
        <charset val="134"/>
        <scheme val="minor"/>
      </rPr>
      <t>自身下回合伤害提升70%</t>
    </r>
  </si>
  <si>
    <r>
      <rPr>
        <sz val="10"/>
        <rFont val="宋体"/>
        <charset val="134"/>
        <scheme val="minor"/>
      </rPr>
      <t>机关兽行动后，使</t>
    </r>
    <r>
      <rPr>
        <b/>
        <sz val="10"/>
        <rFont val="宋体"/>
        <charset val="134"/>
        <scheme val="minor"/>
      </rPr>
      <t>自身下回合伤害提升110%</t>
    </r>
  </si>
  <si>
    <r>
      <rPr>
        <sz val="10"/>
        <rFont val="宋体"/>
        <charset val="134"/>
        <scheme val="minor"/>
      </rPr>
      <t>机关兽行动后，使</t>
    </r>
    <r>
      <rPr>
        <b/>
        <sz val="10"/>
        <rFont val="宋体"/>
        <charset val="134"/>
        <scheme val="minor"/>
      </rPr>
      <t>自身下回合伤害提升150%</t>
    </r>
  </si>
  <si>
    <t>机关岳獠</t>
  </si>
  <si>
    <r>
      <rPr>
        <sz val="10"/>
        <rFont val="宋体"/>
        <charset val="134"/>
        <scheme val="minor"/>
      </rPr>
      <t>上阵弟子提升2%</t>
    </r>
    <r>
      <rPr>
        <b/>
        <sz val="10"/>
        <rFont val="宋体"/>
        <charset val="134"/>
        <scheme val="minor"/>
      </rPr>
      <t>真伤抵抗</t>
    </r>
  </si>
  <si>
    <r>
      <rPr>
        <sz val="10"/>
        <rFont val="宋体"/>
        <charset val="134"/>
        <scheme val="minor"/>
      </rPr>
      <t>上阵弟子提升4%</t>
    </r>
    <r>
      <rPr>
        <b/>
        <sz val="10"/>
        <rFont val="宋体"/>
        <charset val="134"/>
        <scheme val="minor"/>
      </rPr>
      <t>真伤抵抗</t>
    </r>
  </si>
  <si>
    <r>
      <rPr>
        <sz val="10"/>
        <rFont val="宋体"/>
        <charset val="134"/>
        <scheme val="minor"/>
      </rPr>
      <t>上阵弟子提升7%</t>
    </r>
    <r>
      <rPr>
        <b/>
        <sz val="10"/>
        <rFont val="宋体"/>
        <charset val="134"/>
        <scheme val="minor"/>
      </rPr>
      <t>真伤抵抗</t>
    </r>
  </si>
  <si>
    <r>
      <rPr>
        <sz val="10"/>
        <rFont val="宋体"/>
        <charset val="134"/>
        <scheme val="minor"/>
      </rPr>
      <t>上阵弟子提升10%</t>
    </r>
    <r>
      <rPr>
        <b/>
        <sz val="10"/>
        <rFont val="宋体"/>
        <charset val="134"/>
        <scheme val="minor"/>
      </rPr>
      <t>真伤抵抗</t>
    </r>
  </si>
  <si>
    <t>非攻机关13个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</si>
  <si>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3%抗暴击</t>
    </r>
  </si>
  <si>
    <t>机关飞翼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</si>
  <si>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3%技能穿透</t>
    </r>
  </si>
  <si>
    <t>总血+3%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</si>
  <si>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初始技能减免最低</t>
    </r>
    <r>
      <rPr>
        <sz val="10"/>
        <color theme="1"/>
        <rFont val="宋体"/>
        <charset val="134"/>
        <scheme val="minor"/>
      </rPr>
      <t>的单位为基准，使其他单位的初始技能减免</t>
    </r>
    <r>
      <rPr>
        <b/>
        <sz val="10"/>
        <color theme="1"/>
        <rFont val="宋体"/>
        <charset val="134"/>
        <scheme val="minor"/>
      </rPr>
      <t>下降两者差值的8%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</si>
  <si>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最高初始穿透和暴伤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机关兽获得两者差值的14%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</si>
  <si>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3%技能穿透</t>
    </r>
  </si>
  <si>
    <t>四爪铁蜘蛛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</si>
  <si>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3%技能减免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</si>
  <si>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5%技能减免</t>
    </r>
  </si>
  <si>
    <t>总血+6%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</si>
  <si>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初始技能减免最低</t>
    </r>
    <r>
      <rPr>
        <sz val="10"/>
        <color theme="1"/>
        <rFont val="宋体"/>
        <charset val="134"/>
        <scheme val="minor"/>
      </rPr>
      <t>的单位为基准，使其他单位的初始技能减免</t>
    </r>
    <r>
      <rPr>
        <b/>
        <sz val="10"/>
        <color theme="1"/>
        <rFont val="宋体"/>
        <charset val="134"/>
        <scheme val="minor"/>
      </rPr>
      <t>下降两者差值的16%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</si>
  <si>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最高初始穿透和暴伤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机关兽获得两者差值的28%</t>
    </r>
  </si>
  <si>
    <t>机关铜人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</si>
  <si>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4%暴击伤害减免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</si>
  <si>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7%暴击伤害减免</t>
    </r>
  </si>
  <si>
    <t>总血+9%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</si>
  <si>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初始技能减免最低</t>
    </r>
    <r>
      <rPr>
        <sz val="10"/>
        <color theme="1"/>
        <rFont val="宋体"/>
        <charset val="134"/>
        <scheme val="minor"/>
      </rPr>
      <t>的单位为基准，使其他单位的初始技能减免</t>
    </r>
    <r>
      <rPr>
        <b/>
        <sz val="10"/>
        <color theme="1"/>
        <rFont val="宋体"/>
        <charset val="134"/>
        <scheme val="minor"/>
      </rPr>
      <t>下降两者差值的24%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</si>
  <si>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最高初始穿透和暴伤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机关兽获得两者差值的42%</t>
    </r>
  </si>
  <si>
    <t>机关青龙</t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</si>
  <si>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随机2名弟子解除负面状态</t>
    </r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</si>
  <si>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随机3名弟子解除负面状态</t>
    </r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</si>
  <si>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随机5名弟子解除负面状态</t>
    </r>
  </si>
  <si>
    <t>总血+12%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</si>
  <si>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初始技能减免最低</t>
    </r>
    <r>
      <rPr>
        <sz val="10"/>
        <color theme="1"/>
        <rFont val="宋体"/>
        <charset val="134"/>
        <scheme val="minor"/>
      </rPr>
      <t>的单位为基准，使其他单位的初始技能减免</t>
    </r>
    <r>
      <rPr>
        <b/>
        <sz val="10"/>
        <color theme="1"/>
        <rFont val="宋体"/>
        <charset val="134"/>
        <scheme val="minor"/>
      </rPr>
      <t>下降两者差值的32%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</si>
  <si>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最高初始穿透和暴伤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机关兽获得两者差值的56%</t>
    </r>
  </si>
  <si>
    <t>机关白虎</t>
  </si>
  <si>
    <r>
      <rPr>
        <sz val="10"/>
        <rFont val="宋体"/>
        <charset val="134"/>
        <scheme val="minor"/>
      </rPr>
      <t>我方弟子首次</t>
    </r>
    <r>
      <rPr>
        <b/>
        <sz val="10"/>
        <rFont val="宋体"/>
        <charset val="134"/>
        <scheme val="minor"/>
      </rPr>
      <t>被清空神将护盾</t>
    </r>
    <r>
      <rPr>
        <sz val="10"/>
        <rFont val="宋体"/>
        <charset val="134"/>
        <scheme val="minor"/>
      </rPr>
      <t>后，</t>
    </r>
    <r>
      <rPr>
        <b/>
        <sz val="10"/>
        <rFont val="宋体"/>
        <charset val="134"/>
        <scheme val="minor"/>
      </rPr>
      <t>攻击、防御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8</t>
    </r>
    <r>
      <rPr>
        <sz val="10"/>
        <rFont val="宋体"/>
        <charset val="134"/>
        <scheme val="minor"/>
      </rPr>
      <t>%，</t>
    </r>
    <r>
      <rPr>
        <b/>
        <sz val="10"/>
        <rFont val="宋体"/>
        <charset val="134"/>
        <scheme val="minor"/>
      </rPr>
      <t>内力下降5%</t>
    </r>
  </si>
  <si>
    <r>
      <rPr>
        <sz val="10"/>
        <rFont val="宋体"/>
        <charset val="134"/>
        <scheme val="minor"/>
      </rPr>
      <t>我方弟子首次</t>
    </r>
    <r>
      <rPr>
        <b/>
        <sz val="10"/>
        <rFont val="宋体"/>
        <charset val="134"/>
        <scheme val="minor"/>
      </rPr>
      <t>被清空神将护盾</t>
    </r>
    <r>
      <rPr>
        <sz val="10"/>
        <rFont val="宋体"/>
        <charset val="134"/>
        <scheme val="minor"/>
      </rPr>
      <t>后，</t>
    </r>
    <r>
      <rPr>
        <b/>
        <sz val="10"/>
        <rFont val="宋体"/>
        <charset val="134"/>
        <scheme val="minor"/>
      </rPr>
      <t>攻击、防御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11</t>
    </r>
    <r>
      <rPr>
        <sz val="10"/>
        <rFont val="宋体"/>
        <charset val="134"/>
        <scheme val="minor"/>
      </rPr>
      <t>%，</t>
    </r>
    <r>
      <rPr>
        <b/>
        <sz val="10"/>
        <rFont val="宋体"/>
        <charset val="134"/>
        <scheme val="minor"/>
      </rPr>
      <t>内力下降5%</t>
    </r>
  </si>
  <si>
    <r>
      <rPr>
        <sz val="10"/>
        <rFont val="宋体"/>
        <charset val="134"/>
        <scheme val="minor"/>
      </rPr>
      <t>我方弟子首次</t>
    </r>
    <r>
      <rPr>
        <b/>
        <sz val="10"/>
        <rFont val="宋体"/>
        <charset val="134"/>
        <scheme val="minor"/>
      </rPr>
      <t>被清空神将护盾</t>
    </r>
    <r>
      <rPr>
        <sz val="10"/>
        <rFont val="宋体"/>
        <charset val="134"/>
        <scheme val="minor"/>
      </rPr>
      <t>后，</t>
    </r>
    <r>
      <rPr>
        <b/>
        <sz val="10"/>
        <rFont val="宋体"/>
        <charset val="134"/>
        <scheme val="minor"/>
      </rPr>
      <t>攻击、防御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15</t>
    </r>
    <r>
      <rPr>
        <sz val="10"/>
        <rFont val="宋体"/>
        <charset val="134"/>
        <scheme val="minor"/>
      </rPr>
      <t>%，</t>
    </r>
    <r>
      <rPr>
        <b/>
        <sz val="10"/>
        <rFont val="宋体"/>
        <charset val="134"/>
        <scheme val="minor"/>
      </rPr>
      <t>内力下降5%</t>
    </r>
  </si>
  <si>
    <t>总血+15%</t>
  </si>
  <si>
    <r>
      <rPr>
        <sz val="10"/>
        <color theme="1"/>
        <rFont val="宋体"/>
        <charset val="134"/>
        <scheme val="minor"/>
      </rPr>
      <t>以敌方</t>
    </r>
    <r>
      <rPr>
        <b/>
        <sz val="10"/>
        <color theme="1"/>
        <rFont val="宋体"/>
        <charset val="134"/>
        <scheme val="minor"/>
      </rPr>
      <t>初始技能减免最低</t>
    </r>
    <r>
      <rPr>
        <sz val="10"/>
        <color theme="1"/>
        <rFont val="宋体"/>
        <charset val="134"/>
        <scheme val="minor"/>
      </rPr>
      <t>的单位为基准，使其他单位的初始技能减免</t>
    </r>
    <r>
      <rPr>
        <b/>
        <sz val="10"/>
        <color theme="1"/>
        <rFont val="宋体"/>
        <charset val="134"/>
        <scheme val="minor"/>
      </rPr>
      <t>下降两者差值的40%</t>
    </r>
  </si>
  <si>
    <r>
      <rPr>
        <sz val="10"/>
        <color theme="1"/>
        <rFont val="宋体"/>
        <charset val="134"/>
        <scheme val="minor"/>
      </rPr>
      <t>我方弟子中的</t>
    </r>
    <r>
      <rPr>
        <b/>
        <sz val="10"/>
        <color theme="1"/>
        <rFont val="宋体"/>
        <charset val="134"/>
        <scheme val="minor"/>
      </rPr>
      <t>最高初始穿透和暴伤</t>
    </r>
    <r>
      <rPr>
        <sz val="10"/>
        <color theme="1"/>
        <rFont val="宋体"/>
        <charset val="134"/>
        <scheme val="minor"/>
      </rPr>
      <t>，此两项属性高于上阵机关兽时，</t>
    </r>
    <r>
      <rPr>
        <b/>
        <sz val="10"/>
        <color theme="1"/>
        <rFont val="宋体"/>
        <charset val="134"/>
        <scheme val="minor"/>
      </rPr>
      <t>机关兽获得两者差值的70%</t>
    </r>
  </si>
  <si>
    <t>机关朱雀</t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</si>
  <si>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2%负面抵抗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</si>
  <si>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3%负面抵抗</t>
    </r>
  </si>
  <si>
    <r>
      <rPr>
        <sz val="10"/>
        <rFont val="宋体"/>
        <charset val="134"/>
        <scheme val="minor"/>
      </rPr>
      <t>上阵弟子提升</t>
    </r>
    <r>
      <rPr>
        <b/>
        <sz val="10"/>
        <rFont val="宋体"/>
        <charset val="134"/>
        <scheme val="minor"/>
      </rPr>
      <t>5%负面抵抗</t>
    </r>
  </si>
  <si>
    <t>机关玄武</t>
  </si>
  <si>
    <r>
      <rPr>
        <sz val="10"/>
        <rFont val="宋体"/>
        <charset val="134"/>
        <scheme val="minor"/>
      </rPr>
      <t>贩卖鱼货时，</t>
    </r>
    <r>
      <rPr>
        <b/>
        <sz val="10"/>
        <rFont val="宋体"/>
        <charset val="134"/>
        <scheme val="minor"/>
      </rPr>
      <t>每条额外获得2枚鱼币</t>
    </r>
  </si>
  <si>
    <r>
      <rPr>
        <sz val="10"/>
        <rFont val="宋体"/>
        <charset val="134"/>
        <scheme val="minor"/>
      </rPr>
      <t>贩卖鱼货时，</t>
    </r>
    <r>
      <rPr>
        <b/>
        <sz val="10"/>
        <rFont val="宋体"/>
        <charset val="134"/>
        <scheme val="minor"/>
      </rPr>
      <t>每条额外获得4枚鱼币</t>
    </r>
  </si>
  <si>
    <r>
      <rPr>
        <sz val="10"/>
        <rFont val="宋体"/>
        <charset val="134"/>
        <scheme val="minor"/>
      </rPr>
      <t>贩卖鱼货时，</t>
    </r>
    <r>
      <rPr>
        <b/>
        <sz val="10"/>
        <rFont val="宋体"/>
        <charset val="134"/>
        <scheme val="minor"/>
      </rPr>
      <t>每条额外获得6枚鱼币</t>
    </r>
  </si>
  <si>
    <t>零号白虎</t>
  </si>
  <si>
    <r>
      <rPr>
        <sz val="10"/>
        <rFont val="宋体"/>
        <charset val="134"/>
        <scheme val="minor"/>
      </rPr>
      <t>月卡每日领取的</t>
    </r>
    <r>
      <rPr>
        <b/>
        <sz val="10"/>
        <rFont val="宋体"/>
        <charset val="134"/>
        <scheme val="minor"/>
      </rPr>
      <t>元宝提高50%</t>
    </r>
  </si>
  <si>
    <r>
      <rPr>
        <sz val="10"/>
        <rFont val="宋体"/>
        <charset val="134"/>
        <scheme val="minor"/>
      </rPr>
      <t>月卡每日领取的</t>
    </r>
    <r>
      <rPr>
        <b/>
        <sz val="10"/>
        <rFont val="宋体"/>
        <charset val="134"/>
        <scheme val="minor"/>
      </rPr>
      <t>元宝提高100%</t>
    </r>
  </si>
  <si>
    <r>
      <rPr>
        <sz val="10"/>
        <rFont val="宋体"/>
        <charset val="134"/>
        <scheme val="minor"/>
      </rPr>
      <t>月卡每日领取的</t>
    </r>
    <r>
      <rPr>
        <b/>
        <sz val="10"/>
        <rFont val="宋体"/>
        <charset val="134"/>
        <scheme val="minor"/>
      </rPr>
      <t>元宝提高150%</t>
    </r>
  </si>
  <si>
    <t>机关年兽</t>
  </si>
  <si>
    <r>
      <rPr>
        <sz val="10"/>
        <rFont val="宋体"/>
        <charset val="134"/>
        <scheme val="minor"/>
      </rPr>
      <t>我方弟子主动行动后，</t>
    </r>
    <r>
      <rPr>
        <b/>
        <sz val="10"/>
        <rFont val="宋体"/>
        <charset val="134"/>
        <scheme val="minor"/>
      </rPr>
      <t>技能穿透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6</t>
    </r>
    <r>
      <rPr>
        <sz val="10"/>
        <rFont val="宋体"/>
        <charset val="134"/>
        <scheme val="minor"/>
      </rPr>
      <t>%，可叠加3层</t>
    </r>
  </si>
  <si>
    <r>
      <rPr>
        <sz val="10"/>
        <rFont val="宋体"/>
        <charset val="134"/>
        <scheme val="minor"/>
      </rPr>
      <t>我方弟子主动行动后，</t>
    </r>
    <r>
      <rPr>
        <b/>
        <sz val="10"/>
        <rFont val="宋体"/>
        <charset val="134"/>
        <scheme val="minor"/>
      </rPr>
      <t>技能穿透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10</t>
    </r>
    <r>
      <rPr>
        <sz val="10"/>
        <rFont val="宋体"/>
        <charset val="134"/>
        <scheme val="minor"/>
      </rPr>
      <t>%，可叠加3层</t>
    </r>
  </si>
  <si>
    <r>
      <rPr>
        <sz val="10"/>
        <rFont val="宋体"/>
        <charset val="134"/>
        <scheme val="minor"/>
      </rPr>
      <t>我方弟子主动行动后，</t>
    </r>
    <r>
      <rPr>
        <b/>
        <sz val="10"/>
        <rFont val="宋体"/>
        <charset val="134"/>
        <scheme val="minor"/>
      </rPr>
      <t>技能穿透</t>
    </r>
    <r>
      <rPr>
        <sz val="10"/>
        <rFont val="宋体"/>
        <charset val="134"/>
        <scheme val="minor"/>
      </rPr>
      <t>提升</t>
    </r>
    <r>
      <rPr>
        <b/>
        <sz val="10"/>
        <rFont val="宋体"/>
        <charset val="134"/>
        <scheme val="minor"/>
      </rPr>
      <t>15</t>
    </r>
    <r>
      <rPr>
        <sz val="10"/>
        <rFont val="宋体"/>
        <charset val="134"/>
        <scheme val="minor"/>
      </rPr>
      <t>%，可叠加3层</t>
    </r>
  </si>
  <si>
    <t>南瓜怪人</t>
  </si>
  <si>
    <r>
      <rPr>
        <sz val="10"/>
        <rFont val="宋体"/>
        <charset val="134"/>
        <scheme val="minor"/>
      </rPr>
      <t>每天魂道</t>
    </r>
    <r>
      <rPr>
        <b/>
        <sz val="10"/>
        <rFont val="宋体"/>
        <charset val="134"/>
        <scheme val="minor"/>
      </rPr>
      <t>第1次</t>
    </r>
    <r>
      <rPr>
        <sz val="10"/>
        <rFont val="宋体"/>
        <charset val="134"/>
        <scheme val="minor"/>
      </rPr>
      <t>失败不打断连胜</t>
    </r>
  </si>
  <si>
    <r>
      <rPr>
        <sz val="10"/>
        <rFont val="宋体"/>
        <charset val="134"/>
        <scheme val="minor"/>
      </rPr>
      <t>每天魂道</t>
    </r>
    <r>
      <rPr>
        <b/>
        <sz val="10"/>
        <rFont val="宋体"/>
        <charset val="134"/>
        <scheme val="minor"/>
      </rPr>
      <t>前2次</t>
    </r>
    <r>
      <rPr>
        <sz val="10"/>
        <rFont val="宋体"/>
        <charset val="134"/>
        <scheme val="minor"/>
      </rPr>
      <t>失败不打断连胜</t>
    </r>
  </si>
  <si>
    <r>
      <rPr>
        <sz val="10"/>
        <rFont val="宋体"/>
        <charset val="134"/>
        <scheme val="minor"/>
      </rPr>
      <t>每天魂道</t>
    </r>
    <r>
      <rPr>
        <b/>
        <sz val="10"/>
        <rFont val="宋体"/>
        <charset val="134"/>
        <scheme val="minor"/>
      </rPr>
      <t>前4次</t>
    </r>
    <r>
      <rPr>
        <sz val="10"/>
        <rFont val="宋体"/>
        <charset val="134"/>
        <scheme val="minor"/>
      </rPr>
      <t>失败不打断连胜</t>
    </r>
  </si>
  <si>
    <t>机关青鸾</t>
  </si>
  <si>
    <r>
      <rPr>
        <sz val="10"/>
        <rFont val="宋体"/>
        <charset val="134"/>
        <scheme val="minor"/>
      </rPr>
      <t>机关兽在场时，每有1个前排单位存活，</t>
    </r>
    <r>
      <rPr>
        <b/>
        <sz val="10"/>
        <rFont val="宋体"/>
        <charset val="134"/>
        <scheme val="minor"/>
      </rPr>
      <t>全体后排增加2%技能减免</t>
    </r>
  </si>
  <si>
    <r>
      <rPr>
        <sz val="10"/>
        <rFont val="宋体"/>
        <charset val="134"/>
        <scheme val="minor"/>
      </rPr>
      <t>机关兽在场时，每有1个前排单位存活，</t>
    </r>
    <r>
      <rPr>
        <b/>
        <sz val="10"/>
        <rFont val="宋体"/>
        <charset val="134"/>
        <scheme val="minor"/>
      </rPr>
      <t>全体后排增加4%技能减免</t>
    </r>
  </si>
  <si>
    <r>
      <rPr>
        <sz val="10"/>
        <rFont val="宋体"/>
        <charset val="134"/>
        <scheme val="minor"/>
      </rPr>
      <t>机关兽在场时，每有1个前排单位存活，</t>
    </r>
    <r>
      <rPr>
        <b/>
        <sz val="10"/>
        <rFont val="宋体"/>
        <charset val="134"/>
        <scheme val="minor"/>
      </rPr>
      <t>全体后排增加6%技能减免</t>
    </r>
  </si>
  <si>
    <r>
      <rPr>
        <sz val="10"/>
        <rFont val="宋体"/>
        <charset val="134"/>
        <scheme val="minor"/>
      </rPr>
      <t>机关兽在场时，每有1个前排单位存活，</t>
    </r>
    <r>
      <rPr>
        <b/>
        <sz val="10"/>
        <rFont val="宋体"/>
        <charset val="134"/>
        <scheme val="minor"/>
      </rPr>
      <t>全体后排增加9%技能减免</t>
    </r>
  </si>
  <si>
    <t>机关鲲鹏</t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</si>
  <si>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回复全体弟子8%神将护盾</t>
    </r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</si>
  <si>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回复全体弟子15%神将护盾</t>
    </r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</si>
  <si>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回复全体弟子24%神将护盾</t>
    </r>
  </si>
  <si>
    <r>
      <rPr>
        <sz val="10"/>
        <rFont val="宋体"/>
        <charset val="134"/>
        <scheme val="minor"/>
      </rPr>
      <t>机关兽行动后，</t>
    </r>
    <r>
      <rPr>
        <b/>
        <sz val="10"/>
        <rFont val="宋体"/>
        <charset val="134"/>
        <scheme val="minor"/>
      </rPr>
      <t>回复全体弟子33%神将护盾</t>
    </r>
  </si>
  <si>
    <t>一版</t>
  </si>
  <si>
    <t>霸道机关13个</t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</si>
  <si>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2%内力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</si>
  <si>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2%内力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</si>
  <si>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theme="1"/>
        <rFont val="宋体"/>
        <charset val="134"/>
        <scheme val="minor"/>
      </rPr>
      <t>%防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</si>
  <si>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rgb="FFFF0000"/>
        <rFont val="宋体"/>
        <charset val="134"/>
        <scheme val="minor"/>
      </rPr>
      <t>9</t>
    </r>
    <r>
      <rPr>
        <b/>
        <sz val="11"/>
        <color theme="1"/>
        <rFont val="宋体"/>
        <charset val="134"/>
        <scheme val="minor"/>
      </rPr>
      <t>%防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</si>
  <si>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初始攻击最低</t>
    </r>
    <r>
      <rPr>
        <sz val="11"/>
        <color theme="1"/>
        <rFont val="宋体"/>
        <charset val="134"/>
        <scheme val="minor"/>
      </rPr>
      <t>的后排单位为基准，使其他后排单位的初始攻击</t>
    </r>
    <r>
      <rPr>
        <b/>
        <sz val="11"/>
        <color theme="1"/>
        <rFont val="宋体"/>
        <charset val="134"/>
        <scheme val="minor"/>
      </rPr>
      <t>下降两者差值的12%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</si>
  <si>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最高初始攻击和暴击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机关兽获得两者差值的14%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</si>
  <si>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9%防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</si>
  <si>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3%暴击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</si>
  <si>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5%暴击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</si>
  <si>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初始攻击最低</t>
    </r>
    <r>
      <rPr>
        <sz val="11"/>
        <color theme="1"/>
        <rFont val="宋体"/>
        <charset val="134"/>
        <scheme val="minor"/>
      </rPr>
      <t>的后排单位为基准，使其他后排单位的初始攻击</t>
    </r>
    <r>
      <rPr>
        <b/>
        <sz val="11"/>
        <color theme="1"/>
        <rFont val="宋体"/>
        <charset val="134"/>
        <scheme val="minor"/>
      </rPr>
      <t>下降两者差值的24%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</si>
  <si>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最高初始攻击和暴击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机关兽获得两者差值的28%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</si>
  <si>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5%暴击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</si>
  <si>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rgb="FFFF0000"/>
        <rFont val="宋体"/>
        <charset val="134"/>
        <scheme val="minor"/>
      </rPr>
      <t>4</t>
    </r>
    <r>
      <rPr>
        <b/>
        <sz val="11"/>
        <color theme="1"/>
        <rFont val="宋体"/>
        <charset val="134"/>
        <scheme val="minor"/>
      </rPr>
      <t>%血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</si>
  <si>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rgb="FFFF0000"/>
        <rFont val="宋体"/>
        <charset val="134"/>
        <scheme val="minor"/>
      </rPr>
      <t>7</t>
    </r>
    <r>
      <rPr>
        <b/>
        <sz val="11"/>
        <color theme="1"/>
        <rFont val="宋体"/>
        <charset val="134"/>
        <scheme val="minor"/>
      </rPr>
      <t>%血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</si>
  <si>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初始攻击最低</t>
    </r>
    <r>
      <rPr>
        <sz val="11"/>
        <color theme="1"/>
        <rFont val="宋体"/>
        <charset val="134"/>
        <scheme val="minor"/>
      </rPr>
      <t>的后排单位为基准，使其他后排单位的初始攻击</t>
    </r>
    <r>
      <rPr>
        <b/>
        <sz val="11"/>
        <color theme="1"/>
        <rFont val="宋体"/>
        <charset val="134"/>
        <scheme val="minor"/>
      </rPr>
      <t>下降两者差值的36%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</si>
  <si>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最高初始攻击和暴击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机关兽获得两者差值的42%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</si>
  <si>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7%血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</si>
  <si>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3%攻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</si>
  <si>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5%攻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</si>
  <si>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初始攻击最低</t>
    </r>
    <r>
      <rPr>
        <sz val="11"/>
        <color theme="1"/>
        <rFont val="宋体"/>
        <charset val="134"/>
        <scheme val="minor"/>
      </rPr>
      <t>的后排单位为基准，使其他后排单位的初始攻击</t>
    </r>
    <r>
      <rPr>
        <b/>
        <sz val="11"/>
        <color theme="1"/>
        <rFont val="宋体"/>
        <charset val="134"/>
        <scheme val="minor"/>
      </rPr>
      <t>下降两者差值的48%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</si>
  <si>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最高初始攻击和暴击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机关兽获得两者差值的56%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</si>
  <si>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5%攻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</si>
  <si>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4%暴击伤害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</si>
  <si>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7%暴击伤害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</si>
  <si>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11%暴击伤害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</si>
  <si>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初始攻击最低</t>
    </r>
    <r>
      <rPr>
        <sz val="11"/>
        <color theme="1"/>
        <rFont val="宋体"/>
        <charset val="134"/>
        <scheme val="minor"/>
      </rPr>
      <t>的后排单位为基准，使其他后排单位的初始攻击</t>
    </r>
    <r>
      <rPr>
        <b/>
        <sz val="11"/>
        <color theme="1"/>
        <rFont val="宋体"/>
        <charset val="134"/>
        <scheme val="minor"/>
      </rPr>
      <t>下降两者差值的60%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</si>
  <si>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最高初始攻击和暴击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机关兽获得两者差值的70%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</si>
  <si>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11%暴击伤害</t>
    </r>
  </si>
  <si>
    <r>
      <rPr>
        <sz val="11"/>
        <color theme="1"/>
        <rFont val="宋体"/>
        <charset val="134"/>
        <scheme val="minor"/>
      </rPr>
      <t>机关兽行动后，有</t>
    </r>
    <r>
      <rPr>
        <b/>
        <sz val="11"/>
        <color theme="1"/>
        <rFont val="宋体"/>
        <charset val="134"/>
        <scheme val="minor"/>
      </rPr>
      <t>12%几率斩杀</t>
    </r>
    <r>
      <rPr>
        <sz val="11"/>
        <color theme="1"/>
        <rFont val="宋体"/>
        <charset val="134"/>
        <scheme val="minor"/>
      </rPr>
      <t>血量最少的目标</t>
    </r>
  </si>
  <si>
    <r>
      <rPr>
        <sz val="11"/>
        <color theme="1"/>
        <rFont val="宋体"/>
        <charset val="134"/>
        <scheme val="minor"/>
      </rPr>
      <t>机关兽行动后，有</t>
    </r>
    <r>
      <rPr>
        <b/>
        <sz val="11"/>
        <color theme="1"/>
        <rFont val="宋体"/>
        <charset val="134"/>
        <scheme val="minor"/>
      </rPr>
      <t>24%几率斩杀</t>
    </r>
    <r>
      <rPr>
        <sz val="11"/>
        <color theme="1"/>
        <rFont val="宋体"/>
        <charset val="134"/>
        <scheme val="minor"/>
      </rPr>
      <t>血量最少的目标</t>
    </r>
  </si>
  <si>
    <r>
      <rPr>
        <sz val="11"/>
        <color theme="1"/>
        <rFont val="宋体"/>
        <charset val="134"/>
        <scheme val="minor"/>
      </rPr>
      <t>机关兽行动后，有</t>
    </r>
    <r>
      <rPr>
        <b/>
        <sz val="11"/>
        <color theme="1"/>
        <rFont val="宋体"/>
        <charset val="134"/>
        <scheme val="minor"/>
      </rPr>
      <t>36%几率斩杀</t>
    </r>
    <r>
      <rPr>
        <sz val="11"/>
        <color theme="1"/>
        <rFont val="宋体"/>
        <charset val="134"/>
        <scheme val="minor"/>
      </rPr>
      <t>血量最少的目标</t>
    </r>
  </si>
  <si>
    <r>
      <rPr>
        <sz val="11"/>
        <rFont val="宋体"/>
        <charset val="134"/>
        <scheme val="minor"/>
      </rPr>
      <t>机关兽行动后，有</t>
    </r>
    <r>
      <rPr>
        <b/>
        <sz val="11"/>
        <rFont val="宋体"/>
        <charset val="134"/>
        <scheme val="minor"/>
      </rPr>
      <t>36%几率斩杀</t>
    </r>
    <r>
      <rPr>
        <sz val="11"/>
        <rFont val="宋体"/>
        <charset val="134"/>
        <scheme val="minor"/>
      </rPr>
      <t>血量最少的目标</t>
    </r>
  </si>
  <si>
    <r>
      <rPr>
        <sz val="11"/>
        <color theme="1"/>
        <rFont val="宋体"/>
        <charset val="134"/>
        <scheme val="minor"/>
      </rPr>
      <t>普通关卡</t>
    </r>
    <r>
      <rPr>
        <sz val="11"/>
        <color theme="1"/>
        <rFont val="宋体"/>
        <charset val="134"/>
        <scheme val="minor"/>
      </rPr>
      <t>产出</t>
    </r>
    <r>
      <rPr>
        <b/>
        <sz val="11"/>
        <color rgb="FFFF0000"/>
        <rFont val="宋体"/>
        <charset val="134"/>
        <scheme val="minor"/>
      </rPr>
      <t>8</t>
    </r>
    <r>
      <rPr>
        <b/>
        <sz val="11"/>
        <color theme="1"/>
        <rFont val="宋体"/>
        <charset val="134"/>
        <scheme val="minor"/>
      </rPr>
      <t>%概率翻倍</t>
    </r>
  </si>
  <si>
    <r>
      <rPr>
        <sz val="11"/>
        <color theme="1"/>
        <rFont val="宋体"/>
        <charset val="134"/>
        <scheme val="minor"/>
      </rPr>
      <t>普通关卡产出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theme="1"/>
        <rFont val="宋体"/>
        <charset val="134"/>
        <scheme val="minor"/>
      </rPr>
      <t>%概率翻倍</t>
    </r>
  </si>
  <si>
    <r>
      <rPr>
        <sz val="11"/>
        <color theme="1"/>
        <rFont val="宋体"/>
        <charset val="134"/>
        <scheme val="minor"/>
      </rPr>
      <t>普通关卡产出</t>
    </r>
    <r>
      <rPr>
        <b/>
        <sz val="11"/>
        <color rgb="FFFF0000"/>
        <rFont val="宋体"/>
        <charset val="134"/>
        <scheme val="minor"/>
      </rPr>
      <t>25</t>
    </r>
    <r>
      <rPr>
        <b/>
        <sz val="11"/>
        <color theme="1"/>
        <rFont val="宋体"/>
        <charset val="134"/>
        <scheme val="minor"/>
      </rPr>
      <t>%概率翻倍</t>
    </r>
  </si>
  <si>
    <r>
      <rPr>
        <sz val="11"/>
        <rFont val="宋体"/>
        <charset val="134"/>
        <scheme val="minor"/>
      </rPr>
      <t>普通关卡产出</t>
    </r>
    <r>
      <rPr>
        <b/>
        <sz val="11"/>
        <rFont val="宋体"/>
        <charset val="134"/>
        <scheme val="minor"/>
      </rPr>
      <t>25%概率翻倍</t>
    </r>
  </si>
  <si>
    <r>
      <rPr>
        <sz val="11"/>
        <color theme="1"/>
        <rFont val="宋体"/>
        <charset val="134"/>
        <scheme val="minor"/>
      </rPr>
      <t>大厅每日派遣上限提高至</t>
    </r>
    <r>
      <rPr>
        <b/>
        <sz val="11"/>
        <color rgb="FFFF0000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>次</t>
    </r>
  </si>
  <si>
    <r>
      <rPr>
        <sz val="11"/>
        <color theme="1"/>
        <rFont val="宋体"/>
        <charset val="134"/>
        <scheme val="minor"/>
      </rPr>
      <t>大厅每日派遣上限提高至</t>
    </r>
    <r>
      <rPr>
        <b/>
        <sz val="11"/>
        <color rgb="FFFF0000"/>
        <rFont val="宋体"/>
        <charset val="134"/>
        <scheme val="minor"/>
      </rPr>
      <t>6</t>
    </r>
    <r>
      <rPr>
        <b/>
        <sz val="11"/>
        <color theme="1"/>
        <rFont val="宋体"/>
        <charset val="134"/>
        <scheme val="minor"/>
      </rPr>
      <t>次</t>
    </r>
  </si>
  <si>
    <r>
      <rPr>
        <sz val="11"/>
        <color theme="1"/>
        <rFont val="宋体"/>
        <charset val="134"/>
        <scheme val="minor"/>
      </rPr>
      <t>大厅每日派遣上限提高至</t>
    </r>
    <r>
      <rPr>
        <b/>
        <sz val="11"/>
        <color rgb="FFFF0000"/>
        <rFont val="宋体"/>
        <charset val="134"/>
        <scheme val="minor"/>
      </rPr>
      <t>10</t>
    </r>
    <r>
      <rPr>
        <b/>
        <sz val="11"/>
        <color theme="1"/>
        <rFont val="宋体"/>
        <charset val="134"/>
        <scheme val="minor"/>
      </rPr>
      <t>次</t>
    </r>
  </si>
  <si>
    <r>
      <rPr>
        <sz val="11"/>
        <rFont val="宋体"/>
        <charset val="134"/>
        <scheme val="minor"/>
      </rPr>
      <t>大厅每日派遣上限提高至</t>
    </r>
    <r>
      <rPr>
        <b/>
        <sz val="11"/>
        <rFont val="宋体"/>
        <charset val="134"/>
        <scheme val="minor"/>
      </rPr>
      <t>10次</t>
    </r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</si>
  <si>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</t>
    </r>
    <r>
      <rPr>
        <b/>
        <sz val="11"/>
        <color rgb="FF00B050"/>
        <rFont val="宋体"/>
        <charset val="134"/>
        <scheme val="minor"/>
      </rPr>
      <t>8</t>
    </r>
    <r>
      <rPr>
        <b/>
        <sz val="11"/>
        <rFont val="宋体"/>
        <charset val="134"/>
        <scheme val="minor"/>
      </rPr>
      <t>%</t>
    </r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</si>
  <si>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</t>
    </r>
    <r>
      <rPr>
        <b/>
        <sz val="11"/>
        <color rgb="FF00B050"/>
        <rFont val="宋体"/>
        <charset val="134"/>
        <scheme val="minor"/>
      </rPr>
      <t>15</t>
    </r>
    <r>
      <rPr>
        <b/>
        <sz val="11"/>
        <color theme="1"/>
        <rFont val="宋体"/>
        <charset val="134"/>
        <scheme val="minor"/>
      </rPr>
      <t>%</t>
    </r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</si>
  <si>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</t>
    </r>
    <r>
      <rPr>
        <b/>
        <sz val="11"/>
        <color rgb="FF00B050"/>
        <rFont val="宋体"/>
        <charset val="134"/>
        <scheme val="minor"/>
      </rPr>
      <t>25</t>
    </r>
    <r>
      <rPr>
        <b/>
        <sz val="11"/>
        <color theme="1"/>
        <rFont val="宋体"/>
        <charset val="134"/>
        <scheme val="minor"/>
      </rPr>
      <t>%</t>
    </r>
  </si>
  <si>
    <r>
      <rPr>
        <sz val="11"/>
        <rFont val="宋体"/>
        <charset val="134"/>
        <scheme val="minor"/>
      </rPr>
      <t>前排单位首次主动行动前，</t>
    </r>
    <r>
      <rPr>
        <b/>
        <sz val="11"/>
        <rFont val="宋体"/>
        <charset val="134"/>
        <scheme val="minor"/>
      </rPr>
      <t>中级闪避提升25%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</si>
  <si>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</t>
    </r>
    <r>
      <rPr>
        <sz val="11"/>
        <color theme="1"/>
        <rFont val="宋体"/>
        <charset val="134"/>
        <scheme val="minor"/>
      </rPr>
      <t>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rgb="FF00B050"/>
        <rFont val="宋体"/>
        <charset val="134"/>
        <scheme val="minor"/>
      </rPr>
      <t>7</t>
    </r>
    <r>
      <rPr>
        <b/>
        <sz val="11"/>
        <color theme="1"/>
        <rFont val="宋体"/>
        <charset val="134"/>
        <scheme val="minor"/>
      </rPr>
      <t>%攻击的追伤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</si>
  <si>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rgb="FF00B050"/>
        <rFont val="宋体"/>
        <charset val="134"/>
        <scheme val="minor"/>
      </rPr>
      <t>13</t>
    </r>
    <r>
      <rPr>
        <b/>
        <sz val="11"/>
        <color theme="1"/>
        <rFont val="宋体"/>
        <charset val="134"/>
        <scheme val="minor"/>
      </rPr>
      <t>%攻击的追伤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</si>
  <si>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rgb="FF00B050"/>
        <rFont val="宋体"/>
        <charset val="134"/>
        <scheme val="minor"/>
      </rPr>
      <t>20</t>
    </r>
    <r>
      <rPr>
        <b/>
        <sz val="11"/>
        <color theme="1"/>
        <rFont val="宋体"/>
        <charset val="134"/>
        <scheme val="minor"/>
      </rPr>
      <t>%攻击的追伤</t>
    </r>
  </si>
  <si>
    <r>
      <rPr>
        <sz val="11"/>
        <rFont val="宋体"/>
        <charset val="134"/>
        <scheme val="minor"/>
      </rPr>
      <t>机关兽在场时，每有1个</t>
    </r>
    <r>
      <rPr>
        <b/>
        <sz val="11"/>
        <rFont val="宋体"/>
        <charset val="134"/>
        <scheme val="minor"/>
      </rPr>
      <t>后排</t>
    </r>
    <r>
      <rPr>
        <sz val="11"/>
        <rFont val="宋体"/>
        <charset val="134"/>
        <scheme val="minor"/>
      </rPr>
      <t>单位存活，全体</t>
    </r>
    <r>
      <rPr>
        <b/>
        <sz val="11"/>
        <rFont val="宋体"/>
        <charset val="134"/>
        <scheme val="minor"/>
      </rPr>
      <t>后排</t>
    </r>
    <r>
      <rPr>
        <sz val="11"/>
        <rFont val="宋体"/>
        <charset val="134"/>
        <scheme val="minor"/>
      </rPr>
      <t>加</t>
    </r>
    <r>
      <rPr>
        <b/>
        <sz val="11"/>
        <rFont val="宋体"/>
        <charset val="134"/>
        <scheme val="minor"/>
      </rPr>
      <t>20%攻击的追伤</t>
    </r>
  </si>
  <si>
    <r>
      <rPr>
        <sz val="11"/>
        <color theme="1"/>
        <rFont val="宋体"/>
        <charset val="134"/>
        <scheme val="minor"/>
      </rPr>
      <t>后排单位主动行动后，使随机3名敌人</t>
    </r>
    <r>
      <rPr>
        <b/>
        <sz val="11"/>
        <color rgb="FFFF0000"/>
        <rFont val="宋体"/>
        <charset val="134"/>
        <scheme val="minor"/>
      </rPr>
      <t>抗暴</t>
    </r>
    <r>
      <rPr>
        <b/>
        <sz val="11"/>
        <color theme="1"/>
        <rFont val="宋体"/>
        <charset val="134"/>
        <scheme val="minor"/>
      </rPr>
      <t>下降</t>
    </r>
    <r>
      <rPr>
        <b/>
        <sz val="11"/>
        <color rgb="FF00B050"/>
        <rFont val="宋体"/>
        <charset val="134"/>
        <scheme val="minor"/>
      </rPr>
      <t>5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，可叠加3层</t>
    </r>
  </si>
  <si>
    <r>
      <rPr>
        <sz val="11"/>
        <color theme="1"/>
        <rFont val="宋体"/>
        <charset val="134"/>
        <scheme val="minor"/>
      </rPr>
      <t>后排单位主动行动后，使随机3名敌人</t>
    </r>
    <r>
      <rPr>
        <b/>
        <sz val="11"/>
        <color rgb="FFFF0000"/>
        <rFont val="宋体"/>
        <charset val="134"/>
        <scheme val="minor"/>
      </rPr>
      <t>抗暴</t>
    </r>
    <r>
      <rPr>
        <b/>
        <sz val="11"/>
        <color theme="1"/>
        <rFont val="宋体"/>
        <charset val="134"/>
        <scheme val="minor"/>
      </rPr>
      <t>下降</t>
    </r>
    <r>
      <rPr>
        <b/>
        <sz val="11"/>
        <color rgb="FF00B050"/>
        <rFont val="宋体"/>
        <charset val="134"/>
        <scheme val="minor"/>
      </rPr>
      <t>9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，可叠加3层</t>
    </r>
  </si>
  <si>
    <r>
      <rPr>
        <sz val="11"/>
        <color theme="1"/>
        <rFont val="宋体"/>
        <charset val="134"/>
        <scheme val="minor"/>
      </rPr>
      <t>后排单位主动行动后，使随机3名敌人</t>
    </r>
    <r>
      <rPr>
        <b/>
        <sz val="11"/>
        <color rgb="FFFF0000"/>
        <rFont val="宋体"/>
        <charset val="134"/>
        <scheme val="minor"/>
      </rPr>
      <t>抗暴</t>
    </r>
    <r>
      <rPr>
        <b/>
        <sz val="11"/>
        <color theme="1"/>
        <rFont val="宋体"/>
        <charset val="134"/>
        <scheme val="minor"/>
      </rPr>
      <t>下降</t>
    </r>
    <r>
      <rPr>
        <b/>
        <sz val="11"/>
        <color rgb="FF00B050"/>
        <rFont val="宋体"/>
        <charset val="134"/>
        <scheme val="minor"/>
      </rPr>
      <t>14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，可叠加3层</t>
    </r>
  </si>
  <si>
    <r>
      <rPr>
        <sz val="11"/>
        <color theme="1"/>
        <rFont val="宋体"/>
        <charset val="134"/>
        <scheme val="minor"/>
      </rPr>
      <t>后排单位主动行动后，使随机3名敌人</t>
    </r>
    <r>
      <rPr>
        <b/>
        <sz val="11"/>
        <color rgb="FFFF0000"/>
        <rFont val="宋体"/>
        <charset val="134"/>
        <scheme val="minor"/>
      </rPr>
      <t>抗暴</t>
    </r>
    <r>
      <rPr>
        <b/>
        <sz val="11"/>
        <color theme="1"/>
        <rFont val="宋体"/>
        <charset val="134"/>
        <scheme val="minor"/>
      </rPr>
      <t>下降</t>
    </r>
    <r>
      <rPr>
        <b/>
        <sz val="11"/>
        <color rgb="FF00B050"/>
        <rFont val="宋体"/>
        <charset val="134"/>
        <scheme val="minor"/>
      </rPr>
      <t>20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，可叠加3层</t>
    </r>
  </si>
  <si>
    <r>
      <rPr>
        <sz val="11"/>
        <rFont val="宋体"/>
        <charset val="134"/>
        <scheme val="minor"/>
      </rPr>
      <t>后排单位主动行动后，使随机3名敌人</t>
    </r>
    <r>
      <rPr>
        <b/>
        <sz val="11"/>
        <rFont val="宋体"/>
        <charset val="134"/>
        <scheme val="minor"/>
      </rPr>
      <t>抗暴下降20%</t>
    </r>
    <r>
      <rPr>
        <sz val="11"/>
        <rFont val="宋体"/>
        <charset val="134"/>
        <scheme val="minor"/>
      </rPr>
      <t>，可叠加3层</t>
    </r>
  </si>
  <si>
    <r>
      <rPr>
        <sz val="11"/>
        <color theme="1"/>
        <rFont val="宋体"/>
        <charset val="134"/>
        <scheme val="minor"/>
      </rPr>
      <t>机关兽行动后，使</t>
    </r>
    <r>
      <rPr>
        <b/>
        <sz val="11"/>
        <color theme="1"/>
        <rFont val="宋体"/>
        <charset val="134"/>
        <scheme val="minor"/>
      </rPr>
      <t>自身下回合伤害提升40%</t>
    </r>
  </si>
  <si>
    <r>
      <rPr>
        <sz val="11"/>
        <color theme="1"/>
        <rFont val="宋体"/>
        <charset val="134"/>
        <scheme val="minor"/>
      </rPr>
      <t>机关兽行动后，使</t>
    </r>
    <r>
      <rPr>
        <b/>
        <sz val="11"/>
        <color theme="1"/>
        <rFont val="宋体"/>
        <charset val="134"/>
        <scheme val="minor"/>
      </rPr>
      <t>自身下回合伤害提升70%</t>
    </r>
  </si>
  <si>
    <r>
      <rPr>
        <sz val="11"/>
        <color theme="1"/>
        <rFont val="宋体"/>
        <charset val="134"/>
        <scheme val="minor"/>
      </rPr>
      <t>机关兽行动后，使</t>
    </r>
    <r>
      <rPr>
        <b/>
        <sz val="11"/>
        <color theme="1"/>
        <rFont val="宋体"/>
        <charset val="134"/>
        <scheme val="minor"/>
      </rPr>
      <t>自身下回合伤害提升110%</t>
    </r>
  </si>
  <si>
    <r>
      <rPr>
        <sz val="11"/>
        <color theme="1"/>
        <rFont val="宋体"/>
        <charset val="134"/>
        <scheme val="minor"/>
      </rPr>
      <t>机关兽行动后，使</t>
    </r>
    <r>
      <rPr>
        <b/>
        <sz val="11"/>
        <color theme="1"/>
        <rFont val="宋体"/>
        <charset val="134"/>
        <scheme val="minor"/>
      </rPr>
      <t>自身下回合伤害提升150%</t>
    </r>
  </si>
  <si>
    <r>
      <rPr>
        <sz val="11"/>
        <rFont val="宋体"/>
        <charset val="134"/>
        <scheme val="minor"/>
      </rPr>
      <t>机关兽行动后，使</t>
    </r>
    <r>
      <rPr>
        <b/>
        <sz val="11"/>
        <rFont val="宋体"/>
        <charset val="134"/>
        <scheme val="minor"/>
      </rPr>
      <t>自身下回合伤害提升150%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</si>
  <si>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3%抗暴击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</si>
  <si>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3%抗暴击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</si>
  <si>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3%技能穿透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</si>
  <si>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初始技能减免最低</t>
    </r>
    <r>
      <rPr>
        <sz val="11"/>
        <color theme="1"/>
        <rFont val="宋体"/>
        <charset val="134"/>
        <scheme val="minor"/>
      </rPr>
      <t>的单位为基准，使其他单位的初始技能减免</t>
    </r>
    <r>
      <rPr>
        <b/>
        <sz val="11"/>
        <color theme="1"/>
        <rFont val="宋体"/>
        <charset val="134"/>
        <scheme val="minor"/>
      </rPr>
      <t>下降两者差值的8%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</si>
  <si>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最高初始穿透和暴伤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机关兽获得两者差值的14%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</si>
  <si>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3%技能穿透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</si>
  <si>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3%技能减免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</si>
  <si>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5%技能减免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</si>
  <si>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初始技能减免最低</t>
    </r>
    <r>
      <rPr>
        <sz val="11"/>
        <color theme="1"/>
        <rFont val="宋体"/>
        <charset val="134"/>
        <scheme val="minor"/>
      </rPr>
      <t>的单位为基准，使其他单位的初始技能减免</t>
    </r>
    <r>
      <rPr>
        <b/>
        <sz val="11"/>
        <color theme="1"/>
        <rFont val="宋体"/>
        <charset val="134"/>
        <scheme val="minor"/>
      </rPr>
      <t>下降两者差值的16%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</si>
  <si>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最高初始穿透和暴伤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机关兽获得两者差值的28%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</si>
  <si>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5%技能减免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</si>
  <si>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4%暴击伤害减免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</si>
  <si>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7%暴击伤害减免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</si>
  <si>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初始技能减免最低</t>
    </r>
    <r>
      <rPr>
        <sz val="11"/>
        <color theme="1"/>
        <rFont val="宋体"/>
        <charset val="134"/>
        <scheme val="minor"/>
      </rPr>
      <t>的单位为基准，使其他单位的初始技能减免</t>
    </r>
    <r>
      <rPr>
        <b/>
        <sz val="11"/>
        <color theme="1"/>
        <rFont val="宋体"/>
        <charset val="134"/>
        <scheme val="minor"/>
      </rPr>
      <t>下降两者差值的24%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</si>
  <si>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最高初始穿透和暴伤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机关兽获得两者差值的42%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</si>
  <si>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7%暴击伤害减免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</si>
  <si>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</t>
    </r>
    <r>
      <rPr>
        <b/>
        <sz val="11"/>
        <color rgb="FF00B050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>名弟子解除负面状态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</si>
  <si>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</t>
    </r>
    <r>
      <rPr>
        <b/>
        <sz val="11"/>
        <color rgb="FF00B050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>名弟子解除负面状态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</si>
  <si>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</t>
    </r>
    <r>
      <rPr>
        <b/>
        <sz val="11"/>
        <color rgb="FF00B050"/>
        <rFont val="宋体"/>
        <charset val="134"/>
        <scheme val="minor"/>
      </rPr>
      <t>5</t>
    </r>
    <r>
      <rPr>
        <b/>
        <sz val="11"/>
        <color theme="1"/>
        <rFont val="宋体"/>
        <charset val="134"/>
        <scheme val="minor"/>
      </rPr>
      <t>名弟子解除负面状态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</si>
  <si>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初始技能减免最低</t>
    </r>
    <r>
      <rPr>
        <sz val="11"/>
        <color theme="1"/>
        <rFont val="宋体"/>
        <charset val="134"/>
        <scheme val="minor"/>
      </rPr>
      <t>的单位为基准，使其他单位的初始技能减免</t>
    </r>
    <r>
      <rPr>
        <b/>
        <sz val="11"/>
        <color theme="1"/>
        <rFont val="宋体"/>
        <charset val="134"/>
        <scheme val="minor"/>
      </rPr>
      <t>下降两者差值的32%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</si>
  <si>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最高初始穿透和暴伤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机关兽获得两者差值的56%</t>
    </r>
  </si>
  <si>
    <r>
      <rPr>
        <sz val="11"/>
        <rFont val="宋体"/>
        <charset val="134"/>
        <scheme val="minor"/>
      </rPr>
      <t>机关兽行动后，</t>
    </r>
    <r>
      <rPr>
        <b/>
        <sz val="11"/>
        <rFont val="宋体"/>
        <charset val="134"/>
        <scheme val="minor"/>
      </rPr>
      <t>随机5名弟子解除负面状态</t>
    </r>
  </si>
  <si>
    <r>
      <rPr>
        <sz val="11"/>
        <color theme="1"/>
        <rFont val="宋体"/>
        <charset val="134"/>
        <scheme val="minor"/>
      </rPr>
      <t>我方弟子首次</t>
    </r>
    <r>
      <rPr>
        <b/>
        <sz val="11"/>
        <color theme="1"/>
        <rFont val="宋体"/>
        <charset val="134"/>
        <scheme val="minor"/>
      </rPr>
      <t>被清空神将护盾</t>
    </r>
    <r>
      <rPr>
        <sz val="11"/>
        <color theme="1"/>
        <rFont val="宋体"/>
        <charset val="134"/>
        <scheme val="minor"/>
      </rPr>
      <t>后，</t>
    </r>
    <r>
      <rPr>
        <b/>
        <sz val="11"/>
        <color theme="1"/>
        <rFont val="宋体"/>
        <charset val="134"/>
        <scheme val="minor"/>
      </rPr>
      <t>攻击、防御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rgb="FFFF0000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%，</t>
    </r>
    <r>
      <rPr>
        <b/>
        <sz val="11"/>
        <color theme="1"/>
        <rFont val="宋体"/>
        <charset val="134"/>
        <scheme val="minor"/>
      </rPr>
      <t>内力下降5%</t>
    </r>
  </si>
  <si>
    <r>
      <rPr>
        <sz val="11"/>
        <color theme="1"/>
        <rFont val="宋体"/>
        <charset val="134"/>
        <scheme val="minor"/>
      </rPr>
      <t>我方弟子首次</t>
    </r>
    <r>
      <rPr>
        <b/>
        <sz val="11"/>
        <color theme="1"/>
        <rFont val="宋体"/>
        <charset val="134"/>
        <scheme val="minor"/>
      </rPr>
      <t>被清空神将护盾</t>
    </r>
    <r>
      <rPr>
        <sz val="11"/>
        <color theme="1"/>
        <rFont val="宋体"/>
        <charset val="134"/>
        <scheme val="minor"/>
      </rPr>
      <t>后，</t>
    </r>
    <r>
      <rPr>
        <b/>
        <sz val="11"/>
        <color theme="1"/>
        <rFont val="宋体"/>
        <charset val="134"/>
        <scheme val="minor"/>
      </rPr>
      <t>攻击、防御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rgb="FFFF0000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%，</t>
    </r>
    <r>
      <rPr>
        <b/>
        <sz val="11"/>
        <color theme="1"/>
        <rFont val="宋体"/>
        <charset val="134"/>
        <scheme val="minor"/>
      </rPr>
      <t>内力下降5%</t>
    </r>
  </si>
  <si>
    <r>
      <rPr>
        <sz val="11"/>
        <color theme="1"/>
        <rFont val="宋体"/>
        <charset val="134"/>
        <scheme val="minor"/>
      </rPr>
      <t>我方弟子首次</t>
    </r>
    <r>
      <rPr>
        <b/>
        <sz val="11"/>
        <color theme="1"/>
        <rFont val="宋体"/>
        <charset val="134"/>
        <scheme val="minor"/>
      </rPr>
      <t>被清空神将护盾</t>
    </r>
    <r>
      <rPr>
        <sz val="11"/>
        <color theme="1"/>
        <rFont val="宋体"/>
        <charset val="134"/>
        <scheme val="minor"/>
      </rPr>
      <t>后，</t>
    </r>
    <r>
      <rPr>
        <b/>
        <sz val="11"/>
        <color theme="1"/>
        <rFont val="宋体"/>
        <charset val="134"/>
        <scheme val="minor"/>
      </rPr>
      <t>攻击、防御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rgb="FFFF0000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%，</t>
    </r>
    <r>
      <rPr>
        <b/>
        <sz val="11"/>
        <color theme="1"/>
        <rFont val="宋体"/>
        <charset val="134"/>
        <scheme val="minor"/>
      </rPr>
      <t>内力下降5%</t>
    </r>
  </si>
  <si>
    <r>
      <rPr>
        <sz val="11"/>
        <color theme="1"/>
        <rFont val="宋体"/>
        <charset val="134"/>
        <scheme val="minor"/>
      </rPr>
      <t>以敌方</t>
    </r>
    <r>
      <rPr>
        <b/>
        <sz val="11"/>
        <color theme="1"/>
        <rFont val="宋体"/>
        <charset val="134"/>
        <scheme val="minor"/>
      </rPr>
      <t>初始技能减免最低</t>
    </r>
    <r>
      <rPr>
        <sz val="11"/>
        <color theme="1"/>
        <rFont val="宋体"/>
        <charset val="134"/>
        <scheme val="minor"/>
      </rPr>
      <t>的单位为基准，使其他单位的初始技能减免</t>
    </r>
    <r>
      <rPr>
        <b/>
        <sz val="11"/>
        <color theme="1"/>
        <rFont val="宋体"/>
        <charset val="134"/>
        <scheme val="minor"/>
      </rPr>
      <t>下降两者差值的40%</t>
    </r>
  </si>
  <si>
    <r>
      <rPr>
        <sz val="11"/>
        <color theme="1"/>
        <rFont val="宋体"/>
        <charset val="134"/>
        <scheme val="minor"/>
      </rPr>
      <t>我方弟子中的</t>
    </r>
    <r>
      <rPr>
        <b/>
        <sz val="11"/>
        <color theme="1"/>
        <rFont val="宋体"/>
        <charset val="134"/>
        <scheme val="minor"/>
      </rPr>
      <t>最高初始穿透和暴伤</t>
    </r>
    <r>
      <rPr>
        <sz val="11"/>
        <color theme="1"/>
        <rFont val="宋体"/>
        <charset val="134"/>
        <scheme val="minor"/>
      </rPr>
      <t>，此两项属性高于上阵机关兽时，</t>
    </r>
    <r>
      <rPr>
        <b/>
        <sz val="11"/>
        <color theme="1"/>
        <rFont val="宋体"/>
        <charset val="134"/>
        <scheme val="minor"/>
      </rPr>
      <t>机关兽获得两者差值的70%</t>
    </r>
  </si>
  <si>
    <r>
      <rPr>
        <sz val="11"/>
        <rFont val="宋体"/>
        <charset val="134"/>
        <scheme val="minor"/>
      </rPr>
      <t>我方弟子首次</t>
    </r>
    <r>
      <rPr>
        <b/>
        <sz val="11"/>
        <rFont val="宋体"/>
        <charset val="134"/>
        <scheme val="minor"/>
      </rPr>
      <t>被清空神将护盾</t>
    </r>
    <r>
      <rPr>
        <sz val="11"/>
        <rFont val="宋体"/>
        <charset val="134"/>
        <scheme val="minor"/>
      </rPr>
      <t>后，</t>
    </r>
    <r>
      <rPr>
        <b/>
        <sz val="11"/>
        <rFont val="宋体"/>
        <charset val="134"/>
        <scheme val="minor"/>
      </rPr>
      <t>攻击、防御</t>
    </r>
    <r>
      <rPr>
        <sz val="11"/>
        <rFont val="宋体"/>
        <charset val="134"/>
        <scheme val="minor"/>
      </rPr>
      <t>提升</t>
    </r>
    <r>
      <rPr>
        <b/>
        <sz val="11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%，</t>
    </r>
    <r>
      <rPr>
        <b/>
        <sz val="11"/>
        <rFont val="宋体"/>
        <charset val="134"/>
        <scheme val="minor"/>
      </rPr>
      <t>内力下降5%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</si>
  <si>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2%负面抵抗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</si>
  <si>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3%负面抵抗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</si>
  <si>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5%负面抵抗</t>
    </r>
  </si>
  <si>
    <r>
      <rPr>
        <sz val="11"/>
        <rFont val="宋体"/>
        <charset val="134"/>
        <scheme val="minor"/>
      </rPr>
      <t>上阵弟子提升</t>
    </r>
    <r>
      <rPr>
        <b/>
        <sz val="11"/>
        <rFont val="宋体"/>
        <charset val="134"/>
        <scheme val="minor"/>
      </rPr>
      <t>5%负面抵抗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</si>
  <si>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</t>
    </r>
    <r>
      <rPr>
        <b/>
        <sz val="11"/>
        <color rgb="FFFF0000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>枚鱼币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</si>
  <si>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</t>
    </r>
    <r>
      <rPr>
        <b/>
        <sz val="11"/>
        <color rgb="FFFF0000"/>
        <rFont val="宋体"/>
        <charset val="134"/>
        <scheme val="minor"/>
      </rPr>
      <t>4</t>
    </r>
    <r>
      <rPr>
        <b/>
        <sz val="11"/>
        <color theme="1"/>
        <rFont val="宋体"/>
        <charset val="134"/>
        <scheme val="minor"/>
      </rPr>
      <t>枚鱼币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</si>
  <si>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</t>
    </r>
    <r>
      <rPr>
        <b/>
        <sz val="11"/>
        <color rgb="FFFF0000"/>
        <rFont val="宋体"/>
        <charset val="134"/>
        <scheme val="minor"/>
      </rPr>
      <t>6</t>
    </r>
    <r>
      <rPr>
        <b/>
        <sz val="11"/>
        <color theme="1"/>
        <rFont val="宋体"/>
        <charset val="134"/>
        <scheme val="minor"/>
      </rPr>
      <t>枚鱼币</t>
    </r>
  </si>
  <si>
    <r>
      <rPr>
        <sz val="11"/>
        <rFont val="宋体"/>
        <charset val="134"/>
        <scheme val="minor"/>
      </rPr>
      <t>贩卖鱼货时，</t>
    </r>
    <r>
      <rPr>
        <b/>
        <sz val="11"/>
        <rFont val="宋体"/>
        <charset val="134"/>
        <scheme val="minor"/>
      </rPr>
      <t>额外获得6枚鱼币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</si>
  <si>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元宝提高</t>
    </r>
    <r>
      <rPr>
        <b/>
        <sz val="11"/>
        <color rgb="FFFF0000"/>
        <rFont val="宋体"/>
        <charset val="134"/>
        <scheme val="minor"/>
      </rPr>
      <t>50</t>
    </r>
    <r>
      <rPr>
        <b/>
        <sz val="11"/>
        <color theme="1"/>
        <rFont val="宋体"/>
        <charset val="134"/>
        <scheme val="minor"/>
      </rPr>
      <t>%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</si>
  <si>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元宝提高</t>
    </r>
    <r>
      <rPr>
        <b/>
        <sz val="11"/>
        <color rgb="FFFF0000"/>
        <rFont val="宋体"/>
        <charset val="134"/>
        <scheme val="minor"/>
      </rPr>
      <t>100</t>
    </r>
    <r>
      <rPr>
        <b/>
        <sz val="11"/>
        <color theme="1"/>
        <rFont val="宋体"/>
        <charset val="134"/>
        <scheme val="minor"/>
      </rPr>
      <t>%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</si>
  <si>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元宝提高</t>
    </r>
    <r>
      <rPr>
        <b/>
        <sz val="11"/>
        <color rgb="FFFF0000"/>
        <rFont val="宋体"/>
        <charset val="134"/>
        <scheme val="minor"/>
      </rPr>
      <t>150</t>
    </r>
    <r>
      <rPr>
        <b/>
        <sz val="11"/>
        <color theme="1"/>
        <rFont val="宋体"/>
        <charset val="134"/>
        <scheme val="minor"/>
      </rPr>
      <t>%</t>
    </r>
  </si>
  <si>
    <r>
      <rPr>
        <sz val="11"/>
        <rFont val="宋体"/>
        <charset val="134"/>
        <scheme val="minor"/>
      </rPr>
      <t>月卡每日领取的</t>
    </r>
    <r>
      <rPr>
        <b/>
        <sz val="11"/>
        <rFont val="宋体"/>
        <charset val="134"/>
        <scheme val="minor"/>
      </rPr>
      <t>元宝提高150%</t>
    </r>
  </si>
  <si>
    <r>
      <rPr>
        <sz val="11"/>
        <color theme="1"/>
        <rFont val="宋体"/>
        <charset val="134"/>
        <scheme val="minor"/>
      </rPr>
      <t>我方弟子主动行动后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技能穿透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%，可叠加3层</t>
    </r>
  </si>
  <si>
    <r>
      <rPr>
        <sz val="11"/>
        <color theme="1"/>
        <rFont val="宋体"/>
        <charset val="134"/>
        <scheme val="minor"/>
      </rPr>
      <t>我方弟子主动行动后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技能穿透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%，可叠加3层</t>
    </r>
  </si>
  <si>
    <r>
      <rPr>
        <sz val="11"/>
        <color theme="1"/>
        <rFont val="宋体"/>
        <charset val="134"/>
        <scheme val="minor"/>
      </rPr>
      <t>我方弟子主动行动后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技能穿透</t>
    </r>
    <r>
      <rPr>
        <sz val="11"/>
        <color theme="1"/>
        <rFont val="宋体"/>
        <charset val="134"/>
        <scheme val="minor"/>
      </rPr>
      <t>提升</t>
    </r>
    <r>
      <rPr>
        <b/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%，可叠加3层</t>
    </r>
  </si>
  <si>
    <r>
      <rPr>
        <sz val="11"/>
        <rFont val="宋体"/>
        <charset val="134"/>
        <scheme val="minor"/>
      </rPr>
      <t>我方弟子主动行动后</t>
    </r>
    <r>
      <rPr>
        <sz val="11"/>
        <rFont val="宋体"/>
        <charset val="134"/>
        <scheme val="minor"/>
      </rPr>
      <t>，</t>
    </r>
    <r>
      <rPr>
        <b/>
        <sz val="11"/>
        <rFont val="宋体"/>
        <charset val="134"/>
        <scheme val="minor"/>
      </rPr>
      <t>技能穿透</t>
    </r>
    <r>
      <rPr>
        <sz val="11"/>
        <rFont val="宋体"/>
        <charset val="134"/>
        <scheme val="minor"/>
      </rPr>
      <t>提升</t>
    </r>
    <r>
      <rPr>
        <b/>
        <sz val="11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%，可叠加3层</t>
    </r>
  </si>
  <si>
    <r>
      <rPr>
        <sz val="11"/>
        <color theme="1"/>
        <rFont val="宋体"/>
        <charset val="134"/>
        <scheme val="minor"/>
      </rPr>
      <t>每天魂道</t>
    </r>
    <r>
      <rPr>
        <b/>
        <sz val="11"/>
        <color theme="1"/>
        <rFont val="宋体"/>
        <charset val="134"/>
        <scheme val="minor"/>
      </rPr>
      <t>第1次</t>
    </r>
    <r>
      <rPr>
        <sz val="11"/>
        <color theme="1"/>
        <rFont val="宋体"/>
        <charset val="134"/>
        <scheme val="minor"/>
      </rPr>
      <t>失败不打断连胜</t>
    </r>
  </si>
  <si>
    <r>
      <rPr>
        <sz val="11"/>
        <color theme="1"/>
        <rFont val="宋体"/>
        <charset val="134"/>
        <scheme val="minor"/>
      </rPr>
      <t>每天魂道</t>
    </r>
    <r>
      <rPr>
        <b/>
        <sz val="11"/>
        <color theme="1"/>
        <rFont val="宋体"/>
        <charset val="134"/>
        <scheme val="minor"/>
      </rPr>
      <t>前2次</t>
    </r>
    <r>
      <rPr>
        <sz val="11"/>
        <color theme="1"/>
        <rFont val="宋体"/>
        <charset val="134"/>
        <scheme val="minor"/>
      </rPr>
      <t>失败不打断连胜</t>
    </r>
  </si>
  <si>
    <r>
      <rPr>
        <sz val="11"/>
        <color theme="1"/>
        <rFont val="宋体"/>
        <charset val="134"/>
        <scheme val="minor"/>
      </rPr>
      <t>每天魂道</t>
    </r>
    <r>
      <rPr>
        <b/>
        <sz val="11"/>
        <color theme="1"/>
        <rFont val="宋体"/>
        <charset val="134"/>
        <scheme val="minor"/>
      </rPr>
      <t>前</t>
    </r>
    <r>
      <rPr>
        <b/>
        <sz val="11"/>
        <color rgb="FFFF0000"/>
        <rFont val="宋体"/>
        <charset val="134"/>
        <scheme val="minor"/>
      </rPr>
      <t>4</t>
    </r>
    <r>
      <rPr>
        <b/>
        <sz val="11"/>
        <color theme="1"/>
        <rFont val="宋体"/>
        <charset val="134"/>
        <scheme val="minor"/>
      </rPr>
      <t>次</t>
    </r>
    <r>
      <rPr>
        <sz val="11"/>
        <color theme="1"/>
        <rFont val="宋体"/>
        <charset val="134"/>
        <scheme val="minor"/>
      </rPr>
      <t>失败不打断连胜</t>
    </r>
  </si>
  <si>
    <r>
      <rPr>
        <sz val="11"/>
        <rFont val="宋体"/>
        <charset val="134"/>
        <scheme val="minor"/>
      </rPr>
      <t>每天魂道</t>
    </r>
    <r>
      <rPr>
        <b/>
        <sz val="11"/>
        <rFont val="宋体"/>
        <charset val="134"/>
        <scheme val="minor"/>
      </rPr>
      <t>前4次</t>
    </r>
    <r>
      <rPr>
        <sz val="11"/>
        <rFont val="宋体"/>
        <charset val="134"/>
        <scheme val="minor"/>
      </rPr>
      <t>失败不打断连胜</t>
    </r>
  </si>
  <si>
    <r>
      <rPr>
        <sz val="11"/>
        <color theme="1"/>
        <rFont val="宋体"/>
        <charset val="134"/>
        <scheme val="minor"/>
      </rPr>
      <t>机关兽在场时，每有1个前排单位存活，</t>
    </r>
    <r>
      <rPr>
        <b/>
        <sz val="11"/>
        <color theme="1"/>
        <rFont val="宋体"/>
        <charset val="134"/>
        <scheme val="minor"/>
      </rPr>
      <t>全体后排增加2%技能减免</t>
    </r>
  </si>
  <si>
    <r>
      <rPr>
        <sz val="11"/>
        <color theme="1"/>
        <rFont val="宋体"/>
        <charset val="134"/>
        <scheme val="minor"/>
      </rPr>
      <t>机关兽在场时，每有1个前排单位存活，</t>
    </r>
    <r>
      <rPr>
        <b/>
        <sz val="11"/>
        <color theme="1"/>
        <rFont val="宋体"/>
        <charset val="134"/>
        <scheme val="minor"/>
      </rPr>
      <t>全体后排增加4%技能减免</t>
    </r>
  </si>
  <si>
    <r>
      <rPr>
        <sz val="11"/>
        <color theme="1"/>
        <rFont val="宋体"/>
        <charset val="134"/>
        <scheme val="minor"/>
      </rPr>
      <t>机关兽在场时，每有1个前排单位存活，</t>
    </r>
    <r>
      <rPr>
        <b/>
        <sz val="11"/>
        <color theme="1"/>
        <rFont val="宋体"/>
        <charset val="134"/>
        <scheme val="minor"/>
      </rPr>
      <t>全体后排增加6%技能减免</t>
    </r>
  </si>
  <si>
    <r>
      <rPr>
        <sz val="11"/>
        <color theme="1"/>
        <rFont val="宋体"/>
        <charset val="134"/>
        <scheme val="minor"/>
      </rPr>
      <t>机关兽在场时，每有1个前排单位存活，</t>
    </r>
    <r>
      <rPr>
        <b/>
        <sz val="11"/>
        <color theme="1"/>
        <rFont val="宋体"/>
        <charset val="134"/>
        <scheme val="minor"/>
      </rPr>
      <t>全体后排增加9%技能减免</t>
    </r>
  </si>
  <si>
    <r>
      <rPr>
        <sz val="11"/>
        <rFont val="宋体"/>
        <charset val="134"/>
        <scheme val="minor"/>
      </rPr>
      <t>机关兽在场时，每有1个前排单位存活，</t>
    </r>
    <r>
      <rPr>
        <b/>
        <sz val="11"/>
        <rFont val="宋体"/>
        <charset val="134"/>
        <scheme val="minor"/>
      </rPr>
      <t>全体后排增加9%技能减免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</si>
  <si>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回复全体弟子8%神将护盾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</si>
  <si>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回复全体弟子15%神将护盾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</si>
  <si>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回复全体弟子24%神将护盾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</si>
  <si>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回复全体弟子33%神将护盾</t>
    </r>
  </si>
  <si>
    <r>
      <rPr>
        <sz val="11"/>
        <rFont val="宋体"/>
        <charset val="134"/>
        <scheme val="minor"/>
      </rPr>
      <t>机关兽行动后，</t>
    </r>
    <r>
      <rPr>
        <b/>
        <sz val="11"/>
        <rFont val="宋体"/>
        <charset val="134"/>
        <scheme val="minor"/>
      </rPr>
      <t>回复全体弟子33%神将护盾</t>
    </r>
  </si>
  <si>
    <t>初版</t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</si>
  <si>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3%防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</si>
  <si>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5%防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</si>
  <si>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3%血</t>
    </r>
  </si>
  <si>
    <r>
      <rPr>
        <sz val="11"/>
        <color theme="1"/>
        <rFont val="宋体"/>
        <charset val="134"/>
        <scheme val="minor"/>
      </rPr>
      <t>上阵弟子提升</t>
    </r>
    <r>
      <rPr>
        <b/>
        <sz val="11"/>
        <color theme="1"/>
        <rFont val="宋体"/>
        <charset val="134"/>
        <scheme val="minor"/>
      </rPr>
      <t>5%血</t>
    </r>
  </si>
  <si>
    <r>
      <rPr>
        <sz val="11"/>
        <color theme="1"/>
        <rFont val="宋体"/>
        <charset val="134"/>
        <scheme val="minor"/>
      </rPr>
      <t>普通关卡</t>
    </r>
    <r>
      <rPr>
        <sz val="11"/>
        <color theme="1"/>
        <rFont val="宋体"/>
        <charset val="134"/>
        <scheme val="minor"/>
      </rPr>
      <t>产出5%概率翻倍</t>
    </r>
  </si>
  <si>
    <t>普通关卡产出10%概率翻倍</t>
  </si>
  <si>
    <t>普通关卡产出15%概率翻倍</t>
  </si>
  <si>
    <t>大厅每日派遣上限提高至2次</t>
  </si>
  <si>
    <t>大厅每日派遣上限提高至3次</t>
  </si>
  <si>
    <t>大厅每日派遣上限提高至5次</t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</si>
  <si>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中级闪避提升10%</t>
    </r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</si>
  <si>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中级闪避提升20%</t>
    </r>
  </si>
  <si>
    <r>
      <rPr>
        <sz val="11"/>
        <color theme="1"/>
        <rFont val="宋体"/>
        <charset val="134"/>
        <scheme val="minor"/>
      </rPr>
      <t>前排单位首次主动行动前，</t>
    </r>
    <r>
      <rPr>
        <b/>
        <sz val="11"/>
        <color theme="1"/>
        <rFont val="宋体"/>
        <charset val="134"/>
        <scheme val="minor"/>
      </rPr>
      <t>中级闪避提升30%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</si>
  <si>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</t>
    </r>
    <r>
      <rPr>
        <sz val="11"/>
        <color theme="1"/>
        <rFont val="宋体"/>
        <charset val="134"/>
        <scheme val="minor"/>
      </rPr>
      <t>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theme="1"/>
        <rFont val="宋体"/>
        <charset val="134"/>
        <scheme val="minor"/>
      </rPr>
      <t>8%攻击的追伤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</si>
  <si>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theme="1"/>
        <rFont val="宋体"/>
        <charset val="134"/>
        <scheme val="minor"/>
      </rPr>
      <t>15</t>
    </r>
    <r>
      <rPr>
        <b/>
        <sz val="11"/>
        <color theme="1"/>
        <rFont val="宋体"/>
        <charset val="134"/>
        <scheme val="minor"/>
      </rPr>
      <t>%攻击的追伤</t>
    </r>
  </si>
  <si>
    <r>
      <rPr>
        <sz val="11"/>
        <color theme="1"/>
        <rFont val="宋体"/>
        <charset val="134"/>
        <scheme val="minor"/>
      </rPr>
      <t>机关兽在场时，每有1个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单位存活，全体</t>
    </r>
    <r>
      <rPr>
        <b/>
        <sz val="11"/>
        <color theme="1"/>
        <rFont val="宋体"/>
        <charset val="134"/>
        <scheme val="minor"/>
      </rPr>
      <t>后排</t>
    </r>
    <r>
      <rPr>
        <sz val="11"/>
        <color theme="1"/>
        <rFont val="宋体"/>
        <charset val="134"/>
        <scheme val="minor"/>
      </rPr>
      <t>加</t>
    </r>
    <r>
      <rPr>
        <b/>
        <sz val="11"/>
        <color theme="1"/>
        <rFont val="宋体"/>
        <charset val="134"/>
        <scheme val="minor"/>
      </rPr>
      <t>25</t>
    </r>
    <r>
      <rPr>
        <b/>
        <sz val="11"/>
        <color theme="1"/>
        <rFont val="宋体"/>
        <charset val="134"/>
        <scheme val="minor"/>
      </rPr>
      <t>%攻击的追伤</t>
    </r>
  </si>
  <si>
    <r>
      <rPr>
        <sz val="11"/>
        <color theme="1"/>
        <rFont val="宋体"/>
        <charset val="134"/>
        <scheme val="minor"/>
      </rPr>
      <t>后排单位主动行动后，是随机3名敌人受到</t>
    </r>
    <r>
      <rPr>
        <b/>
        <sz val="11"/>
        <color theme="1"/>
        <rFont val="宋体"/>
        <charset val="134"/>
        <scheme val="minor"/>
      </rPr>
      <t>治疗效果下降8%</t>
    </r>
    <r>
      <rPr>
        <sz val="11"/>
        <color theme="1"/>
        <rFont val="宋体"/>
        <charset val="134"/>
        <scheme val="minor"/>
      </rPr>
      <t>，可叠加3层</t>
    </r>
  </si>
  <si>
    <r>
      <rPr>
        <sz val="11"/>
        <color theme="1"/>
        <rFont val="宋体"/>
        <charset val="134"/>
        <scheme val="minor"/>
      </rPr>
      <t>后排单位主动行动后，是随机3名敌人受到</t>
    </r>
    <r>
      <rPr>
        <b/>
        <sz val="11"/>
        <color theme="1"/>
        <rFont val="宋体"/>
        <charset val="134"/>
        <scheme val="minor"/>
      </rPr>
      <t>治疗效果下降</t>
    </r>
    <r>
      <rPr>
        <b/>
        <sz val="11"/>
        <color theme="1"/>
        <rFont val="宋体"/>
        <charset val="134"/>
        <scheme val="minor"/>
      </rPr>
      <t>15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层</t>
    </r>
  </si>
  <si>
    <r>
      <rPr>
        <sz val="11"/>
        <color theme="1"/>
        <rFont val="宋体"/>
        <charset val="134"/>
        <scheme val="minor"/>
      </rPr>
      <t>后排单位主动行动后，是随机3名敌人受到</t>
    </r>
    <r>
      <rPr>
        <b/>
        <sz val="11"/>
        <color theme="1"/>
        <rFont val="宋体"/>
        <charset val="134"/>
        <scheme val="minor"/>
      </rPr>
      <t>治疗效果下降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层</t>
    </r>
  </si>
  <si>
    <r>
      <rPr>
        <sz val="11"/>
        <color theme="1"/>
        <rFont val="宋体"/>
        <charset val="134"/>
        <scheme val="minor"/>
      </rPr>
      <t>后排单位主动行动后，是随机3名敌人受到</t>
    </r>
    <r>
      <rPr>
        <b/>
        <sz val="11"/>
        <color theme="1"/>
        <rFont val="宋体"/>
        <charset val="134"/>
        <scheme val="minor"/>
      </rPr>
      <t>治疗效果下降</t>
    </r>
    <r>
      <rPr>
        <b/>
        <sz val="11"/>
        <color theme="1"/>
        <rFont val="宋体"/>
        <charset val="134"/>
        <scheme val="minor"/>
      </rPr>
      <t>35</t>
    </r>
    <r>
      <rPr>
        <b/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，可叠加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层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</si>
  <si>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随机3名弟子解除负面状态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</si>
  <si>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随机5名弟子解除负面状态</t>
    </r>
  </si>
  <si>
    <r>
      <rPr>
        <sz val="11"/>
        <color theme="1"/>
        <rFont val="宋体"/>
        <charset val="134"/>
        <scheme val="minor"/>
      </rPr>
      <t>机关兽行动后，</t>
    </r>
    <r>
      <rPr>
        <b/>
        <sz val="11"/>
        <color theme="1"/>
        <rFont val="宋体"/>
        <charset val="134"/>
        <scheme val="minor"/>
      </rPr>
      <t>随机8名弟子解除负面状态</t>
    </r>
  </si>
  <si>
    <r>
      <rPr>
        <sz val="11"/>
        <color theme="1"/>
        <rFont val="宋体"/>
        <charset val="134"/>
        <scheme val="minor"/>
      </rPr>
      <t>场上弟子首次受到暴击后，</t>
    </r>
    <r>
      <rPr>
        <b/>
        <sz val="11"/>
        <color theme="1"/>
        <rFont val="宋体"/>
        <charset val="134"/>
        <scheme val="minor"/>
      </rPr>
      <t>攻击提升5% 内力下降5%</t>
    </r>
  </si>
  <si>
    <r>
      <rPr>
        <sz val="11"/>
        <color theme="1"/>
        <rFont val="宋体"/>
        <charset val="134"/>
        <scheme val="minor"/>
      </rPr>
      <t>场上弟子首次受到暴击后，</t>
    </r>
    <r>
      <rPr>
        <b/>
        <sz val="11"/>
        <color theme="1"/>
        <rFont val="宋体"/>
        <charset val="134"/>
        <scheme val="minor"/>
      </rPr>
      <t>攻击提升10% 内力下降8%</t>
    </r>
  </si>
  <si>
    <r>
      <rPr>
        <sz val="11"/>
        <color theme="1"/>
        <rFont val="宋体"/>
        <charset val="134"/>
        <scheme val="minor"/>
      </rPr>
      <t>场上弟子首次受到暴击后，</t>
    </r>
    <r>
      <rPr>
        <b/>
        <sz val="11"/>
        <color theme="1"/>
        <rFont val="宋体"/>
        <charset val="134"/>
        <scheme val="minor"/>
      </rPr>
      <t>攻击提升15% 内力下降10%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</si>
  <si>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额外获得1枚鱼币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</si>
  <si>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额外获得2枚鱼币</t>
    </r>
  </si>
  <si>
    <r>
      <rPr>
        <sz val="11"/>
        <color theme="1"/>
        <rFont val="宋体"/>
        <charset val="134"/>
        <scheme val="minor"/>
      </rPr>
      <t>贩卖鱼货时，</t>
    </r>
    <r>
      <rPr>
        <b/>
        <sz val="11"/>
        <color theme="1"/>
        <rFont val="宋体"/>
        <charset val="134"/>
        <scheme val="minor"/>
      </rPr>
      <t>额外获得3枚鱼币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</si>
  <si>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元宝提升5%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</si>
  <si>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元宝提升10%</t>
    </r>
  </si>
  <si>
    <r>
      <rPr>
        <sz val="11"/>
        <color theme="1"/>
        <rFont val="宋体"/>
        <charset val="134"/>
        <scheme val="minor"/>
      </rPr>
      <t>月卡每日领取的</t>
    </r>
    <r>
      <rPr>
        <b/>
        <sz val="11"/>
        <color theme="1"/>
        <rFont val="宋体"/>
        <charset val="134"/>
        <scheme val="minor"/>
      </rPr>
      <t>元宝提升15%</t>
    </r>
  </si>
  <si>
    <r>
      <rPr>
        <sz val="11"/>
        <color theme="1"/>
        <rFont val="宋体"/>
        <charset val="134"/>
        <scheme val="minor"/>
      </rPr>
      <t>场上弟子造成暴击后</t>
    </r>
    <r>
      <rPr>
        <b/>
        <sz val="11"/>
        <color theme="1"/>
        <rFont val="宋体"/>
        <charset val="134"/>
        <scheme val="minor"/>
      </rPr>
      <t>攻击提升7%</t>
    </r>
    <r>
      <rPr>
        <sz val="11"/>
        <color theme="1"/>
        <rFont val="宋体"/>
        <charset val="134"/>
        <scheme val="minor"/>
      </rPr>
      <t>，每回合只能发动一次，最多可叠3层</t>
    </r>
  </si>
  <si>
    <r>
      <rPr>
        <sz val="11"/>
        <color theme="1"/>
        <rFont val="宋体"/>
        <charset val="134"/>
        <scheme val="minor"/>
      </rPr>
      <t>场上弟子造成暴击后</t>
    </r>
    <r>
      <rPr>
        <b/>
        <sz val="11"/>
        <color theme="1"/>
        <rFont val="宋体"/>
        <charset val="134"/>
        <scheme val="minor"/>
      </rPr>
      <t>攻击提升12%</t>
    </r>
    <r>
      <rPr>
        <sz val="11"/>
        <color theme="1"/>
        <rFont val="宋体"/>
        <charset val="134"/>
        <scheme val="minor"/>
      </rPr>
      <t>，每回合只能发动一次，最多可叠3层</t>
    </r>
  </si>
  <si>
    <r>
      <rPr>
        <sz val="11"/>
        <color theme="1"/>
        <rFont val="宋体"/>
        <charset val="134"/>
        <scheme val="minor"/>
      </rPr>
      <t>场上弟子造成暴击后</t>
    </r>
    <r>
      <rPr>
        <b/>
        <sz val="11"/>
        <color theme="1"/>
        <rFont val="宋体"/>
        <charset val="134"/>
        <scheme val="minor"/>
      </rPr>
      <t>攻击提升20%</t>
    </r>
    <r>
      <rPr>
        <sz val="11"/>
        <color theme="1"/>
        <rFont val="宋体"/>
        <charset val="134"/>
        <scheme val="minor"/>
      </rPr>
      <t>，每回合只能发动一次，最多可叠3层</t>
    </r>
  </si>
  <si>
    <r>
      <rPr>
        <sz val="11"/>
        <color theme="1"/>
        <rFont val="宋体"/>
        <charset val="134"/>
        <scheme val="minor"/>
      </rPr>
      <t>每天魂道</t>
    </r>
    <r>
      <rPr>
        <b/>
        <sz val="11"/>
        <color theme="1"/>
        <rFont val="宋体"/>
        <charset val="134"/>
        <scheme val="minor"/>
      </rPr>
      <t>前3次</t>
    </r>
    <r>
      <rPr>
        <sz val="11"/>
        <color theme="1"/>
        <rFont val="宋体"/>
        <charset val="134"/>
        <scheme val="minor"/>
      </rPr>
      <t>失败不打断连胜</t>
    </r>
  </si>
  <si>
    <t>8阶</t>
  </si>
  <si>
    <t>9阶</t>
  </si>
  <si>
    <t>10阶</t>
  </si>
  <si>
    <t>神天级</t>
  </si>
  <si>
    <t>仙级</t>
  </si>
  <si>
    <t>圣级</t>
  </si>
  <si>
    <t>神级</t>
  </si>
  <si>
    <t>金</t>
  </si>
  <si>
    <t>熊罴</t>
  </si>
  <si>
    <r>
      <rPr>
        <sz val="12"/>
        <rFont val="宋体"/>
        <charset val="134"/>
      </rPr>
      <t>开场使所有敌人</t>
    </r>
    <r>
      <rPr>
        <b/>
        <sz val="12"/>
        <rFont val="宋体"/>
        <charset val="134"/>
      </rPr>
      <t>据守</t>
    </r>
    <r>
      <rPr>
        <sz val="12"/>
        <rFont val="宋体"/>
        <charset val="134"/>
      </rPr>
      <t xml:space="preserve">
(20%攻转防，非负面)，</t>
    </r>
    <r>
      <rPr>
        <b/>
        <sz val="12"/>
        <rFont val="宋体"/>
        <charset val="134"/>
      </rPr>
      <t>2回合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</si>
  <si>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内力增加40%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</si>
  <si>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增加35速</t>
    </r>
    <r>
      <rPr>
        <sz val="12"/>
        <rFont val="宋体"/>
        <charset val="134"/>
      </rPr>
      <t>和</t>
    </r>
    <r>
      <rPr>
        <b/>
        <sz val="12"/>
        <rFont val="宋体"/>
        <charset val="134"/>
      </rPr>
      <t>5%暴击</t>
    </r>
  </si>
  <si>
    <t>10% 血</t>
  </si>
  <si>
    <t>10% 技伤减免</t>
  </si>
  <si>
    <t>10% 暴击</t>
  </si>
  <si>
    <t>10% 技能穿透</t>
  </si>
  <si>
    <r>
      <rPr>
        <sz val="12"/>
        <rFont val="宋体"/>
        <charset val="134"/>
      </rPr>
      <t>弟子行动时有</t>
    </r>
    <r>
      <rPr>
        <b/>
        <sz val="12"/>
        <rFont val="宋体"/>
        <charset val="134"/>
      </rPr>
      <t>几率发动神龙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</si>
  <si>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增加25速</t>
    </r>
    <r>
      <rPr>
        <sz val="12"/>
        <rFont val="宋体"/>
        <charset val="134"/>
      </rPr>
      <t>和</t>
    </r>
    <r>
      <rPr>
        <b/>
        <sz val="12"/>
        <rFont val="宋体"/>
        <charset val="134"/>
      </rPr>
      <t>5%穿透</t>
    </r>
  </si>
  <si>
    <t>8% 血</t>
  </si>
  <si>
    <t>8% 技能穿透</t>
  </si>
  <si>
    <t>8% 暴击</t>
  </si>
  <si>
    <t>攻击不触发反击类技能</t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</si>
  <si>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加5%暴击和穿透</t>
    </r>
  </si>
  <si>
    <t>8% 技伤减免</t>
  </si>
  <si>
    <t>30 速</t>
  </si>
  <si>
    <r>
      <rPr>
        <sz val="12"/>
        <rFont val="宋体"/>
        <charset val="134"/>
      </rPr>
      <t>对前排目标的</t>
    </r>
    <r>
      <rPr>
        <b/>
        <sz val="12"/>
        <rFont val="宋体"/>
        <charset val="134"/>
      </rPr>
      <t>伤害增加50%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</si>
  <si>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抗暴击增加8%</t>
    </r>
  </si>
  <si>
    <t>木</t>
  </si>
  <si>
    <t>青鸾</t>
  </si>
  <si>
    <r>
      <rPr>
        <sz val="12"/>
        <rFont val="宋体"/>
        <charset val="134"/>
      </rPr>
      <t xml:space="preserve">攻击时以相同威力为我方全体
</t>
    </r>
    <r>
      <rPr>
        <b/>
        <sz val="12"/>
        <rFont val="宋体"/>
        <charset val="134"/>
      </rPr>
      <t>恢复神将护盾</t>
    </r>
  </si>
  <si>
    <r>
      <rPr>
        <sz val="12"/>
        <rFont val="宋体"/>
        <charset val="134"/>
      </rPr>
      <t>目标的</t>
    </r>
    <r>
      <rPr>
        <b/>
        <sz val="12"/>
        <rFont val="宋体"/>
        <charset val="134"/>
      </rPr>
      <t>防下降20%</t>
    </r>
    <r>
      <rPr>
        <sz val="12"/>
        <rFont val="宋体"/>
        <charset val="134"/>
      </rPr>
      <t xml:space="preserve"> 1回合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</si>
  <si>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速度增加30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</si>
  <si>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增加25速</t>
    </r>
    <r>
      <rPr>
        <sz val="12"/>
        <rFont val="宋体"/>
        <charset val="134"/>
      </rPr>
      <t>和</t>
    </r>
    <r>
      <rPr>
        <b/>
        <sz val="12"/>
        <rFont val="宋体"/>
        <charset val="134"/>
      </rPr>
      <t>5%暴击</t>
    </r>
  </si>
  <si>
    <t>水</t>
  </si>
  <si>
    <t>鲲鹏</t>
  </si>
  <si>
    <r>
      <rPr>
        <sz val="12"/>
        <rFont val="宋体"/>
        <charset val="134"/>
      </rPr>
      <t>在场时敌方全体</t>
    </r>
    <r>
      <rPr>
        <b/>
        <sz val="12"/>
        <rFont val="宋体"/>
        <charset val="134"/>
      </rPr>
      <t>暴击下降25%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</si>
  <si>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增加35速</t>
    </r>
  </si>
  <si>
    <r>
      <rPr>
        <sz val="12"/>
        <rFont val="宋体"/>
        <charset val="134"/>
      </rPr>
      <t>链式</t>
    </r>
    <r>
      <rPr>
        <b/>
        <sz val="12"/>
        <rFont val="宋体"/>
        <charset val="134"/>
      </rPr>
      <t>治疗折损率降低至10%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</si>
  <si>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治疗效果增加10%</t>
    </r>
  </si>
  <si>
    <r>
      <rPr>
        <sz val="12"/>
        <rFont val="宋体"/>
        <charset val="134"/>
      </rPr>
      <t>链式</t>
    </r>
    <r>
      <rPr>
        <b/>
        <sz val="12"/>
        <rFont val="宋体"/>
        <charset val="134"/>
      </rPr>
      <t>伤害折损率降低至10%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</si>
  <si>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闪避增加7%</t>
    </r>
  </si>
  <si>
    <t>火</t>
  </si>
  <si>
    <t>炎傀</t>
  </si>
  <si>
    <r>
      <rPr>
        <sz val="12"/>
        <rFont val="宋体"/>
        <charset val="134"/>
      </rPr>
      <t>攻击</t>
    </r>
    <r>
      <rPr>
        <b/>
        <sz val="12"/>
        <rFont val="宋体"/>
        <charset val="134"/>
      </rPr>
      <t>不触发目标损血被动特效</t>
    </r>
    <r>
      <rPr>
        <sz val="12"/>
        <rFont val="宋体"/>
        <charset val="134"/>
      </rPr>
      <t xml:space="preserve">
且崩溃无法被免疫和清除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</si>
  <si>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增加35速和5%暴击</t>
    </r>
  </si>
  <si>
    <t>攻击目标增加1人</t>
  </si>
  <si>
    <r>
      <rPr>
        <sz val="12"/>
        <rFont val="宋体"/>
        <charset val="134"/>
      </rPr>
      <t>目标</t>
    </r>
    <r>
      <rPr>
        <b/>
        <sz val="12"/>
        <rFont val="宋体"/>
        <charset val="134"/>
      </rPr>
      <t>治疗量下降50%</t>
    </r>
    <r>
      <rPr>
        <sz val="12"/>
        <rFont val="宋体"/>
        <charset val="134"/>
      </rPr>
      <t xml:space="preserve"> 1回合</t>
    </r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</si>
  <si>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技能穿透增加10%</t>
    </r>
  </si>
  <si>
    <t>必定攻击人数较多的一排</t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</si>
  <si>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暴击伤害增加5%</t>
    </r>
  </si>
  <si>
    <t>25 速</t>
  </si>
  <si>
    <t>土</t>
  </si>
  <si>
    <t>岳獠</t>
  </si>
  <si>
    <r>
      <rPr>
        <sz val="12"/>
        <rFont val="宋体"/>
        <charset val="134"/>
      </rPr>
      <t>攻击</t>
    </r>
    <r>
      <rPr>
        <b/>
        <sz val="12"/>
        <rFont val="宋体"/>
        <charset val="134"/>
      </rPr>
      <t>不触发目标损血被动特效</t>
    </r>
    <r>
      <rPr>
        <sz val="12"/>
        <rFont val="宋体"/>
        <charset val="134"/>
      </rPr>
      <t xml:space="preserve">
且残废无法被免疫和清除</t>
    </r>
  </si>
  <si>
    <t>技能伤害提升25%</t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</si>
  <si>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暴击增加10%</t>
    </r>
  </si>
  <si>
    <t>攻击的目标增加1人</t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</si>
  <si>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暴击增加8%</t>
    </r>
  </si>
  <si>
    <t>攻击的眩晕概率提升至必然</t>
  </si>
  <si>
    <r>
      <rPr>
        <sz val="12"/>
        <rFont val="宋体"/>
        <charset val="134"/>
      </rPr>
      <t>守护弟子</t>
    </r>
    <r>
      <rPr>
        <b/>
        <sz val="12"/>
        <rFont val="宋体"/>
        <charset val="134"/>
      </rPr>
      <t>招架增加7%</t>
    </r>
  </si>
  <si>
    <t>五行</t>
  </si>
  <si>
    <t>普通属性</t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</si>
  <si>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30%血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</si>
  <si>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40%血，防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</si>
  <si>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50%血，防，攻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</si>
  <si>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5%</t>
    </r>
    <r>
      <rPr>
        <sz val="12"/>
        <rFont val="宋体"/>
        <charset val="134"/>
      </rPr>
      <t xml:space="preserve">
全体护盾</t>
    </r>
    <r>
      <rPr>
        <b/>
        <sz val="12"/>
        <rFont val="宋体"/>
        <charset val="134"/>
      </rPr>
      <t>20%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</si>
  <si>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10%</t>
    </r>
    <r>
      <rPr>
        <sz val="12"/>
        <rFont val="宋体"/>
        <charset val="134"/>
      </rPr>
      <t xml:space="preserve">
全体护盾</t>
    </r>
    <r>
      <rPr>
        <b/>
        <sz val="12"/>
        <rFont val="宋体"/>
        <charset val="134"/>
      </rPr>
      <t>40%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</si>
  <si>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 xml:space="preserve">15%
</t>
    </r>
    <r>
      <rPr>
        <sz val="12"/>
        <rFont val="宋体"/>
        <charset val="134"/>
      </rPr>
      <t>全体护盾</t>
    </r>
    <r>
      <rPr>
        <b/>
        <sz val="12"/>
        <rFont val="宋体"/>
        <charset val="134"/>
      </rPr>
      <t>60%</t>
    </r>
  </si>
  <si>
    <r>
      <rPr>
        <sz val="12"/>
        <rFont val="宋体"/>
        <charset val="134"/>
      </rPr>
      <t>五行加成</t>
    </r>
    <r>
      <rPr>
        <b/>
        <sz val="12"/>
        <rFont val="宋体"/>
        <charset val="134"/>
      </rPr>
      <t>20%</t>
    </r>
    <r>
      <rPr>
        <sz val="12"/>
        <rFont val="宋体"/>
        <charset val="134"/>
      </rPr>
      <t xml:space="preserve">
全体护盾</t>
    </r>
    <r>
      <rPr>
        <b/>
        <sz val="12"/>
        <rFont val="宋体"/>
        <charset val="134"/>
      </rPr>
      <t>80%</t>
    </r>
  </si>
  <si>
    <t>10阶机关兽需要材料表</t>
  </si>
  <si>
    <t>关卡掉落</t>
  </si>
  <si>
    <t>阶数</t>
  </si>
  <si>
    <t>材料</t>
  </si>
  <si>
    <t>53-9</t>
  </si>
  <si>
    <t>35-10</t>
  </si>
  <si>
    <t>24-10</t>
  </si>
  <si>
    <t>11-10</t>
  </si>
  <si>
    <t>0-1</t>
  </si>
  <si>
    <t>青铜关节*1</t>
  </si>
  <si>
    <t>青铜底座*1</t>
  </si>
  <si>
    <t>青铜线圈*1</t>
  </si>
  <si>
    <t>青铜螺栓*1</t>
  </si>
  <si>
    <t>54-9</t>
  </si>
  <si>
    <t>36-9</t>
  </si>
  <si>
    <t>25-9</t>
  </si>
  <si>
    <t>14-10</t>
  </si>
  <si>
    <t>精钢外壳*1</t>
  </si>
  <si>
    <t>精钢关节*1</t>
  </si>
  <si>
    <t>精钢线圈*1</t>
  </si>
  <si>
    <t>55-9</t>
  </si>
  <si>
    <t>36-10</t>
  </si>
  <si>
    <t>25-10</t>
  </si>
  <si>
    <t>16-10</t>
  </si>
  <si>
    <t>精钢螺栓*1</t>
  </si>
  <si>
    <t>精钢底座*1</t>
  </si>
  <si>
    <t>48-9</t>
  </si>
  <si>
    <t>37-10</t>
  </si>
  <si>
    <t>27-10</t>
  </si>
  <si>
    <t>精钢管*1</t>
  </si>
  <si>
    <t>玄铁外壳*1</t>
  </si>
  <si>
    <t>49-9</t>
  </si>
  <si>
    <t>38-10</t>
  </si>
  <si>
    <t>28-10</t>
  </si>
  <si>
    <t>玄铁关节*1</t>
  </si>
  <si>
    <t>玄铁底座*1</t>
  </si>
  <si>
    <t>玄铁螺栓*1</t>
  </si>
  <si>
    <t>50-9</t>
  </si>
  <si>
    <t>39-10</t>
  </si>
  <si>
    <t>29-10</t>
  </si>
  <si>
    <t>玄铁线圈*1</t>
  </si>
  <si>
    <t>玄铁管*1</t>
  </si>
  <si>
    <t>铅块</t>
  </si>
  <si>
    <t>好友副本</t>
  </si>
  <si>
    <t>玄铁工具箱*1</t>
  </si>
  <si>
    <t>青铜</t>
  </si>
  <si>
    <t>各黄色关卡</t>
  </si>
  <si>
    <t>同名7阶机关兽*1</t>
  </si>
  <si>
    <t>精钢</t>
  </si>
  <si>
    <t>各蓝色关卡</t>
  </si>
  <si>
    <t>同名7阶机关兽*2</t>
  </si>
  <si>
    <t>玄铁</t>
  </si>
  <si>
    <t>各橙色关卡</t>
  </si>
  <si>
    <t>同名7阶机关兽*4</t>
  </si>
  <si>
    <t>机关兽需要材料表</t>
  </si>
  <si>
    <t>7阶</t>
  </si>
  <si>
    <t>普通（绿）</t>
  </si>
  <si>
    <t>技能穿透%</t>
  </si>
  <si>
    <t>技伤减免%</t>
  </si>
  <si>
    <t>暴击%</t>
  </si>
  <si>
    <t>抗暴击%</t>
  </si>
  <si>
    <t>真伤抵抗%</t>
  </si>
  <si>
    <t>中级闪避%</t>
  </si>
  <si>
    <t>速</t>
  </si>
  <si>
    <t>10种</t>
  </si>
  <si>
    <t>幻鱼 绿</t>
  </si>
  <si>
    <t>绿</t>
  </si>
  <si>
    <t>幻鱼 紫</t>
  </si>
  <si>
    <t>蓝</t>
  </si>
  <si>
    <t>幻鱼 蓝</t>
  </si>
  <si>
    <t>紫</t>
  </si>
  <si>
    <t>盔鱼 绿</t>
  </si>
  <si>
    <t>橙</t>
  </si>
  <si>
    <t>盔鱼 黄</t>
  </si>
  <si>
    <t>红</t>
  </si>
  <si>
    <t>盔鱼 紫</t>
  </si>
  <si>
    <t>yi</t>
  </si>
  <si>
    <t>鮨鱼 棕</t>
  </si>
  <si>
    <t>鮨鱼 青</t>
  </si>
  <si>
    <t>鮨鱼 黄</t>
  </si>
  <si>
    <t>鮨鱼 蓝</t>
  </si>
  <si>
    <t>3级</t>
  </si>
  <si>
    <t>强化满级</t>
  </si>
  <si>
    <t>护盾+2000</t>
  </si>
  <si>
    <t>总计</t>
  </si>
  <si>
    <t>稀有（蓝）</t>
  </si>
  <si>
    <t>丑鱼 黄</t>
  </si>
  <si>
    <t>丑鱼 红</t>
  </si>
  <si>
    <t>丑鱼 紫</t>
  </si>
  <si>
    <t>刺鱼 黄</t>
  </si>
  <si>
    <t>刺鱼 红</t>
  </si>
  <si>
    <t>刺鱼 蓝</t>
  </si>
  <si>
    <t>鲽鱼 黑</t>
  </si>
  <si>
    <t>鲽鱼 红</t>
  </si>
  <si>
    <t>鲽鱼 蓝</t>
  </si>
  <si>
    <t>鲀鱼 绿</t>
  </si>
  <si>
    <t>4级</t>
  </si>
  <si>
    <t>4种</t>
  </si>
  <si>
    <t>鲀鱼 蓝</t>
  </si>
  <si>
    <t>鲀鱼 棕</t>
  </si>
  <si>
    <t>丑鱼 金</t>
  </si>
  <si>
    <t>鲽鱼 金</t>
  </si>
  <si>
    <t>护盾+8000</t>
  </si>
  <si>
    <t>蓝色合计</t>
  </si>
  <si>
    <t>史诗（紫）</t>
  </si>
  <si>
    <t>12种</t>
  </si>
  <si>
    <t>鲳鱼 蓝</t>
  </si>
  <si>
    <t>鲳鱼 紫</t>
  </si>
  <si>
    <t>鲳鱼 棕</t>
  </si>
  <si>
    <t>鲷鱼 棕</t>
  </si>
  <si>
    <t>鲷鱼 绿</t>
  </si>
  <si>
    <t>鲷鱼 紫</t>
  </si>
  <si>
    <t>金枪鱼 蓝</t>
  </si>
  <si>
    <t>金枪鱼 绿</t>
  </si>
  <si>
    <t>金枪鱼 紫</t>
  </si>
  <si>
    <t>旗鱼 蓝</t>
  </si>
  <si>
    <t>旗鱼 青</t>
  </si>
  <si>
    <t>旗鱼 紫</t>
  </si>
  <si>
    <t>6级</t>
  </si>
  <si>
    <t>5种</t>
  </si>
  <si>
    <t>鹦嘴鱼 绿</t>
  </si>
  <si>
    <t>鹦嘴鱼 紫</t>
  </si>
  <si>
    <t>鲳鱼 金</t>
  </si>
  <si>
    <t>鲷鱼 金</t>
  </si>
  <si>
    <t>金枪鱼 金</t>
  </si>
  <si>
    <t>1种</t>
  </si>
  <si>
    <t>旗鱼 金</t>
  </si>
  <si>
    <t>护盾+3W</t>
  </si>
  <si>
    <t>紫色合计</t>
  </si>
  <si>
    <t>传说（橙）</t>
  </si>
  <si>
    <t>鲨鱼 棕</t>
  </si>
  <si>
    <t>鲨鱼 红</t>
  </si>
  <si>
    <t>鲨鱼 青</t>
  </si>
  <si>
    <t>虎鲸 绿</t>
  </si>
  <si>
    <t>虎鲸 蓝</t>
  </si>
  <si>
    <t>虎鲸 紫</t>
  </si>
  <si>
    <t>巨型鱿鱼 红</t>
  </si>
  <si>
    <t>巨型鱿鱼 紫</t>
  </si>
  <si>
    <t>龙虾 红</t>
  </si>
  <si>
    <t>龙虾 蓝</t>
  </si>
  <si>
    <t>鳗鱼 紫</t>
  </si>
  <si>
    <t>鳗鱼 蓝</t>
  </si>
  <si>
    <t>鳗鱼 绿</t>
  </si>
  <si>
    <t>鳐鱼 黄</t>
  </si>
  <si>
    <t>鳐鱼 红金</t>
  </si>
  <si>
    <t>鳐鱼 紫金</t>
  </si>
  <si>
    <t>鲨鱼 绯金</t>
  </si>
  <si>
    <t>虎鲸 黑金</t>
  </si>
  <si>
    <t>巨型鱿鱼 红金</t>
  </si>
  <si>
    <t>龙虾 绯金</t>
  </si>
  <si>
    <t>鳗鱼 绯金</t>
  </si>
  <si>
    <t>鳐鱼 绯金</t>
  </si>
  <si>
    <t>8级</t>
  </si>
  <si>
    <t>护盾+11W</t>
  </si>
  <si>
    <t>神话（红）</t>
  </si>
  <si>
    <t>21种</t>
  </si>
  <si>
    <t>鳌鱼 红</t>
  </si>
  <si>
    <t>鳌鱼 蓝</t>
  </si>
  <si>
    <t>鳌鱼 绿</t>
  </si>
  <si>
    <t>独角鲨 绿</t>
  </si>
  <si>
    <t>独角鲨 黑</t>
  </si>
  <si>
    <t>独角鲨 紫</t>
  </si>
  <si>
    <t>骨鲲 绿</t>
  </si>
  <si>
    <t>骨鲲 蓝</t>
  </si>
  <si>
    <t>骨鲲 红</t>
  </si>
  <si>
    <t>狮鹫鳄 蓝</t>
  </si>
  <si>
    <t>狮鹫鳄 红</t>
  </si>
  <si>
    <t>狮鹫鳄 紫</t>
  </si>
  <si>
    <t>犀角鲸 紫</t>
  </si>
  <si>
    <t>犀角鲸 红</t>
  </si>
  <si>
    <t>幽冥龟 绿</t>
  </si>
  <si>
    <t>幽冥龟 紫</t>
  </si>
  <si>
    <t>玉蛟 红金</t>
  </si>
  <si>
    <t>玉蛟 黑金</t>
  </si>
  <si>
    <t>鳌鱼 鎏金</t>
  </si>
  <si>
    <t>独角鲨 蓝金</t>
  </si>
  <si>
    <t>独角鲨 棕金</t>
  </si>
  <si>
    <t>10级</t>
  </si>
  <si>
    <t>骨鲲 鎏金</t>
  </si>
  <si>
    <t>狮鹫鳄 鎏金</t>
  </si>
  <si>
    <t>犀角鲸 蓝金</t>
  </si>
  <si>
    <t>幽冥龟 鎏金</t>
  </si>
  <si>
    <t>玉蛟 鎏金</t>
  </si>
  <si>
    <t>护盾+40W</t>
  </si>
  <si>
    <t>红色合计</t>
  </si>
  <si>
    <t>初始</t>
  </si>
  <si>
    <t>升级</t>
  </si>
  <si>
    <t>七星珠草</t>
  </si>
  <si>
    <t>信物</t>
  </si>
  <si>
    <t>日期</t>
  </si>
  <si>
    <t>本堂兑换</t>
  </si>
  <si>
    <t>本堂换其他</t>
  </si>
  <si>
    <t>老版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</si>
  <si>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</si>
  <si>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/2</t>
    </r>
  </si>
  <si>
    <t>1.19-21</t>
  </si>
  <si>
    <t>魁隗</t>
  </si>
  <si>
    <t>4.13-15</t>
  </si>
  <si>
    <t>7.6-8</t>
  </si>
  <si>
    <t>9.28-30</t>
  </si>
  <si>
    <t>4.22-24</t>
  </si>
  <si>
    <t>神农</t>
  </si>
  <si>
    <t>7.22-24</t>
  </si>
  <si>
    <t>10.21-23</t>
  </si>
  <si>
    <t>烈山</t>
  </si>
  <si>
    <t>1.20-22</t>
  </si>
  <si>
    <t>4.21-23</t>
  </si>
  <si>
    <t>四岳</t>
  </si>
  <si>
    <t>7.21-23</t>
  </si>
  <si>
    <t>共工</t>
  </si>
  <si>
    <t>1.26-28</t>
  </si>
  <si>
    <t>4.20-22</t>
  </si>
  <si>
    <t>7.13-15</t>
  </si>
  <si>
    <t>10.5-7</t>
  </si>
  <si>
    <t>4.29-5.1</t>
  </si>
  <si>
    <t>7.29-31</t>
  </si>
  <si>
    <t>10.28-30</t>
  </si>
  <si>
    <t>1.27-29</t>
  </si>
  <si>
    <t>4.28-30</t>
  </si>
  <si>
    <t>7.28-30</t>
  </si>
  <si>
    <t>2.2-4</t>
  </si>
  <si>
    <t>4.27-29</t>
  </si>
  <si>
    <t>7.20-22</t>
  </si>
  <si>
    <t>10.12-14</t>
  </si>
  <si>
    <t>5.6-8</t>
  </si>
  <si>
    <t>8.5-7</t>
  </si>
  <si>
    <t>11.4-6</t>
  </si>
  <si>
    <t>2.3-5</t>
  </si>
  <si>
    <t>5.5-7</t>
  </si>
  <si>
    <t>8.4-6</t>
  </si>
  <si>
    <t>2.9-11</t>
  </si>
  <si>
    <t>5.4-6</t>
  </si>
  <si>
    <t>7.27-29</t>
  </si>
  <si>
    <t>10.19-21</t>
  </si>
  <si>
    <t>5.13-15</t>
  </si>
  <si>
    <t>8.12-14</t>
  </si>
  <si>
    <t>11.11-13</t>
  </si>
  <si>
    <t>2.10-12</t>
  </si>
  <si>
    <t>5.12-14</t>
  </si>
  <si>
    <t>8.11-13</t>
  </si>
  <si>
    <t>2.16-18</t>
  </si>
  <si>
    <t>5.11-13</t>
  </si>
  <si>
    <t>8.3-5</t>
  </si>
  <si>
    <t>10.26-28</t>
  </si>
  <si>
    <t>5.20-22</t>
  </si>
  <si>
    <t>8.19-21</t>
  </si>
  <si>
    <t>11.18-20</t>
  </si>
  <si>
    <t>2.17-19</t>
  </si>
  <si>
    <t>5.19-21</t>
  </si>
  <si>
    <t>8.18-20</t>
  </si>
  <si>
    <t>2.23-25</t>
  </si>
  <si>
    <t>5.18-20</t>
  </si>
  <si>
    <t>8.10-12</t>
  </si>
  <si>
    <t>11.2-4</t>
  </si>
  <si>
    <t>5.27-29</t>
  </si>
  <si>
    <t>8.26-28</t>
  </si>
  <si>
    <t>11.25-27</t>
  </si>
  <si>
    <t>2.24-26</t>
  </si>
  <si>
    <t>5.26-28</t>
  </si>
  <si>
    <t>8.25-27</t>
  </si>
  <si>
    <t>3.2-4</t>
  </si>
  <si>
    <t>5.25-27</t>
  </si>
  <si>
    <t>8.17-19</t>
  </si>
  <si>
    <t>11.9-11</t>
  </si>
  <si>
    <t>6.3-5</t>
  </si>
  <si>
    <t>9.2-4</t>
  </si>
  <si>
    <t>12.2-4</t>
  </si>
  <si>
    <t>3.3-5</t>
  </si>
  <si>
    <t>6.2-4</t>
  </si>
  <si>
    <t>9.1-3</t>
  </si>
  <si>
    <t>3.9-11</t>
  </si>
  <si>
    <t>6.1-3</t>
  </si>
  <si>
    <t>8.24-26</t>
  </si>
  <si>
    <t>11.16-18</t>
  </si>
  <si>
    <t>6.10-12</t>
  </si>
  <si>
    <t>9.9-10</t>
  </si>
  <si>
    <t>12.9-11</t>
  </si>
  <si>
    <t>3.10-12</t>
  </si>
  <si>
    <t>6.9-11</t>
  </si>
  <si>
    <t>9.8-10</t>
  </si>
  <si>
    <t>3.16-18</t>
  </si>
  <si>
    <t>6.8-10</t>
  </si>
  <si>
    <t>8.31-9.2</t>
  </si>
  <si>
    <t>11.23-25</t>
  </si>
  <si>
    <t>6.17-19</t>
  </si>
  <si>
    <t>9.16-18</t>
  </si>
  <si>
    <t>12.16-18</t>
  </si>
  <si>
    <t>3.17-19</t>
  </si>
  <si>
    <t>6.16-18</t>
  </si>
  <si>
    <t>9.15-17</t>
  </si>
  <si>
    <t>1/3</t>
  </si>
  <si>
    <t>3.23-25</t>
  </si>
  <si>
    <t>6.15-17</t>
  </si>
  <si>
    <t>9.7-9</t>
  </si>
  <si>
    <t>11.30-12.2</t>
  </si>
  <si>
    <t>6.24-26</t>
  </si>
  <si>
    <t>9.23-25</t>
  </si>
  <si>
    <t>12.23-25</t>
  </si>
  <si>
    <t>3.24-26</t>
  </si>
  <si>
    <t>6.23-25</t>
  </si>
  <si>
    <t>9.22-24</t>
  </si>
  <si>
    <t>3.30-4.1</t>
  </si>
  <si>
    <t>6.22-24</t>
  </si>
  <si>
    <t>9.14-16</t>
  </si>
  <si>
    <t>12.7-9</t>
  </si>
  <si>
    <t>7.1-3</t>
  </si>
  <si>
    <t>9.30-10.1</t>
  </si>
  <si>
    <t>12.30-1.1</t>
  </si>
  <si>
    <t>3.31-4.2</t>
  </si>
  <si>
    <t>6.30-7.2</t>
  </si>
  <si>
    <t>9.29-10.1</t>
  </si>
  <si>
    <t>4.6-8</t>
  </si>
  <si>
    <t>6.29-7.1</t>
  </si>
  <si>
    <t>9.21-23</t>
  </si>
  <si>
    <t>12.14-16</t>
  </si>
  <si>
    <t>7.8-10</t>
  </si>
  <si>
    <t>1.6-8</t>
  </si>
  <si>
    <t>4.7-9</t>
  </si>
  <si>
    <t>7.7-9</t>
  </si>
  <si>
    <t>10.6-8</t>
  </si>
  <si>
    <t>7.15-17</t>
  </si>
  <si>
    <t>10.14-16</t>
  </si>
  <si>
    <t>1.13-15</t>
  </si>
  <si>
    <t>4.14-16</t>
  </si>
  <si>
    <t>7.14-16</t>
  </si>
  <si>
    <t>10.13-15</t>
  </si>
  <si>
    <t>12.21-23</t>
  </si>
  <si>
    <t>12.28-30</t>
  </si>
  <si>
    <t>10.20-22</t>
  </si>
  <si>
    <t>1.4-6</t>
  </si>
  <si>
    <t>10.27-29</t>
  </si>
  <si>
    <t>11.3-5</t>
  </si>
  <si>
    <t>11.10-12</t>
  </si>
  <si>
    <t>11.17-19</t>
  </si>
  <si>
    <t>11.24-26</t>
  </si>
  <si>
    <t>12.1-3</t>
  </si>
  <si>
    <t>12.8-10</t>
  </si>
  <si>
    <t>12.15-17</t>
  </si>
  <si>
    <t>12.22-24</t>
  </si>
  <si>
    <t>12.29-31</t>
  </si>
  <si>
    <t>1.5-7</t>
  </si>
  <si>
    <t>1.12-14</t>
  </si>
  <si>
    <t>进度10</t>
  </si>
  <si>
    <r>
      <rPr>
        <sz val="10"/>
        <color theme="1"/>
        <rFont val="宋体"/>
        <charset val="134"/>
        <scheme val="minor"/>
      </rPr>
      <t>全体上阵单位</t>
    </r>
    <r>
      <rPr>
        <b/>
        <sz val="10"/>
        <color theme="1"/>
        <rFont val="宋体"/>
        <charset val="134"/>
        <scheme val="minor"/>
      </rPr>
      <t>提升6W攻</t>
    </r>
    <r>
      <rPr>
        <sz val="10"/>
        <color theme="1"/>
        <rFont val="宋体"/>
        <charset val="134"/>
        <scheme val="minor"/>
      </rPr>
      <t>，</t>
    </r>
    <r>
      <rPr>
        <b/>
        <sz val="10"/>
        <color theme="1"/>
        <rFont val="宋体"/>
        <charset val="134"/>
        <scheme val="minor"/>
      </rPr>
      <t>12W内力</t>
    </r>
    <r>
      <rPr>
        <sz val="10"/>
        <color theme="1"/>
        <rFont val="宋体"/>
        <charset val="134"/>
        <scheme val="minor"/>
      </rPr>
      <t>，神将单位额外</t>
    </r>
    <r>
      <rPr>
        <b/>
        <sz val="10"/>
        <color theme="1"/>
        <rFont val="宋体"/>
        <charset val="134"/>
        <scheme val="minor"/>
      </rPr>
      <t>提升36W神将护盾</t>
    </r>
  </si>
  <si>
    <r>
      <rPr>
        <sz val="10"/>
        <color theme="1"/>
        <rFont val="宋体"/>
        <charset val="134"/>
        <scheme val="minor"/>
      </rPr>
      <t>全体上阵单位提升</t>
    </r>
    <r>
      <rPr>
        <b/>
        <sz val="10"/>
        <color theme="1"/>
        <rFont val="宋体"/>
        <charset val="134"/>
        <scheme val="minor"/>
      </rPr>
      <t>6W攻，8W防</t>
    </r>
    <r>
      <rPr>
        <sz val="10"/>
        <color theme="1"/>
        <rFont val="宋体"/>
        <charset val="134"/>
        <scheme val="minor"/>
      </rPr>
      <t>，神将单位额外提升</t>
    </r>
    <r>
      <rPr>
        <b/>
        <sz val="10"/>
        <color theme="1"/>
        <rFont val="宋体"/>
        <charset val="134"/>
        <scheme val="minor"/>
      </rPr>
      <t>40W神将护盾</t>
    </r>
  </si>
  <si>
    <r>
      <rPr>
        <sz val="10"/>
        <color theme="1"/>
        <rFont val="宋体"/>
        <charset val="134"/>
        <scheme val="minor"/>
      </rPr>
      <t>全体上阵单位</t>
    </r>
    <r>
      <rPr>
        <b/>
        <sz val="10"/>
        <color theme="1"/>
        <rFont val="宋体"/>
        <charset val="134"/>
        <scheme val="minor"/>
      </rPr>
      <t>提升32W血，8W内力</t>
    </r>
    <r>
      <rPr>
        <sz val="10"/>
        <color theme="1"/>
        <rFont val="宋体"/>
        <charset val="134"/>
        <scheme val="minor"/>
      </rPr>
      <t>，神将单位额外</t>
    </r>
    <r>
      <rPr>
        <b/>
        <sz val="10"/>
        <color theme="1"/>
        <rFont val="宋体"/>
        <charset val="134"/>
        <scheme val="minor"/>
      </rPr>
      <t>提升32W神将护盾</t>
    </r>
  </si>
  <si>
    <r>
      <rPr>
        <sz val="10"/>
        <color theme="1"/>
        <rFont val="宋体"/>
        <charset val="134"/>
        <scheme val="minor"/>
      </rPr>
      <t>全体上阵单位</t>
    </r>
    <r>
      <rPr>
        <b/>
        <sz val="10"/>
        <color theme="1"/>
        <rFont val="宋体"/>
        <charset val="134"/>
        <scheme val="minor"/>
      </rPr>
      <t>提升24W血，4W攻</t>
    </r>
    <r>
      <rPr>
        <sz val="10"/>
        <color theme="1"/>
        <rFont val="宋体"/>
        <charset val="134"/>
        <scheme val="minor"/>
      </rPr>
      <t>，神将单位额外</t>
    </r>
    <r>
      <rPr>
        <b/>
        <sz val="10"/>
        <color theme="1"/>
        <rFont val="宋体"/>
        <charset val="134"/>
        <scheme val="minor"/>
      </rPr>
      <t>提升40W神将护盾</t>
    </r>
  </si>
  <si>
    <r>
      <rPr>
        <sz val="10"/>
        <color theme="1"/>
        <rFont val="宋体"/>
        <charset val="134"/>
        <scheme val="minor"/>
      </rPr>
      <t>全体上阵单位</t>
    </r>
    <r>
      <rPr>
        <b/>
        <sz val="10"/>
        <color theme="1"/>
        <rFont val="宋体"/>
        <charset val="134"/>
        <scheme val="minor"/>
      </rPr>
      <t>提升28W血，6W防</t>
    </r>
    <r>
      <rPr>
        <sz val="10"/>
        <color theme="1"/>
        <rFont val="宋体"/>
        <charset val="134"/>
        <scheme val="minor"/>
      </rPr>
      <t>，神将单位额外</t>
    </r>
    <r>
      <rPr>
        <b/>
        <sz val="10"/>
        <color theme="1"/>
        <rFont val="宋体"/>
        <charset val="134"/>
        <scheme val="minor"/>
      </rPr>
      <t>提升40W神将护盾</t>
    </r>
  </si>
  <si>
    <r>
      <rPr>
        <sz val="10"/>
        <color theme="1"/>
        <rFont val="宋体"/>
        <charset val="134"/>
        <scheme val="minor"/>
      </rPr>
      <t>全体上阵单位</t>
    </r>
    <r>
      <rPr>
        <b/>
        <sz val="10"/>
        <color theme="1"/>
        <rFont val="宋体"/>
        <charset val="134"/>
        <scheme val="minor"/>
      </rPr>
      <t>提升8W防，12W内力</t>
    </r>
    <r>
      <rPr>
        <sz val="10"/>
        <color theme="1"/>
        <rFont val="宋体"/>
        <charset val="134"/>
        <scheme val="minor"/>
      </rPr>
      <t>，神将单位额外</t>
    </r>
    <r>
      <rPr>
        <b/>
        <sz val="10"/>
        <color theme="1"/>
        <rFont val="宋体"/>
        <charset val="134"/>
        <scheme val="minor"/>
      </rPr>
      <t>提升52W神将护盾</t>
    </r>
  </si>
  <si>
    <t>进度20</t>
  </si>
  <si>
    <r>
      <rPr>
        <sz val="10"/>
        <color theme="1"/>
        <rFont val="宋体"/>
        <charset val="134"/>
        <scheme val="minor"/>
      </rPr>
      <t>魁隗单位主动行动前，对</t>
    </r>
    <r>
      <rPr>
        <b/>
        <sz val="10"/>
        <color theme="1"/>
        <rFont val="宋体"/>
        <charset val="134"/>
        <scheme val="minor"/>
      </rPr>
      <t>随机1名</t>
    </r>
    <r>
      <rPr>
        <sz val="10"/>
        <color theme="1"/>
        <rFont val="宋体"/>
        <charset val="134"/>
        <scheme val="minor"/>
      </rPr>
      <t>敌人造成</t>
    </r>
    <r>
      <rPr>
        <b/>
        <sz val="10"/>
        <color theme="1"/>
        <rFont val="宋体"/>
        <charset val="134"/>
        <scheme val="minor"/>
      </rPr>
      <t>攻击力*350%</t>
    </r>
    <r>
      <rPr>
        <sz val="10"/>
        <color theme="1"/>
        <rFont val="宋体"/>
        <charset val="134"/>
        <scheme val="minor"/>
      </rPr>
      <t>的</t>
    </r>
    <r>
      <rPr>
        <b/>
        <sz val="10"/>
        <color theme="1"/>
        <rFont val="宋体"/>
        <charset val="134"/>
        <scheme val="minor"/>
      </rPr>
      <t>真实伤害</t>
    </r>
  </si>
  <si>
    <r>
      <rPr>
        <sz val="10"/>
        <color theme="1"/>
        <rFont val="宋体"/>
        <charset val="134"/>
        <scheme val="minor"/>
      </rPr>
      <t>蚩尤单位主动行动前，</t>
    </r>
    <r>
      <rPr>
        <b/>
        <sz val="10"/>
        <color theme="1"/>
        <rFont val="宋体"/>
        <charset val="134"/>
        <scheme val="minor"/>
      </rPr>
      <t>增加自身10%攻击、5%穿透、5%暴击，可叠加3次</t>
    </r>
  </si>
  <si>
    <r>
      <rPr>
        <sz val="10"/>
        <color theme="1"/>
        <rFont val="宋体"/>
        <charset val="134"/>
        <scheme val="minor"/>
      </rPr>
      <t>烈山单位主动行动前，随机移除2名敌人的免疫负面状态，并使其中</t>
    </r>
    <r>
      <rPr>
        <b/>
        <sz val="10"/>
        <color theme="1"/>
        <rFont val="宋体"/>
        <charset val="134"/>
        <scheme val="minor"/>
      </rPr>
      <t>1人爆燃</t>
    </r>
    <r>
      <rPr>
        <sz val="10"/>
        <color theme="1"/>
        <rFont val="宋体"/>
        <charset val="134"/>
        <scheme val="minor"/>
      </rPr>
      <t xml:space="preserve">，
</t>
    </r>
    <r>
      <rPr>
        <b/>
        <sz val="10"/>
        <color theme="1"/>
        <rFont val="宋体"/>
        <charset val="134"/>
        <scheme val="minor"/>
      </rPr>
      <t>1人残废，1回合</t>
    </r>
  </si>
  <si>
    <r>
      <rPr>
        <sz val="10"/>
        <color theme="1"/>
        <rFont val="宋体"/>
        <charset val="134"/>
        <scheme val="minor"/>
      </rPr>
      <t>四岳单位</t>
    </r>
    <r>
      <rPr>
        <b/>
        <sz val="10"/>
        <color theme="1"/>
        <rFont val="宋体"/>
        <charset val="134"/>
        <scheme val="minor"/>
      </rPr>
      <t>神将护盾值提升20%</t>
    </r>
    <r>
      <rPr>
        <sz val="10"/>
        <color theme="1"/>
        <rFont val="宋体"/>
        <charset val="134"/>
        <scheme val="minor"/>
      </rPr>
      <t>，且护盾存在期间</t>
    </r>
    <r>
      <rPr>
        <b/>
        <sz val="10"/>
        <color theme="1"/>
        <rFont val="宋体"/>
        <charset val="134"/>
        <scheme val="minor"/>
      </rPr>
      <t>免疫负面状态</t>
    </r>
  </si>
  <si>
    <r>
      <rPr>
        <sz val="10"/>
        <color theme="1"/>
        <rFont val="宋体"/>
        <charset val="134"/>
        <scheme val="minor"/>
      </rPr>
      <t>共工单位神将护盾降低时，</t>
    </r>
    <r>
      <rPr>
        <b/>
        <sz val="10"/>
        <color theme="1"/>
        <rFont val="宋体"/>
        <charset val="134"/>
        <scheme val="minor"/>
      </rPr>
      <t>提升6%技能减免，可叠加5次，持续1回合</t>
    </r>
  </si>
  <si>
    <r>
      <rPr>
        <sz val="10"/>
        <color theme="1"/>
        <rFont val="宋体"/>
        <charset val="134"/>
        <scheme val="minor"/>
      </rPr>
      <t>神农单位血量首次</t>
    </r>
    <r>
      <rPr>
        <b/>
        <sz val="10"/>
        <color theme="1"/>
        <rFont val="宋体"/>
        <charset val="134"/>
        <scheme val="minor"/>
      </rPr>
      <t>降至60%以下</t>
    </r>
    <r>
      <rPr>
        <sz val="10"/>
        <color theme="1"/>
        <rFont val="宋体"/>
        <charset val="134"/>
        <scheme val="minor"/>
      </rPr>
      <t>时，为</t>
    </r>
    <r>
      <rPr>
        <b/>
        <sz val="10"/>
        <color theme="1"/>
        <rFont val="宋体"/>
        <charset val="134"/>
        <scheme val="minor"/>
      </rPr>
      <t>自身和血量较低的3个其他伙伴进行自身内力值*300%的治疗</t>
    </r>
  </si>
  <si>
    <t>进度30</t>
  </si>
  <si>
    <r>
      <rPr>
        <sz val="10"/>
        <color theme="1"/>
        <rFont val="宋体"/>
        <charset val="134"/>
        <scheme val="minor"/>
      </rPr>
      <t>我方有魁隗单位在场时，全体</t>
    </r>
    <r>
      <rPr>
        <b/>
        <sz val="10"/>
        <color theme="1"/>
        <rFont val="宋体"/>
        <charset val="134"/>
        <scheme val="minor"/>
      </rPr>
      <t>提升10%暴击</t>
    </r>
    <r>
      <rPr>
        <sz val="10"/>
        <color theme="1"/>
        <rFont val="宋体"/>
        <charset val="134"/>
        <scheme val="minor"/>
      </rPr>
      <t>，敌方全体</t>
    </r>
    <r>
      <rPr>
        <b/>
        <sz val="10"/>
        <color theme="1"/>
        <rFont val="宋体"/>
        <charset val="134"/>
        <scheme val="minor"/>
      </rPr>
      <t>降低5%攻击</t>
    </r>
  </si>
  <si>
    <r>
      <rPr>
        <sz val="10"/>
        <color theme="1"/>
        <rFont val="宋体"/>
        <charset val="134"/>
        <scheme val="minor"/>
      </rPr>
      <t>我方有蚩尤单位在场时，全体</t>
    </r>
    <r>
      <rPr>
        <b/>
        <sz val="10"/>
        <color theme="1"/>
        <rFont val="宋体"/>
        <charset val="134"/>
        <scheme val="minor"/>
      </rPr>
      <t>提升5%攻击和10%技能减免</t>
    </r>
  </si>
  <si>
    <r>
      <rPr>
        <sz val="10"/>
        <color theme="1"/>
        <rFont val="宋体"/>
        <charset val="134"/>
        <scheme val="minor"/>
      </rPr>
      <t>我方有烈山单位在场时，全体</t>
    </r>
    <r>
      <rPr>
        <b/>
        <sz val="10"/>
        <color theme="1"/>
        <rFont val="宋体"/>
        <charset val="134"/>
        <scheme val="minor"/>
      </rPr>
      <t>提升30%神将护盾</t>
    </r>
    <r>
      <rPr>
        <sz val="10"/>
        <color theme="1"/>
        <rFont val="宋体"/>
        <charset val="134"/>
        <scheme val="minor"/>
      </rPr>
      <t>，敌方全体</t>
    </r>
    <r>
      <rPr>
        <b/>
        <sz val="10"/>
        <color theme="1"/>
        <rFont val="宋体"/>
        <charset val="134"/>
        <scheme val="minor"/>
      </rPr>
      <t>降低15%内力</t>
    </r>
  </si>
  <si>
    <r>
      <rPr>
        <sz val="10"/>
        <color theme="1"/>
        <rFont val="宋体"/>
        <charset val="134"/>
        <scheme val="minor"/>
      </rPr>
      <t>我方有四岳单位在场时，全体</t>
    </r>
    <r>
      <rPr>
        <b/>
        <sz val="10"/>
        <color theme="1"/>
        <rFont val="宋体"/>
        <charset val="134"/>
        <scheme val="minor"/>
      </rPr>
      <t>提升20%防御</t>
    </r>
    <r>
      <rPr>
        <sz val="10"/>
        <color theme="1"/>
        <rFont val="宋体"/>
        <charset val="134"/>
        <scheme val="minor"/>
      </rPr>
      <t>，敌方全体</t>
    </r>
    <r>
      <rPr>
        <b/>
        <sz val="10"/>
        <color theme="1"/>
        <rFont val="宋体"/>
        <charset val="134"/>
        <scheme val="minor"/>
      </rPr>
      <t>降低10%暴击</t>
    </r>
  </si>
  <si>
    <r>
      <rPr>
        <sz val="10"/>
        <color theme="1"/>
        <rFont val="宋体"/>
        <charset val="134"/>
        <scheme val="minor"/>
      </rPr>
      <t>我方有共工单位在场时，全体</t>
    </r>
    <r>
      <rPr>
        <b/>
        <sz val="10"/>
        <color theme="1"/>
        <rFont val="宋体"/>
        <charset val="134"/>
        <scheme val="minor"/>
      </rPr>
      <t>提升10%血和15%真实伤害抵抗</t>
    </r>
  </si>
  <si>
    <r>
      <rPr>
        <sz val="10"/>
        <color theme="1"/>
        <rFont val="宋体"/>
        <charset val="134"/>
        <scheme val="minor"/>
      </rPr>
      <t>我方有神农单位在场时，全体</t>
    </r>
    <r>
      <rPr>
        <b/>
        <sz val="10"/>
        <color theme="1"/>
        <rFont val="宋体"/>
        <charset val="134"/>
        <scheme val="minor"/>
      </rPr>
      <t>提升15%内力和20%负面状态抗性</t>
    </r>
    <r>
      <rPr>
        <sz val="10"/>
        <color theme="1"/>
        <rFont val="宋体"/>
        <charset val="134"/>
        <scheme val="minor"/>
      </rPr>
      <t>（概率豁免负面状态，无法免疫的状态除外）</t>
    </r>
  </si>
  <si>
    <t>进度40</t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</si>
  <si>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提升3%暴击率和2%抗暴</t>
    </r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</si>
  <si>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提升3%防御和2%攻击</t>
    </r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</si>
  <si>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提升2%伤害增幅和1%中级闪避</t>
    </r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</si>
  <si>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提升3%技能减免和2%技能穿透</t>
    </r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</si>
  <si>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提升3%追加伤害和2%内力</t>
    </r>
  </si>
  <si>
    <r>
      <rPr>
        <sz val="10"/>
        <color theme="1"/>
        <rFont val="宋体"/>
        <charset val="134"/>
        <scheme val="minor"/>
      </rPr>
      <t>我方场上单位的六堂种类，每有1种全体</t>
    </r>
    <r>
      <rPr>
        <b/>
        <sz val="10"/>
        <color theme="1"/>
        <rFont val="宋体"/>
        <charset val="134"/>
        <scheme val="minor"/>
      </rPr>
      <t>提升3%受到治疗效果和1%真伤抵抗</t>
    </r>
  </si>
  <si>
    <t>阵营
神将</t>
  </si>
  <si>
    <t>神赤练、神晓梦、神大司命、神盖聂
神惊鲵、神吴旷、神诺敏、神白凤
神荆轲、神渊虹盖聂、神寒蝉吴旷
神素华少司命、神田蜜、神森罗大司命
神黑龙天、神荼蘼田蜜、神兰轩紫女</t>
  </si>
  <si>
    <t>神星魂、神刘邦、神田虎、神胜七
神项羽、神高月、神胡亥、神田光
神伏念、神韩非、神蚩魔卫庄
神黑白玄翦、神极诣星魂、神赤霄刘季
神霸道田虎、神侠道天明</t>
  </si>
  <si>
    <t>神少司命、神雪女、神田言、神英布
神钟离昧、神焰灵姬、神张良、神湘君
神焱妃、神水寒高渐离、神丽姬
神紫女、神天宗晓梦、神红莲赤练
神太虚月神、神惊鲵田言、神王道少羽</t>
  </si>
  <si>
    <t>神司徒万里、神月神、神高渐离
神龙且、神虞姬、神荆天明、神胡姬
神李牧、神小黎、神墨鸦、神王离
神田赐、神卫庄、神天泽、神逆天而行
神鲨齿卫庄</t>
  </si>
  <si>
    <t>神章邯、神韩信、神季布、神典庆
神田仲、神赵高、神颜路、神东皇太一
神燕丹、神李斯、神王翦、神大铁锤
神巨阙陈胜、神潜蛟韩信、神梅三娘
神龙骧章邯、神将威龙且</t>
  </si>
  <si>
    <t>神蒙恬、神云中君、神嬴政、神扶苏
神逍遥子、神端木蓉、神朱家、神掩日
神白亦非、神湘夫人、神真刚
神镜仙端木蓉、神墨家雪女、神秋水晓梦
神凤吟弄玉、神鬼谷盖聂</t>
  </si>
  <si>
    <t>战匣等级</t>
  </si>
  <si>
    <t>沧海珠需求</t>
  </si>
  <si>
    <t>玄龟甲需求</t>
  </si>
  <si>
    <t>PVP免伤</t>
  </si>
  <si>
    <t>53级极限属性</t>
  </si>
  <si>
    <t>丹囊等级</t>
  </si>
  <si>
    <t>丹囊增加百分比</t>
  </si>
  <si>
    <t>53、56级极限属性</t>
  </si>
  <si>
    <t>59级极限属性</t>
  </si>
  <si>
    <t>63、66级极限属性</t>
  </si>
  <si>
    <t>69、73级极限属性</t>
  </si>
  <si>
    <t>76、79级极限属性</t>
  </si>
  <si>
    <t>80+级极限属性</t>
  </si>
  <si>
    <t>备注</t>
  </si>
  <si>
    <t>总计：19470</t>
  </si>
  <si>
    <t>总计：739</t>
  </si>
  <si>
    <t>总计：4995</t>
  </si>
  <si>
    <t>总计：90</t>
  </si>
  <si>
    <t>技能名称</t>
  </si>
  <si>
    <t>技能介绍</t>
  </si>
  <si>
    <t>特殊效果</t>
  </si>
  <si>
    <t>千人千面</t>
  </si>
  <si>
    <t>己方全体损失5%当前血量,此血量总和转换为额外伤害,并使随机1名敌人进入点穴状态（下回合行动停止或损失总血量20%的生命）</t>
  </si>
  <si>
    <t>守护神援助技能不触发反击、反伤和奇袭，主动增益。</t>
  </si>
  <si>
    <t>九转断魂</t>
  </si>
  <si>
    <t>敌方人数大于6人时,附带目标当前血量10%额外伤害；小于等于6人时,附带目标总血量的5%额外伤害。小于等于3人时,附带目标损失血量的10%额外伤害。</t>
  </si>
  <si>
    <t>守护神援助技能不触发反击、反伤和奇袭，主动增益。每有一个单位阵亡，技能伤害提升10%。</t>
  </si>
  <si>
    <t>地泽之阵</t>
  </si>
  <si>
    <t>附加5%己方全体总攻的额外伤害。同时己方所有单位获得守护神当前血量10%的治疗效果。</t>
  </si>
  <si>
    <t>守护神援助技能不触发反击、反伤和奇袭，主动增益。造成伤害后，敌方随机1人降至敌方血量最低单位相同血量。</t>
  </si>
  <si>
    <t>融血杀剑</t>
  </si>
  <si>
    <t>守护神每损失10%生命提升5%技能伤害，对血量最高的目标必然暴击</t>
  </si>
  <si>
    <t>守护神援助技能不触发反击、反伤和奇袭，主动增益。守护神额外提升10%技能穿透。</t>
  </si>
  <si>
    <t>春寒断掌</t>
  </si>
  <si>
    <t>附加守护神损失血量20%的额外伤害，必定使1个目标寒印（受到的治疗效果为1）。</t>
  </si>
  <si>
    <t>噤若寒蝉</t>
  </si>
  <si>
    <t>有几率使50%血以下的技能目标进入濒死状态，血量比例越低即死几率越高</t>
  </si>
  <si>
    <t>守护神援助技能不触发反击、反伤和奇袭，主动增益。附带守护神防御值的追加伤害</t>
  </si>
  <si>
    <t>凤舞九天</t>
  </si>
  <si>
    <t>随机1个目标禁锢(无法释放技能和自愈等主动增益)1回合。释放后技能穿透提升10%。</t>
  </si>
  <si>
    <t>守护神援助技能不触发反击、反伤和奇袭，主动增益。若对方后排弟子相邻的前排单位阵亡或不存在,额外攻击该弟子。</t>
  </si>
  <si>
    <t>不祥之羽</t>
  </si>
  <si>
    <t>造成总伤害的20%将为己方血量最少的单位恢复生命。守护神每损失1%生命，技能伤害提升1%。</t>
  </si>
  <si>
    <t>惊天十八剑</t>
  </si>
  <si>
    <t>必定使目标眩晕1回合。释放后敌方人数大于我方则连击发动墨眉无锋;少于等于则发动梦蝶之遁。</t>
  </si>
  <si>
    <t>守护神援助技能不触发反击、反伤和奇袭，主动增益。墨眉无锋:对敌方全体造成惊天十八剑50%的伤害。梦蝶之遁:我方全体回复守护神10%基础总血量的生命。</t>
  </si>
  <si>
    <t>魂兮龙游</t>
  </si>
  <si>
    <t>计算双方1.5倍的攻击和防御。对血量最高的目标必然造成暴击，最低的目标禁锢1回合。</t>
  </si>
  <si>
    <t>千军破</t>
  </si>
  <si>
    <t>该技能无视目标50%内力和防御，不触发反击、反伤和奇袭技能。并对敌方后排弟子造成60%的伤害。</t>
  </si>
  <si>
    <t>守护神援助技能不触发反击、反伤和奇袭，主动增益。且无视目标30%伤害减免效果。</t>
  </si>
  <si>
    <t>迷踪蝶影</t>
  </si>
  <si>
    <t>附加守护神损失血量10%的追加伤害，并回复损失血量10%的生命。</t>
  </si>
  <si>
    <t>六魂恐咒</t>
  </si>
  <si>
    <t>姜尚：对攻击最高的2个目标提高50%的技能伤害；姬发：对总血量最高的3个目标必然造成暴击。</t>
  </si>
  <si>
    <t>元始：对当前血量最高的目标造成真实伤害；</t>
  </si>
  <si>
    <t>唯我独黑</t>
  </si>
  <si>
    <t>我方血量最低的单位恢复至血量最高的单位相同，我方前排获得可完全抵挡1次伤害的护盾(真实伤害除外)。</t>
  </si>
  <si>
    <t>使目标眩晕1回合。</t>
  </si>
  <si>
    <t>洪荒无极</t>
  </si>
  <si>
    <t>伤害结算后敌方血量最高的单位降至血量最低的单位相同，提升己方全体单位15%穿透1回合。</t>
  </si>
  <si>
    <t>若对方后排弟子相邻的前排单位阵亡或不存在,额外攻击该弟子。对前排目标附加损失血量20%的额外伤害，使技能范围外随机1名敌人残废1回合；</t>
  </si>
  <si>
    <t>九死一生</t>
  </si>
  <si>
    <t>造成伤害后有几率直接斩杀目标（目标剩余血量比例越低斩杀发动几率越高）。我方血量最少的单位回复一半生命。</t>
  </si>
  <si>
    <t>守护神援助技能不触发反击、反伤和奇袭，主动增益，并无视目标内力。若对方后排弟子相邻的前排单位阵亡或不存在,额外攻击该弟子。</t>
  </si>
  <si>
    <t>阴盛阳灭</t>
  </si>
  <si>
    <t>对所有敌人造成目标5%总血量的额外伤害。并使我方血量最少的3个单位恢复守护基础总血量10%的生命值。</t>
  </si>
  <si>
    <t>百战神机</t>
  </si>
  <si>
    <t>依次攻击血量最高的敌人，附加目标当前血量10%的额外伤害，造成伤害的70%(前排)或50%(后排)将传递给所有敌人。</t>
  </si>
  <si>
    <t>守护神援助技能不触发反击、反伤和奇袭，主动增益。释放技能后恢复自身总血量的10%。</t>
  </si>
  <si>
    <t>黄金之魂</t>
  </si>
  <si>
    <t>依次攻击血量较高的敌人，附加目标当前血量5%的额外伤害。必定使目标进入战栗状态(较大几率不能行动)1回合。</t>
  </si>
  <si>
    <t>守护神援助技能不触发反击、反伤和奇袭，主动增益。并使己方随机3人在下回合内不会再获得负面状态。</t>
  </si>
  <si>
    <t>赤焰狂舞</t>
  </si>
  <si>
    <t>使当前血量高于平均水平的目标爆燃(受到的伤害提升10%,且行动前时损失总血量25%的生命)1回合,攻击高于平均水平的目标火媚(攻击下降10%,有几率停止行动并攻击己方随机单位)1回合。</t>
  </si>
  <si>
    <t>守护神援助技能不触发反击、反伤和奇袭，主动增益。并能破除目标免疫后续负面状态的能力。</t>
  </si>
  <si>
    <t>冰棘破天</t>
  </si>
  <si>
    <t>使己方后排单位获得冰棘护盾：首次受到伤害后回复该伤害60%的生命(该效果覆盖自愈)。</t>
  </si>
  <si>
    <t>守护神援助技能不触发反击、反伤和奇袭，主动增益。释放技能后恢复自身总血量的5%。</t>
  </si>
  <si>
    <t>致命切割</t>
  </si>
  <si>
    <t>敌方每有2名单位阵亡，技能目标减少1人但伤害提升20%。未被击中的敌人中随机1人进入狼毒状态（每回合损失自身当前血量20%的生命且无法使用技能）1回合。</t>
  </si>
  <si>
    <t>幽暗之火</t>
  </si>
  <si>
    <t>从当前血量较低的目标开始逐个攻击所有敌人,每个目标增加守护神当前生命5%的额外伤害，并使最后一个目标禁锢1回合。</t>
  </si>
  <si>
    <t>潜龙勿用</t>
  </si>
  <si>
    <t>攻击目标大于等于4人时，使其中1个目标眩晕1回合。目标小于4人时，使其中1个目标生命减半。</t>
  </si>
  <si>
    <t>深渊魔影</t>
  </si>
  <si>
    <t>额外附加守护神总血量5%的追加伤害。技能计算伤害后，使第1目标则立即流失20%的当前血量；最后一个目标眩晕1回合。</t>
  </si>
  <si>
    <t>堡垒剑阵</t>
  </si>
  <si>
    <t>使敌方随机1人进入崩溃状态(攻,防,内力下降40%)1回合,若我方存活人数大于等于7人崩溃目标增加1人。</t>
  </si>
  <si>
    <t>守护神援助技能不触发反击、反伤和奇袭，主动增益。我方全体提升守护神攻击力20%的追加伤害1回合。</t>
  </si>
  <si>
    <t>侠义之道</t>
  </si>
  <si>
    <t>敌方随机1人受到真实伤害，随机1人受到必然暴击效果。</t>
  </si>
  <si>
    <t>守护神援助技能不触发反击、反伤和奇袭技能,可对后排单位造成原本40%的伤害。守护神行动后己方全体获得侠义誓约:永久提升5%攻和防</t>
  </si>
  <si>
    <t>虚无光华</t>
  </si>
  <si>
    <t>含光无形：虚无光华对血量较高的两个目标额外造成30%伤害,并使攻较高的两个目标禁锢1回合。</t>
  </si>
  <si>
    <t>守护神援助技能不触发反击、反伤和奇袭技能,守护神防御值与攻击一同参与伤害计算。</t>
  </si>
  <si>
    <t>白露欺霜</t>
  </si>
  <si>
    <t xml:space="preserve">攻击血量较多的敌人使目标进入夺魄状态(造成伤害时降低自身基础总血量10%的伤害,真实伤害除外)1回合。 </t>
  </si>
  <si>
    <t>为我方血量最低的3个单位治疗解除所有负面状态。</t>
  </si>
  <si>
    <t>三峰并峙</t>
  </si>
  <si>
    <t>对前排目标额外造成30%伤害,后排目标失魂(停止行动且攻击相邻所有单位)1回合。</t>
  </si>
  <si>
    <t>无视技能伤害减免</t>
  </si>
  <si>
    <t>昭云未央斩</t>
  </si>
  <si>
    <t>我方所有单位有几率清除所有负面状态。</t>
  </si>
  <si>
    <t>必然造成暴击伤害，未被攻击的进入战栗状态(较大几率不能行动)1回合。</t>
  </si>
  <si>
    <t xml:space="preserve"> 国色天香</t>
  </si>
  <si>
    <t>使所有前排敌人进入迷离状态(攻击、内力和技能减免各下降20%)，1回合。</t>
  </si>
  <si>
    <t>对前排以及无保护的后排敌人造成1.5倍伤害。为我方后排提升10%技能穿透，前排10%技能减免，1回合。</t>
  </si>
  <si>
    <t>举世无双</t>
  </si>
  <si>
    <t>解除己方前排除裁决以外所有负面状态，使所有后排敌人进入崩溃状态(攻,防,内力下降40%)，1回合。</t>
  </si>
  <si>
    <t>略</t>
  </si>
  <si>
    <t>破军杀将</t>
  </si>
  <si>
    <t>为我方前排全体提升30%技能减免，1回合。我方后排随机2人获得免疫负面状态的护盾，1回合。</t>
  </si>
  <si>
    <t>守护神防御与攻击一同参与伤害计算</t>
  </si>
  <si>
    <t>决胜千里</t>
  </si>
  <si>
    <t>含光无形：虚无光华对血量较高的两个目标额外造成30%伤害且必然暴击。</t>
  </si>
  <si>
    <t>守护神援助技能不触发反击、反伤和奇袭技能。开场提升前排弟子攻击值20%的防御和内力。</t>
  </si>
  <si>
    <t>王道之威</t>
  </si>
  <si>
    <t>使用此技能时附加目标总血量10%的额外伤害，对攻击低于自己的目标造成伤害无视内力。</t>
  </si>
  <si>
    <t>守护神援助技能不触发反击、反伤和奇袭技能,对护盾值未消耗完的目标提升30%技能伤害。</t>
  </si>
  <si>
    <t>橙守护神</t>
  </si>
  <si>
    <t>红守护神</t>
  </si>
  <si>
    <t>碎片</t>
  </si>
  <si>
    <t>灵宝</t>
  </si>
  <si>
    <t>6阶</t>
  </si>
  <si>
    <t>11阶</t>
  </si>
  <si>
    <t>12阶</t>
  </si>
  <si>
    <t>13阶</t>
  </si>
  <si>
    <t>14阶</t>
  </si>
  <si>
    <t>紫色初始</t>
  </si>
  <si>
    <t>20%暴击 21%防</t>
  </si>
  <si>
    <t>25%暴击 28.1%防</t>
  </si>
  <si>
    <t>27%暴击 60%防</t>
  </si>
  <si>
    <t>10%闪避 21%防</t>
  </si>
  <si>
    <t>13%闪避  28.1%防</t>
  </si>
  <si>
    <t>14%闪避 60%防</t>
  </si>
  <si>
    <t>82速 21%防</t>
  </si>
  <si>
    <t>112速 28.1%防</t>
  </si>
  <si>
    <t>122速 60%防</t>
  </si>
  <si>
    <t>19%暴击 敌方-3%防</t>
  </si>
  <si>
    <t>24%暴击  敌方-4%防</t>
  </si>
  <si>
    <t>26%暴击 敌方-8.5%防</t>
  </si>
  <si>
    <t>70%暴击 敌方-7.6%防 5%暴伤</t>
  </si>
  <si>
    <t>73%暴击 敌方-7.6%防 5%暴伤</t>
  </si>
  <si>
    <t>83速 敌方-3%防</t>
  </si>
  <si>
    <t>113速 敌方-4%防</t>
  </si>
  <si>
    <t>123速 敌方-8.5%防</t>
  </si>
  <si>
    <t>142速 敌方-7.6%防 35%暴击 5%暴伤</t>
  </si>
  <si>
    <t>146速 敌方-7.6%防 35%暴击 5%暴伤</t>
  </si>
  <si>
    <t>8%招架 敌方-3%攻</t>
  </si>
  <si>
    <t>11%招架 敌方-4%攻</t>
  </si>
  <si>
    <t>12%招架 敌方-8.5%攻</t>
  </si>
  <si>
    <t>70%暴击 敌方-7.6%攻 5%暴伤</t>
  </si>
  <si>
    <t>73%暴击 敌方-7.6%攻 5%暴伤</t>
  </si>
  <si>
    <t>10%招架 敌方-3%攻</t>
  </si>
  <si>
    <t>13%招架 敌方-4%攻</t>
  </si>
  <si>
    <t>14%招架 敌方-8.5%攻</t>
  </si>
  <si>
    <t>25%暴击 10.5%防 17.6%血</t>
  </si>
  <si>
    <t>27%暴击 14%血 20%防 35%减伤</t>
  </si>
  <si>
    <t>35%暴击 20%防 50%减伤 25%血 140速 5%穿透</t>
  </si>
  <si>
    <t>38%暴击 20%防 50%减伤 25%血 140速 5%穿透</t>
  </si>
  <si>
    <t>9%招架 7%血 14%防</t>
  </si>
  <si>
    <t>12%招架 10.5%防 17.6%血</t>
  </si>
  <si>
    <t>13%招架 14%血 20%防 35%减伤</t>
  </si>
  <si>
    <t>84速 7%血 14%防</t>
  </si>
  <si>
    <t>114速 10.5%防 17.6%血</t>
  </si>
  <si>
    <t>124速 14%血 20%防 35%减伤</t>
  </si>
  <si>
    <t>22%暴击 21%攻</t>
  </si>
  <si>
    <t>27%暴击 28.1%攻</t>
  </si>
  <si>
    <t>29%暴击 34%攻 35%减伤</t>
  </si>
  <si>
    <t>82速 21%攻</t>
  </si>
  <si>
    <t>112速 28.1%攻</t>
  </si>
  <si>
    <t>122速 34%攻 35%减伤</t>
  </si>
  <si>
    <t>80速 21%攻</t>
  </si>
  <si>
    <t>110速 28.1%攻</t>
  </si>
  <si>
    <t>120速 34%攻 35%减伤</t>
  </si>
  <si>
    <t>85速 21%攻</t>
  </si>
  <si>
    <t>115速 28.1%攻</t>
  </si>
  <si>
    <t>125速 34%攻 35%减伤</t>
  </si>
  <si>
    <t>10%闪避 20%抗暴</t>
  </si>
  <si>
    <t>13%闪避 26%抗暴</t>
  </si>
  <si>
    <t>14%闪避 31%抗暴 35%减伤</t>
  </si>
  <si>
    <t>35%暴击 20%血 50%减伤 20%抗暴 140速 5%暴伤</t>
  </si>
  <si>
    <t>38%暴击 20%血 50%减伤 20%抗暴 140速 5%暴伤</t>
  </si>
  <si>
    <t>21%暴击 敌方-3%血</t>
  </si>
  <si>
    <t>26%暴击 敌方-4%血</t>
  </si>
  <si>
    <t>28%暴击 敌方-8.5%血</t>
  </si>
  <si>
    <t>35%暴击 20%攻 50%减伤 20%抗暴 140速 5%穿透</t>
  </si>
  <si>
    <t>38%暴击 20%攻 50%减伤 20%抗暴 140速 5%穿透</t>
  </si>
  <si>
    <t>10%招架 21%血</t>
  </si>
  <si>
    <t>13%招架 28.1%血</t>
  </si>
  <si>
    <t>14%招架 34%血 35%减伤</t>
  </si>
  <si>
    <t>35%暴击 45%血 50%减伤 140速 5%穿透</t>
  </si>
  <si>
    <t>38%暴击 45%血 50%减伤 140速 5%穿透</t>
  </si>
  <si>
    <t>紫升橙进阶材料</t>
  </si>
  <si>
    <t>  麒麟刺*1</t>
  </si>
  <si>
    <t>  雷神锤*1</t>
  </si>
  <si>
    <t>  瞬飞轮*1</t>
  </si>
  <si>
    <t>  商君匕*1</t>
  </si>
  <si>
    <t>  机关手*1</t>
  </si>
  <si>
    <t>  木剑*1</t>
  </si>
  <si>
    <t>  羽刃*1</t>
  </si>
  <si>
    <t>  转魄*1</t>
  </si>
  <si>
    <t>  断水*1</t>
  </si>
  <si>
    <t>  凌虚*1</t>
  </si>
  <si>
    <t>  六韬*1</t>
  </si>
  <si>
    <t>  巨阙*1</t>
  </si>
  <si>
    <t>  刈鹿刃*1</t>
  </si>
  <si>
    <t>  链蛇软剑*1</t>
  </si>
  <si>
    <t>  银针*1</t>
  </si>
  <si>
    <t>  凌虚*1</t>
  </si>
  <si>
    <t>  水寒*1</t>
  </si>
  <si>
    <t>  五德终始*1</t>
  </si>
  <si>
    <t>  紫石*10</t>
  </si>
  <si>
    <t>  木剑*1</t>
  </si>
  <si>
    <t>  紫石*5</t>
  </si>
  <si>
    <t>  蓝石*10</t>
  </si>
  <si>
    <t>  蓝石*5</t>
  </si>
  <si>
    <t>  橙石*2</t>
  </si>
  <si>
    <t>  橙石*3</t>
  </si>
  <si>
    <t>  紫石*1</t>
  </si>
  <si>
    <t>  紫石*2</t>
  </si>
  <si>
    <t>  银针*1</t>
  </si>
  <si>
    <t>  刈鹿刃*1</t>
  </si>
  <si>
    <t>  非攻*1</t>
  </si>
  <si>
    <t>  灭魂*1</t>
  </si>
  <si>
    <t>  水寒*1</t>
  </si>
  <si>
    <t>  三略*1</t>
  </si>
  <si>
    <t>  墨眉*1</t>
  </si>
  <si>
    <t>  解牛刀*1</t>
  </si>
  <si>
    <t>  狼牙爪*1</t>
  </si>
  <si>
    <t>  龙纹长枪*1</t>
  </si>
  <si>
    <t>  乱神*1</t>
  </si>
  <si>
    <t>  六韬*1</t>
  </si>
  <si>
    <t>  狼牙爪*1</t>
  </si>
  <si>
    <t>  羽刃*1</t>
  </si>
  <si>
    <t>  雷神锤*1</t>
  </si>
  <si>
    <t> 解牛刀*1</t>
  </si>
  <si>
    <t>  三略*1</t>
  </si>
  <si>
    <t>  嗜血双刃*1</t>
  </si>
  <si>
    <t>  解牛刀*1</t>
  </si>
  <si>
    <t>  无双腕轮*1</t>
  </si>
  <si>
    <t>  乐经*1</t>
  </si>
  <si>
    <t>  管子*1</t>
  </si>
  <si>
    <t>  刺客列传*1</t>
  </si>
  <si>
    <t>  瞬飞轮*1</t>
  </si>
  <si>
    <t>  上农*1</t>
  </si>
  <si>
    <t>瞬飞轮*1</t>
  </si>
  <si>
    <t>  商君匕*1</t>
  </si>
  <si>
    <t>  孟子*1</t>
  </si>
  <si>
    <t>  无双腕轮*1</t>
  </si>
  <si>
    <t>  玉箫*1</t>
  </si>
  <si>
    <t>  易经*1</t>
  </si>
  <si>
    <t>  獬豸锦袍*1</t>
  </si>
  <si>
    <t>  连环锁子甲*1</t>
  </si>
  <si>
    <t>  天蚕幻彩衣*1</t>
  </si>
  <si>
    <t>  剑士服*1</t>
  </si>
  <si>
    <t>  天河霓裳*1</t>
  </si>
  <si>
    <t>  文曲服*1</t>
  </si>
  <si>
    <t>星云法衣*1</t>
  </si>
  <si>
    <t>天河霓裳*1</t>
  </si>
  <si>
    <t>升雪凌霄衣*1</t>
  </si>
  <si>
    <t>真龙黑袍*1</t>
  </si>
  <si>
    <t>神行符*1</t>
  </si>
  <si>
    <t>苍云甲*1</t>
  </si>
  <si>
    <t>  杀手服*1</t>
  </si>
  <si>
    <t>  疾电披风*1</t>
  </si>
  <si>
    <t>  星云法衣*1</t>
  </si>
  <si>
    <t>  真龙黑袍*1</t>
  </si>
  <si>
    <t>  升雪凌霄衣*1</t>
  </si>
  <si>
    <t>  凤鸣*1</t>
  </si>
  <si>
    <t>  文曲服*1</t>
  </si>
  <si>
    <t>  蓝石*15</t>
  </si>
  <si>
    <t>  蓝石*7</t>
  </si>
  <si>
    <t>  夜行衣*1</t>
  </si>
  <si>
    <t>  真龙黑袍*1</t>
  </si>
  <si>
    <t>  升雪凌霄衣*1</t>
  </si>
  <si>
    <t>  龙啸*1</t>
  </si>
  <si>
    <t>  真龙黑袍*1   </t>
  </si>
  <si>
    <t> 蓝石*15</t>
  </si>
  <si>
    <t>  冰魄戒*1</t>
  </si>
  <si>
    <t>  驱虎令*1</t>
  </si>
  <si>
    <t>  碧玉环*1</t>
  </si>
  <si>
    <t>  虎符*1</t>
  </si>
  <si>
    <t>  苍狼令*1</t>
  </si>
  <si>
    <t>  宁神珠*1</t>
  </si>
  <si>
    <t>  玲珑*1</t>
  </si>
  <si>
    <t>  神行符*1</t>
  </si>
  <si>
    <t>  紫石*10</t>
  </si>
  <si>
    <t>  紫石*12</t>
  </si>
  <si>
    <t>  紫石*15</t>
  </si>
  <si>
    <t>  龙啸*1</t>
  </si>
  <si>
    <t>  管子*1</t>
  </si>
  <si>
    <t>精卫石*1</t>
  </si>
  <si>
    <t>  冰魄戒*1</t>
  </si>
  <si>
    <t>  凤鸣*1</t>
  </si>
  <si>
    <t>  驱虎令*1</t>
  </si>
  <si>
    <t>司马法*1</t>
  </si>
  <si>
    <t>太上感应篇*1</t>
  </si>
  <si>
    <t>尹文子*1</t>
  </si>
  <si>
    <t>  尹佚*1</t>
  </si>
  <si>
    <t>六韬*1</t>
  </si>
  <si>
    <t> 霸天令*1</t>
  </si>
  <si>
    <t>五德终始*1</t>
  </si>
  <si>
    <t>共工戒*1</t>
  </si>
  <si>
    <t>河图*1</t>
  </si>
  <si>
    <t>  橙石*</t>
  </si>
  <si>
    <t>  握奇经*1</t>
  </si>
  <si>
    <t>  慎子*1</t>
  </si>
  <si>
    <t>  随巢子*1</t>
  </si>
  <si>
    <t>  荀子*1</t>
  </si>
  <si>
    <t>驱虎令*1</t>
  </si>
  <si>
    <t>  孟子*1</t>
  </si>
  <si>
    <t>罡星戒*1</t>
  </si>
  <si>
    <t>道德经*1</t>
  </si>
  <si>
    <t>公孙龙子*1</t>
  </si>
  <si>
    <t>黄石天书*1</t>
  </si>
  <si>
    <t>握奇经*1</t>
  </si>
  <si>
    <t>随巢子*1</t>
  </si>
  <si>
    <t> 孟子*1</t>
  </si>
  <si>
    <t>  尹文子*1</t>
  </si>
  <si>
    <t>慎子*1</t>
  </si>
  <si>
    <t>机关大全*1</t>
  </si>
  <si>
    <t>冰魄戒*1</t>
  </si>
  <si>
    <t>  易经*1</t>
  </si>
  <si>
    <t>  蓝石*5</t>
  </si>
  <si>
    <t>霸天令*1</t>
  </si>
  <si>
    <t>刺客列传*1</t>
  </si>
  <si>
    <t>级别</t>
  </si>
  <si>
    <t>总经验</t>
  </si>
  <si>
    <t>每次经验</t>
  </si>
  <si>
    <t>需要体力</t>
  </si>
  <si>
    <t>核算吃鸡</t>
  </si>
  <si>
    <t>汇总</t>
  </si>
  <si>
    <t>向上取整</t>
  </si>
  <si>
    <t>金弟子</t>
  </si>
  <si>
    <t>弟子觉醒0升9星所有材料</t>
  </si>
  <si>
    <t>0星→
1星</t>
  </si>
  <si>
    <t>2坤地之尘</t>
  </si>
  <si>
    <t>2艮山之尘</t>
  </si>
  <si>
    <t>2坎水之尘</t>
  </si>
  <si>
    <t>2巽风之尘</t>
  </si>
  <si>
    <t>坤地之尘</t>
  </si>
  <si>
    <t>兑泽之尘</t>
  </si>
  <si>
    <t>坎水之尘</t>
  </si>
  <si>
    <t>离火之尘</t>
  </si>
  <si>
    <t>1星→
1星1段</t>
  </si>
  <si>
    <t>3艮山之尘</t>
  </si>
  <si>
    <t>3兑泽之尘</t>
  </si>
  <si>
    <t>3坎水之尘</t>
  </si>
  <si>
    <t>3巽风之尘</t>
  </si>
  <si>
    <t>艮山之尘</t>
  </si>
  <si>
    <t>巽风之尘</t>
  </si>
  <si>
    <t>乾天之尘</t>
  </si>
  <si>
    <t>震雷之尘</t>
  </si>
  <si>
    <t>1星1段→
2星</t>
  </si>
  <si>
    <t>5坎水之尘</t>
  </si>
  <si>
    <t>5坤地之尘</t>
  </si>
  <si>
    <t>5艮山之尘</t>
  </si>
  <si>
    <t>5御鬼丹</t>
  </si>
  <si>
    <t>2星→
2星1段</t>
  </si>
  <si>
    <t>6兑泽之尘</t>
  </si>
  <si>
    <t>6艮山之尘</t>
  </si>
  <si>
    <t>6御鬼丹</t>
  </si>
  <si>
    <t>2星1段→
2星2段</t>
  </si>
  <si>
    <t>8坤地之尘</t>
  </si>
  <si>
    <t>8坎水之尘</t>
  </si>
  <si>
    <t>8御鬼丹</t>
  </si>
  <si>
    <t>坤地灵液</t>
  </si>
  <si>
    <t>兑泽灵液</t>
  </si>
  <si>
    <t>坎水灵液</t>
  </si>
  <si>
    <t>离火灵液</t>
  </si>
  <si>
    <t>2星2段→
3星</t>
  </si>
  <si>
    <t>1艮山之0尘</t>
  </si>
  <si>
    <t>10兑泽之尘</t>
  </si>
  <si>
    <t>10坎水之尘</t>
  </si>
  <si>
    <t>5真人丹</t>
  </si>
  <si>
    <t>艮山灵液</t>
  </si>
  <si>
    <t>巽风灵液</t>
  </si>
  <si>
    <t>乾天灵液</t>
  </si>
  <si>
    <t>震雷灵液</t>
  </si>
  <si>
    <t>3星→
3星1段</t>
  </si>
  <si>
    <t>12坎水之尘</t>
  </si>
  <si>
    <t>12坤地之尘</t>
  </si>
  <si>
    <t>5坤地灵液</t>
  </si>
  <si>
    <t>10御鬼丹</t>
  </si>
  <si>
    <t>3星1段→
3星2段</t>
  </si>
  <si>
    <t>14巽风之尘</t>
  </si>
  <si>
    <t>14坤地之尘</t>
  </si>
  <si>
    <t>6艮山灵液</t>
  </si>
  <si>
    <t>12御鬼丹</t>
  </si>
  <si>
    <t>3星2段→
3星3段</t>
  </si>
  <si>
    <t>16巽风之尘</t>
  </si>
  <si>
    <t>7坎水灵液</t>
  </si>
  <si>
    <t xml:space="preserve">15御鬼丹 </t>
  </si>
  <si>
    <t>坤地精华</t>
  </si>
  <si>
    <t>兑泽精华</t>
  </si>
  <si>
    <t>坎水精华</t>
  </si>
  <si>
    <t>离火精华</t>
  </si>
  <si>
    <t>3星3段→
4星</t>
  </si>
  <si>
    <t>18坤地之尘</t>
  </si>
  <si>
    <t>18坎水之尘</t>
  </si>
  <si>
    <t>8巽风灵液</t>
  </si>
  <si>
    <t>6真人丹</t>
  </si>
  <si>
    <t>艮山精华</t>
  </si>
  <si>
    <t>巽风精华</t>
  </si>
  <si>
    <t>乾天精华</t>
  </si>
  <si>
    <t>震雷精华</t>
  </si>
  <si>
    <t>4星→
4星1段</t>
  </si>
  <si>
    <t>20艮山之尘</t>
  </si>
  <si>
    <t>9坤地灵液</t>
  </si>
  <si>
    <t>20御鬼丹</t>
  </si>
  <si>
    <t>4星1段→
4星2段</t>
  </si>
  <si>
    <t>22坎水之尘</t>
  </si>
  <si>
    <t>22坤地之尘</t>
  </si>
  <si>
    <t>10艮山灵液</t>
  </si>
  <si>
    <t>25御鬼丹</t>
  </si>
  <si>
    <t>4星2段→
4星3段</t>
  </si>
  <si>
    <t>24兑泽之尘</t>
  </si>
  <si>
    <t>24坎水之尘</t>
  </si>
  <si>
    <t>12兑泽灵液</t>
  </si>
  <si>
    <t>30御鬼丹</t>
  </si>
  <si>
    <t>4星3段→
4星4段</t>
  </si>
  <si>
    <t>26兑泽之尘</t>
  </si>
  <si>
    <t>26艮山之尘</t>
  </si>
  <si>
    <t>14巽风灵液</t>
  </si>
  <si>
    <t>40御鬼丹</t>
  </si>
  <si>
    <t>4星4段→
5星</t>
  </si>
  <si>
    <t>28坎水之尘</t>
  </si>
  <si>
    <t>16坤地灵液</t>
  </si>
  <si>
    <t>16艮山灵液</t>
  </si>
  <si>
    <t>8真人丹</t>
  </si>
  <si>
    <t>金魂精魄</t>
  </si>
  <si>
    <t>木魂精魄</t>
  </si>
  <si>
    <t>水魂精魄</t>
  </si>
  <si>
    <t>火魂精魄</t>
  </si>
  <si>
    <t>土魂精魄</t>
  </si>
  <si>
    <t>5星→5星1段</t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</si>
  <si>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</si>
  <si>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</si>
  <si>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8坤地之尘</t>
    </r>
  </si>
  <si>
    <t>10真人丹</t>
  </si>
  <si>
    <t>5星1段→5星2段</t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</si>
  <si>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</si>
  <si>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</si>
  <si>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</si>
  <si>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t>12真人丹</t>
  </si>
  <si>
    <t>5星2段→5星3段</t>
  </si>
  <si>
    <r>
      <rPr>
        <sz val="11"/>
        <color rgb="FF000000"/>
        <rFont val="宋体"/>
        <charset val="134"/>
      </rPr>
      <t>35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</si>
  <si>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</si>
  <si>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</si>
  <si>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t>14真人丹</t>
  </si>
  <si>
    <t>5星3段→5星4段</t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</si>
  <si>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</si>
  <si>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24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</si>
  <si>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t>16真人丹</t>
  </si>
  <si>
    <t>5星4段→5星5段</t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</si>
  <si>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</si>
  <si>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</si>
  <si>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灵液</t>
    </r>
  </si>
  <si>
    <t>18真人丹</t>
  </si>
  <si>
    <t>5星5段→6星</t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</si>
  <si>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</si>
  <si>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</si>
  <si>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魂精魄</t>
    </r>
  </si>
  <si>
    <t>10聚仙丹</t>
  </si>
  <si>
    <t>6星→6星1段</t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</si>
  <si>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</si>
  <si>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</si>
  <si>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</si>
  <si>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t>20真人丹</t>
  </si>
  <si>
    <t>6星1段→6星2段</t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</si>
  <si>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</si>
  <si>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</si>
  <si>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12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</si>
  <si>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t>25真人丹</t>
  </si>
  <si>
    <t>6星2段→6星3段</t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</si>
  <si>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</si>
  <si>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</si>
  <si>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4坎水精华</t>
    </r>
  </si>
  <si>
    <t>30真人丹</t>
  </si>
  <si>
    <t>6星3段→6星4段</t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</si>
  <si>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</si>
  <si>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</si>
  <si>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16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</si>
  <si>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t>40真人丹</t>
  </si>
  <si>
    <t>6星4段→6星5段</t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</si>
  <si>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</si>
  <si>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</si>
  <si>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</si>
  <si>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t>50真人丹</t>
  </si>
  <si>
    <t>6星5段→7星</t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</si>
  <si>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</si>
  <si>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</si>
  <si>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15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魂精魄</t>
    </r>
  </si>
  <si>
    <t>12聚仙丹</t>
  </si>
  <si>
    <t>7星→7星1段</t>
  </si>
  <si>
    <r>
      <rPr>
        <sz val="11"/>
        <color rgb="FF000000"/>
        <rFont val="宋体"/>
        <charset val="134"/>
      </rPr>
      <t>42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</si>
  <si>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</si>
  <si>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t>14聚仙丹</t>
  </si>
  <si>
    <t>7星1段→7星2段</t>
  </si>
  <si>
    <r>
      <rPr>
        <sz val="11"/>
        <color rgb="FF000000"/>
        <rFont val="宋体"/>
        <charset val="134"/>
      </rPr>
      <t>44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</si>
  <si>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24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</si>
  <si>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t>16聚仙丹</t>
  </si>
  <si>
    <t>7星2段→7星3段</t>
  </si>
  <si>
    <r>
      <rPr>
        <sz val="11"/>
        <color rgb="FF000000"/>
        <rFont val="宋体"/>
        <charset val="134"/>
      </rPr>
      <t>46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</si>
  <si>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</si>
  <si>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</si>
  <si>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t>18聚仙丹</t>
  </si>
  <si>
    <t>7星3段→7星4段</t>
  </si>
  <si>
    <r>
      <rPr>
        <sz val="11"/>
        <color rgb="FF000000"/>
        <rFont val="宋体"/>
        <charset val="134"/>
      </rPr>
      <t>48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</si>
  <si>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</si>
  <si>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</si>
  <si>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t>20聚仙丹</t>
  </si>
  <si>
    <t>7星4段→7星5段</t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</si>
  <si>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</si>
  <si>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</si>
  <si>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t>22聚仙丹</t>
  </si>
  <si>
    <t>7星5段→8星</t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</si>
  <si>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</si>
  <si>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</si>
  <si>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魂精魄</t>
    </r>
  </si>
  <si>
    <t>25聚仙丹</t>
  </si>
  <si>
    <t>8星→8星1段</t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</si>
  <si>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</si>
  <si>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</si>
  <si>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t>28聚仙丹</t>
  </si>
  <si>
    <t>8星1段→8星2段</t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</si>
  <si>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</si>
  <si>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</si>
  <si>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</si>
  <si>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t>30聚仙丹</t>
  </si>
  <si>
    <t>8星2段→8星3段</t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</si>
  <si>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</si>
  <si>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</si>
  <si>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</si>
  <si>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t>35聚仙丹</t>
  </si>
  <si>
    <t>8星3段→8星4段</t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</si>
  <si>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</si>
  <si>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</si>
  <si>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t>40聚仙丹</t>
  </si>
  <si>
    <t>8星4段→8星5段</t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</si>
  <si>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艮山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</si>
  <si>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</si>
  <si>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t>45聚仙丹</t>
  </si>
  <si>
    <t>8星5段→9星</t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</si>
  <si>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坤地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</si>
  <si>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25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魂精魄</t>
    </r>
  </si>
  <si>
    <t>50聚仙丹</t>
  </si>
  <si>
    <t>木弟子</t>
  </si>
  <si>
    <t>2兑泽之尘</t>
  </si>
  <si>
    <t>2乾天之尘</t>
  </si>
  <si>
    <t>2震雷之尘</t>
  </si>
  <si>
    <t>3乾天之尘</t>
  </si>
  <si>
    <t>3离火之尘</t>
  </si>
  <si>
    <t>5乾天之尘</t>
  </si>
  <si>
    <t>5兑泽之尘</t>
  </si>
  <si>
    <t>5巽风之尘</t>
  </si>
  <si>
    <t>6震雷之尘</t>
  </si>
  <si>
    <t>6巽风之尘</t>
  </si>
  <si>
    <t>8兑泽之尘</t>
  </si>
  <si>
    <t>8乾天之尘</t>
  </si>
  <si>
    <t>10巽风之尘</t>
  </si>
  <si>
    <t>10震雷之尘</t>
  </si>
  <si>
    <t>10乾天之</t>
  </si>
  <si>
    <t>12乾天之尘</t>
  </si>
  <si>
    <t>12兑泽之尘</t>
  </si>
  <si>
    <t>5兑泽灵液</t>
  </si>
  <si>
    <t>14离火之尘</t>
  </si>
  <si>
    <t>14兑泽之尘</t>
  </si>
  <si>
    <t>6巽风灵液</t>
  </si>
  <si>
    <t>16离火之尘</t>
  </si>
  <si>
    <t>7乾天灵液</t>
  </si>
  <si>
    <t>18兑泽之尘</t>
  </si>
  <si>
    <t>18乾天之尘</t>
  </si>
  <si>
    <t>8离火灵液</t>
  </si>
  <si>
    <t>20巽风之尘</t>
  </si>
  <si>
    <t>9兑泽灵液</t>
  </si>
  <si>
    <t>22乾天之尘</t>
  </si>
  <si>
    <t>22兑泽之尘</t>
  </si>
  <si>
    <t>10巽风灵液</t>
  </si>
  <si>
    <t>24震雷之尘</t>
  </si>
  <si>
    <t>24乾天之尘</t>
  </si>
  <si>
    <t>12震雷灵液</t>
  </si>
  <si>
    <t>26震雷之尘</t>
  </si>
  <si>
    <t>26巽风之尘</t>
  </si>
  <si>
    <t>14离火灵液</t>
  </si>
  <si>
    <t>28乾天之尘</t>
  </si>
  <si>
    <t>16兑泽灵液</t>
  </si>
  <si>
    <t>16巽风灵液</t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</si>
  <si>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</si>
  <si>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</si>
  <si>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</si>
  <si>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</si>
  <si>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</si>
  <si>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</si>
  <si>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35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</si>
  <si>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</si>
  <si>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</si>
  <si>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</si>
  <si>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24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</si>
  <si>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</si>
  <si>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</si>
  <si>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</si>
  <si>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0兑泽之尘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</si>
  <si>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</si>
  <si>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木</t>
    </r>
    <r>
      <rPr>
        <sz val="11"/>
        <color rgb="FF000000"/>
        <rFont val="宋体"/>
        <charset val="134"/>
      </rPr>
      <t>魂精魄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</si>
  <si>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</si>
  <si>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</si>
  <si>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</si>
  <si>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</si>
  <si>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</si>
  <si>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12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</si>
  <si>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</si>
  <si>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</si>
  <si>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14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</si>
  <si>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</si>
  <si>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</si>
  <si>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16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精华</t>
    </r>
  </si>
  <si>
    <t>38巽风灵液</t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</si>
  <si>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</si>
  <si>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</si>
  <si>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</si>
  <si>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</si>
  <si>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15</t>
    </r>
    <r>
      <rPr>
        <sz val="11"/>
        <color rgb="FF000000"/>
        <rFont val="宋体"/>
        <charset val="134"/>
      </rPr>
      <t>木</t>
    </r>
    <r>
      <rPr>
        <sz val="11"/>
        <color rgb="FF000000"/>
        <rFont val="宋体"/>
        <charset val="134"/>
      </rPr>
      <t>魂精魄</t>
    </r>
  </si>
  <si>
    <r>
      <rPr>
        <sz val="11"/>
        <color rgb="FF000000"/>
        <rFont val="宋体"/>
        <charset val="134"/>
      </rPr>
      <t>42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</si>
  <si>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</si>
  <si>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44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</si>
  <si>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24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</si>
  <si>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</si>
  <si>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</si>
  <si>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精华</t>
    </r>
  </si>
  <si>
    <t>48巽风灵液</t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</si>
  <si>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</si>
  <si>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</si>
  <si>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</si>
  <si>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</si>
  <si>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</si>
  <si>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</si>
  <si>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木</t>
    </r>
    <r>
      <rPr>
        <sz val="11"/>
        <color rgb="FF000000"/>
        <rFont val="宋体"/>
        <charset val="134"/>
      </rPr>
      <t>魂精魄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</si>
  <si>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</si>
  <si>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34巽风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</si>
  <si>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</si>
  <si>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</si>
  <si>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36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</si>
  <si>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震雷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</si>
  <si>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离火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</si>
  <si>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</si>
  <si>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</si>
  <si>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</si>
  <si>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巽风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</si>
  <si>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</si>
  <si>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</si>
  <si>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25</t>
    </r>
    <r>
      <rPr>
        <sz val="11"/>
        <color rgb="FF000000"/>
        <rFont val="宋体"/>
        <charset val="134"/>
      </rPr>
      <t>木</t>
    </r>
    <r>
      <rPr>
        <sz val="11"/>
        <color rgb="FF000000"/>
        <rFont val="宋体"/>
        <charset val="134"/>
      </rPr>
      <t>魂精魄</t>
    </r>
  </si>
  <si>
    <t>水弟子</t>
  </si>
  <si>
    <t>10艮山之尘</t>
  </si>
  <si>
    <t>5坎水灵液</t>
  </si>
  <si>
    <t>14乾天之尘</t>
  </si>
  <si>
    <t>14坎水之尘</t>
  </si>
  <si>
    <t>16乾天之尘</t>
  </si>
  <si>
    <t>7兑泽灵液</t>
  </si>
  <si>
    <t>8乾天灵液</t>
  </si>
  <si>
    <t>9坎水灵液</t>
  </si>
  <si>
    <t>24巽风之尘</t>
  </si>
  <si>
    <t>12巽风灵液</t>
  </si>
  <si>
    <t>14乾天灵液</t>
  </si>
  <si>
    <t>28兑泽之尘</t>
  </si>
  <si>
    <t>16坎水灵液</t>
  </si>
  <si>
    <r>
      <rPr>
        <sz val="11"/>
        <color rgb="FF000000"/>
        <rFont val="宋体"/>
        <charset val="134"/>
      </rPr>
      <t>32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之尘</t>
    </r>
  </si>
  <si>
    <t>20巽风灵液</t>
  </si>
  <si>
    <r>
      <rPr>
        <sz val="11"/>
        <color rgb="FF000000"/>
        <rFont val="宋体"/>
        <charset val="134"/>
      </rPr>
      <t>35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</si>
  <si>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</si>
  <si>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</si>
  <si>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之尘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</si>
  <si>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</si>
  <si>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0水魂精魄</t>
    </r>
  </si>
  <si>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</si>
  <si>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</si>
  <si>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t>32巽风灵液</t>
  </si>
  <si>
    <r>
      <rPr>
        <sz val="11"/>
        <color rgb="FF000000"/>
        <rFont val="宋体"/>
        <charset val="134"/>
      </rPr>
      <t>34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</si>
  <si>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14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</si>
  <si>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t>36巽风灵液</t>
  </si>
  <si>
    <r>
      <rPr>
        <sz val="11"/>
        <color rgb="FF000000"/>
        <rFont val="宋体"/>
        <charset val="134"/>
      </rPr>
      <t>16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</si>
  <si>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38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</si>
  <si>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</si>
  <si>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</si>
  <si>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</si>
  <si>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15</t>
    </r>
    <r>
      <rPr>
        <sz val="11"/>
        <color rgb="FF000000"/>
        <rFont val="宋体"/>
        <charset val="134"/>
      </rPr>
      <t>水</t>
    </r>
    <r>
      <rPr>
        <sz val="11"/>
        <color rgb="FF000000"/>
        <rFont val="宋体"/>
        <charset val="134"/>
      </rPr>
      <t>魂精魄</t>
    </r>
  </si>
  <si>
    <r>
      <rPr>
        <sz val="11"/>
        <color rgb="FF000000"/>
        <rFont val="宋体"/>
        <charset val="134"/>
      </rPr>
      <t>44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</si>
  <si>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24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</si>
  <si>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4兑泽精华</t>
    </r>
  </si>
  <si>
    <r>
      <rPr>
        <sz val="11"/>
        <color rgb="FF000000"/>
        <rFont val="宋体"/>
        <charset val="134"/>
      </rPr>
      <t>46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</si>
  <si>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</si>
  <si>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t>26巽风精华</t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</si>
  <si>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</si>
  <si>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乾天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</si>
  <si>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灵液</t>
    </r>
  </si>
  <si>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水</t>
    </r>
    <r>
      <rPr>
        <sz val="11"/>
        <color rgb="FF000000"/>
        <rFont val="宋体"/>
        <charset val="134"/>
      </rPr>
      <t>魂精魄</t>
    </r>
  </si>
  <si>
    <r>
      <rPr>
        <sz val="11"/>
        <color rgb="FF000000"/>
        <rFont val="宋体"/>
        <charset val="134"/>
      </rPr>
      <t>34坎水</t>
    </r>
    <r>
      <rPr>
        <sz val="11"/>
        <color rgb="FF000000"/>
        <rFont val="宋体"/>
        <charset val="134"/>
      </rPr>
      <t>精华</t>
    </r>
  </si>
  <si>
    <t>36巽风精华</t>
  </si>
  <si>
    <t>38巽风精华</t>
  </si>
  <si>
    <r>
      <rPr>
        <sz val="11"/>
        <color rgb="FF000000"/>
        <rFont val="宋体"/>
        <charset val="134"/>
      </rPr>
      <t>40</t>
    </r>
    <r>
      <rPr>
        <sz val="11"/>
        <color rgb="FF000000"/>
        <rFont val="宋体"/>
        <charset val="134"/>
      </rPr>
      <t>兑泽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</si>
  <si>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5艮山精华</t>
    </r>
  </si>
  <si>
    <r>
      <rPr>
        <sz val="11"/>
        <color rgb="FF000000"/>
        <rFont val="宋体"/>
        <charset val="134"/>
      </rPr>
      <t>45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</si>
  <si>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50</t>
    </r>
    <r>
      <rPr>
        <sz val="11"/>
        <color rgb="FF000000"/>
        <rFont val="宋体"/>
        <charset val="134"/>
      </rPr>
      <t>坎水</t>
    </r>
    <r>
      <rPr>
        <sz val="11"/>
        <color rgb="FF000000"/>
        <rFont val="宋体"/>
        <charset val="134"/>
      </rPr>
      <t>精华</t>
    </r>
  </si>
  <si>
    <r>
      <rPr>
        <sz val="11"/>
        <color rgb="FF000000"/>
        <rFont val="宋体"/>
        <charset val="134"/>
      </rPr>
      <t>25</t>
    </r>
    <r>
      <rPr>
        <sz val="11"/>
        <color rgb="FF000000"/>
        <rFont val="宋体"/>
        <charset val="134"/>
      </rPr>
      <t>水</t>
    </r>
    <r>
      <rPr>
        <sz val="11"/>
        <color rgb="FF000000"/>
        <rFont val="宋体"/>
        <charset val="134"/>
      </rPr>
      <t>魂精魄</t>
    </r>
  </si>
  <si>
    <t>火弟子</t>
  </si>
  <si>
    <t>2离火之尘</t>
  </si>
  <si>
    <t>3震雷之尘</t>
  </si>
  <si>
    <t>3坤地之尘</t>
  </si>
  <si>
    <t>5震雷之尘</t>
  </si>
  <si>
    <t>5离火之尘</t>
  </si>
  <si>
    <t>6乾天之尘</t>
  </si>
  <si>
    <t>8离火之尘</t>
  </si>
  <si>
    <t>8震雷之尘</t>
  </si>
  <si>
    <t>10乾天之尘</t>
  </si>
  <si>
    <t>12震雷之尘</t>
  </si>
  <si>
    <t>12离火之尘</t>
  </si>
  <si>
    <t>5离火灵液</t>
  </si>
  <si>
    <t>6乾天灵液</t>
  </si>
  <si>
    <t>16坤地之尘</t>
  </si>
  <si>
    <t>7震雷灵液</t>
  </si>
  <si>
    <t>18离火之尘</t>
  </si>
  <si>
    <t>18震雷之尘</t>
  </si>
  <si>
    <t>8坤地灵液</t>
  </si>
  <si>
    <t>20乾天之尘</t>
  </si>
  <si>
    <t>9离火灵液</t>
  </si>
  <si>
    <t>22震雷之尘</t>
  </si>
  <si>
    <t>22离火之尘</t>
  </si>
  <si>
    <t>10乾天灵液</t>
  </si>
  <si>
    <t>26乾天之尘</t>
  </si>
  <si>
    <t>14坤地灵液</t>
  </si>
  <si>
    <t>28震雷之尘</t>
  </si>
  <si>
    <t>16离火灵液</t>
  </si>
  <si>
    <t>16乾天灵液</t>
  </si>
  <si>
    <t>30乾天之尘</t>
  </si>
  <si>
    <t>18震雷灵液</t>
  </si>
  <si>
    <t>18离火灵液</t>
  </si>
  <si>
    <t>32离火之尘</t>
  </si>
  <si>
    <t>20乾天灵液</t>
  </si>
  <si>
    <t>35坤地之尘</t>
  </si>
  <si>
    <t>22坤地灵液</t>
  </si>
  <si>
    <t>22震雷灵液</t>
  </si>
  <si>
    <t>40震雷之尘</t>
  </si>
  <si>
    <t>24乾天灵液</t>
  </si>
  <si>
    <t>45乾天之尘</t>
  </si>
  <si>
    <t>26震雷灵液</t>
  </si>
  <si>
    <t>26离火灵液</t>
  </si>
  <si>
    <t>50离火之尘</t>
  </si>
  <si>
    <t>28震雷灵液</t>
  </si>
  <si>
    <t>10火魂精魄</t>
  </si>
  <si>
    <t>30离火灵液</t>
  </si>
  <si>
    <t>30乾天灵液</t>
  </si>
  <si>
    <t>10离火精华</t>
  </si>
  <si>
    <t>32乾天灵液</t>
  </si>
  <si>
    <t>12乾天精华</t>
  </si>
  <si>
    <t>34震雷灵液</t>
  </si>
  <si>
    <t>34乾天灵液</t>
  </si>
  <si>
    <t>14震雷精华</t>
  </si>
  <si>
    <t>36震雷灵液</t>
  </si>
  <si>
    <t>16坤地精华</t>
  </si>
  <si>
    <t>38乾天灵液</t>
  </si>
  <si>
    <t>38离火灵液</t>
  </si>
  <si>
    <t>18离火精华</t>
  </si>
  <si>
    <t>40震雷灵液</t>
  </si>
  <si>
    <t>20离火精华</t>
  </si>
  <si>
    <t>15火魂精魄</t>
  </si>
  <si>
    <t>42乾天灵液</t>
  </si>
  <si>
    <t>22乾天精华</t>
  </si>
  <si>
    <t>44坤地精华</t>
  </si>
  <si>
    <t>24震雷精华</t>
  </si>
  <si>
    <t>46震雷灵液</t>
  </si>
  <si>
    <t>26坤地精华</t>
  </si>
  <si>
    <t>48乾天灵液</t>
  </si>
  <si>
    <t>28离火精华</t>
  </si>
  <si>
    <t>28坤地精华</t>
  </si>
  <si>
    <t>50离火灵液</t>
  </si>
  <si>
    <t>30乾天精华</t>
  </si>
  <si>
    <t>32离火精华</t>
  </si>
  <si>
    <t>32震雷精华</t>
  </si>
  <si>
    <t>20火魂精魄</t>
  </si>
  <si>
    <t>34乾天精华</t>
  </si>
  <si>
    <t>34离火精华</t>
  </si>
  <si>
    <t>36震雷精华</t>
  </si>
  <si>
    <t>36离火精华</t>
  </si>
  <si>
    <t>38坤地精华</t>
  </si>
  <si>
    <t>38震雷精华</t>
  </si>
  <si>
    <t>40震雷精华</t>
  </si>
  <si>
    <t>40乾天精华</t>
  </si>
  <si>
    <t>45乾天精华</t>
  </si>
  <si>
    <t>45离火精华</t>
  </si>
  <si>
    <t>50离火精华</t>
  </si>
  <si>
    <t>25火魂精魄</t>
  </si>
  <si>
    <t>土弟子</t>
  </si>
  <si>
    <t>10离火之尘</t>
  </si>
  <si>
    <t>6震雷灵液</t>
  </si>
  <si>
    <t>16坎水之尘</t>
  </si>
  <si>
    <t>7离火灵液</t>
  </si>
  <si>
    <t>8坎水灵液</t>
  </si>
  <si>
    <t>20震雷之尘</t>
  </si>
  <si>
    <t>10震雷灵液</t>
  </si>
  <si>
    <t>24艮山之尘</t>
  </si>
  <si>
    <t>24离火之尘</t>
  </si>
  <si>
    <t>12艮山灵液</t>
  </si>
  <si>
    <t>14坎水灵液</t>
  </si>
  <si>
    <t>28离火之尘</t>
  </si>
  <si>
    <t>16震雷灵液</t>
  </si>
  <si>
    <t>30震雷之尘</t>
  </si>
  <si>
    <t>18坤地灵液</t>
  </si>
  <si>
    <t>32坤地之尘</t>
  </si>
  <si>
    <t>20震雷灵液</t>
  </si>
  <si>
    <t>20艮山灵液</t>
  </si>
  <si>
    <t>35坎水之尘</t>
  </si>
  <si>
    <t>22坎水灵液</t>
  </si>
  <si>
    <t>22离火灵液</t>
  </si>
  <si>
    <t>40离火之尘</t>
  </si>
  <si>
    <t>24震雷灵液</t>
  </si>
  <si>
    <t>45震雷之尘</t>
  </si>
  <si>
    <t>26坤地灵液</t>
  </si>
  <si>
    <t>50坤地之尘</t>
  </si>
  <si>
    <t>28离火灵液</t>
  </si>
  <si>
    <t>10土魂精魄</t>
  </si>
  <si>
    <t>30坤地灵液</t>
  </si>
  <si>
    <t>30震雷灵液</t>
  </si>
  <si>
    <t>10坤地精华</t>
  </si>
  <si>
    <t>32震雷灵液</t>
  </si>
  <si>
    <t>32艮山灵液</t>
  </si>
  <si>
    <t>12震雷精华</t>
  </si>
  <si>
    <t>34离火灵液</t>
  </si>
  <si>
    <t>14离火精华</t>
  </si>
  <si>
    <t>36艮山灵液</t>
  </si>
  <si>
    <t>36离火灵液</t>
  </si>
  <si>
    <t>16坎水精华</t>
  </si>
  <si>
    <t>38震雷灵液</t>
  </si>
  <si>
    <t>38坤地灵液</t>
  </si>
  <si>
    <t>18坤地精华</t>
  </si>
  <si>
    <t>40离火灵液</t>
  </si>
  <si>
    <t>20坤地精华</t>
  </si>
  <si>
    <t>15土魂精魄</t>
  </si>
  <si>
    <t>42震雷灵液</t>
  </si>
  <si>
    <t>22震雷精华</t>
  </si>
  <si>
    <t>44坎水精华</t>
  </si>
  <si>
    <t>24离火精华</t>
  </si>
  <si>
    <t>46离火灵液</t>
  </si>
  <si>
    <t>26坎水精华</t>
  </si>
  <si>
    <t>26艮山精华</t>
  </si>
  <si>
    <t>48震雷灵液</t>
  </si>
  <si>
    <t>28坎水精华</t>
  </si>
  <si>
    <t>50坤地灵液</t>
  </si>
  <si>
    <t>30震雷精华</t>
  </si>
  <si>
    <t>32坤地精华</t>
  </si>
  <si>
    <t>20土魂精魄</t>
  </si>
  <si>
    <t>34震雷精华</t>
  </si>
  <si>
    <t>34坤地精华</t>
  </si>
  <si>
    <t>36坤地精华</t>
  </si>
  <si>
    <t>36艮山精华</t>
  </si>
  <si>
    <t>38艮山精华</t>
  </si>
  <si>
    <t>38坎水精华</t>
  </si>
  <si>
    <t>38离火精华</t>
  </si>
  <si>
    <t>40离火精华</t>
  </si>
  <si>
    <t>45震雷精华</t>
  </si>
  <si>
    <t>45坤地精华</t>
  </si>
  <si>
    <t>50坤地精华</t>
  </si>
  <si>
    <t>25土魂精魄</t>
  </si>
  <si>
    <t>演练单次需要号角</t>
  </si>
  <si>
    <t>洽（抗暴击）</t>
  </si>
  <si>
    <t>基础合集1</t>
  </si>
  <si>
    <t>基础合集2</t>
  </si>
  <si>
    <t>基础合集3</t>
  </si>
  <si>
    <t>总消耗卡片</t>
  </si>
  <si>
    <t>卡片</t>
  </si>
  <si>
    <t>操练</t>
  </si>
  <si>
    <t>舞剑</t>
  </si>
  <si>
    <t>伏案</t>
  </si>
  <si>
    <t>遮面</t>
  </si>
  <si>
    <t>马术</t>
  </si>
  <si>
    <t>劈木</t>
  </si>
  <si>
    <t>神游</t>
  </si>
  <si>
    <t>夜游</t>
  </si>
  <si>
    <t>捣药</t>
  </si>
  <si>
    <t>普通血1</t>
  </si>
  <si>
    <t>普通血2</t>
  </si>
  <si>
    <t>普通血3</t>
  </si>
  <si>
    <t>普通内力1</t>
  </si>
  <si>
    <t>普通内力2</t>
  </si>
  <si>
    <t>普通内力3</t>
  </si>
  <si>
    <t>普通护盾1</t>
  </si>
  <si>
    <t>普通护盾2</t>
  </si>
  <si>
    <t>普通护盾3</t>
  </si>
  <si>
    <t>类型</t>
  </si>
  <si>
    <t>条件</t>
  </si>
  <si>
    <t>加成</t>
  </si>
  <si>
    <t>数值</t>
  </si>
  <si>
    <t>比例</t>
  </si>
  <si>
    <t>进阶合集1</t>
  </si>
  <si>
    <t>进阶合集2</t>
  </si>
  <si>
    <t>进阶合集3</t>
  </si>
  <si>
    <t>山中采药</t>
  </si>
  <si>
    <t>如影随形</t>
  </si>
  <si>
    <t>巨子传功</t>
  </si>
  <si>
    <t>稀有血1</t>
  </si>
  <si>
    <t>稀有内力2</t>
  </si>
  <si>
    <t>稀有护盾3</t>
  </si>
  <si>
    <t>卡册新增时间</t>
  </si>
  <si>
    <t>卡池开放时间</t>
  </si>
  <si>
    <t>稀有血2</t>
  </si>
  <si>
    <t>机关奇术</t>
  </si>
  <si>
    <t>高级合集1</t>
  </si>
  <si>
    <t>高级合集2</t>
  </si>
  <si>
    <t>高级合集3</t>
  </si>
  <si>
    <t>稀有血3</t>
  </si>
  <si>
    <t>侠中酒客</t>
  </si>
  <si>
    <t>囹圄思食</t>
  </si>
  <si>
    <t>醉舞倾城</t>
  </si>
  <si>
    <t>三九练剑</t>
  </si>
  <si>
    <t>垂涎三尺</t>
  </si>
  <si>
    <t>稀有内力1</t>
  </si>
  <si>
    <t>稀有护盾1</t>
  </si>
  <si>
    <t>稀有护盾2</t>
  </si>
  <si>
    <t>稀有内力3</t>
  </si>
  <si>
    <t>时雨纷纷合集</t>
  </si>
  <si>
    <t>解牛刀法合集</t>
  </si>
  <si>
    <t>登崖望月合集</t>
  </si>
  <si>
    <t>时雨纷纷</t>
  </si>
  <si>
    <t>解牛刀法</t>
  </si>
  <si>
    <t>登崖望月</t>
  </si>
  <si>
    <t>史诗血1</t>
  </si>
  <si>
    <t>史诗内力1</t>
  </si>
  <si>
    <t>史诗护盾1</t>
  </si>
  <si>
    <t>史诗血2</t>
  </si>
  <si>
    <t>神乎其技</t>
  </si>
  <si>
    <t>史诗内力2</t>
  </si>
  <si>
    <t>雪夜抚剑</t>
  </si>
  <si>
    <t>电光神行</t>
  </si>
  <si>
    <t>史诗血3</t>
  </si>
  <si>
    <t>独挡千军</t>
  </si>
  <si>
    <t>史诗内力3</t>
  </si>
  <si>
    <t>乘鸢御空</t>
  </si>
  <si>
    <t>神乎其技合集</t>
  </si>
  <si>
    <t>雪夜抚剑合集</t>
  </si>
  <si>
    <t>电光神行合集</t>
  </si>
  <si>
    <t>史诗护盾3</t>
  </si>
  <si>
    <t>舞映花红</t>
  </si>
  <si>
    <t>史诗护盾2</t>
  </si>
  <si>
    <t>独挡千军合集</t>
  </si>
  <si>
    <t>乘鸢御空合集</t>
  </si>
  <si>
    <t>舞映花红合集</t>
  </si>
  <si>
    <t>总加成</t>
  </si>
  <si>
    <t>1-3阶</t>
  </si>
  <si>
    <t>%</t>
  </si>
  <si>
    <t>副属性</t>
  </si>
  <si>
    <t>闪避</t>
  </si>
  <si>
    <t>治疗效果</t>
  </si>
  <si>
    <t>抗暴击</t>
  </si>
  <si>
    <t>正高</t>
  </si>
  <si>
    <t>正中</t>
  </si>
  <si>
    <t>正低</t>
  </si>
  <si>
    <t>负低</t>
  </si>
  <si>
    <t>负中</t>
  </si>
  <si>
    <t>负高</t>
  </si>
  <si>
    <t>4-6阶</t>
  </si>
  <si>
    <t>万</t>
  </si>
  <si>
    <t>暴击</t>
  </si>
  <si>
    <t>技伤减免</t>
  </si>
  <si>
    <t>技能穿透</t>
  </si>
  <si>
    <t>7-9阶</t>
  </si>
  <si>
    <t>橙/紫</t>
  </si>
  <si>
    <t>无视防御</t>
  </si>
  <si>
    <t>无视内力</t>
  </si>
  <si>
    <t>技能系数</t>
  </si>
  <si>
    <t>伤害增幅</t>
  </si>
  <si>
    <t>技能闪避</t>
  </si>
  <si>
    <t>比例：</t>
  </si>
  <si>
    <t>金蟾试炼</t>
  </si>
  <si>
    <t>测试服</t>
  </si>
  <si>
    <t>正式服</t>
  </si>
  <si>
    <t>矿坑</t>
  </si>
  <si>
    <t>森林</t>
  </si>
  <si>
    <t>栈道</t>
  </si>
  <si>
    <t>城邦</t>
  </si>
  <si>
    <t>攻击</t>
  </si>
  <si>
    <t>防御</t>
  </si>
  <si>
    <t>血量</t>
  </si>
  <si>
    <t>产出祝福</t>
  </si>
  <si>
    <t>晶矿</t>
  </si>
  <si>
    <t>神木</t>
  </si>
  <si>
    <t>云岩</t>
  </si>
  <si>
    <t>宝塔</t>
  </si>
  <si>
    <t>祝福加成</t>
  </si>
  <si>
    <t>加成比例</t>
  </si>
  <si>
    <t>事件</t>
  </si>
  <si>
    <t>处理</t>
  </si>
  <si>
    <t>结果</t>
  </si>
  <si>
    <t>加成/掉落</t>
  </si>
  <si>
    <t>贡献</t>
  </si>
  <si>
    <t>坑洞出现</t>
  </si>
  <si>
    <t>点燃火把</t>
  </si>
  <si>
    <t>吓走生物</t>
  </si>
  <si>
    <t>无事发生</t>
  </si>
  <si>
    <t>照亮前路</t>
  </si>
  <si>
    <t>攻击+50</t>
  </si>
  <si>
    <t>贡献+50</t>
  </si>
  <si>
    <t>带来勇气</t>
  </si>
  <si>
    <t>攻击+100</t>
  </si>
  <si>
    <t>贡献+100</t>
  </si>
  <si>
    <t>摸黑前进</t>
  </si>
  <si>
    <t>找到出口</t>
  </si>
  <si>
    <t>攻击+200</t>
  </si>
  <si>
    <t>贡献+200</t>
  </si>
  <si>
    <t>凹凸不平</t>
  </si>
  <si>
    <t>攻击-50</t>
  </si>
  <si>
    <t>神秘生物</t>
  </si>
  <si>
    <t>晶矿碎片</t>
  </si>
  <si>
    <t>贡献+500</t>
  </si>
  <si>
    <t>发现矿脉</t>
  </si>
  <si>
    <t>放置标识</t>
  </si>
  <si>
    <t>清脆声响</t>
  </si>
  <si>
    <t>后人目标</t>
  </si>
  <si>
    <t>敲击矿脉</t>
  </si>
  <si>
    <t>精神一振</t>
  </si>
  <si>
    <t>开凿样本</t>
  </si>
  <si>
    <t>正常金矿</t>
  </si>
  <si>
    <t>污染铜矿</t>
  </si>
  <si>
    <t>神秘闪光</t>
  </si>
  <si>
    <t>矿藏反光</t>
  </si>
  <si>
    <t>准备矿车</t>
  </si>
  <si>
    <t>错过时机</t>
  </si>
  <si>
    <t>方便运输</t>
  </si>
  <si>
    <t>大力凿取</t>
  </si>
  <si>
    <t>更快速度</t>
  </si>
  <si>
    <t>娴熟技术</t>
  </si>
  <si>
    <t>异常脆弱</t>
  </si>
  <si>
    <t>使用炸药</t>
  </si>
  <si>
    <t>更易搬运</t>
  </si>
  <si>
    <t>矿洞塌陷</t>
  </si>
  <si>
    <t>攻击-100</t>
  </si>
  <si>
    <t>神秘矿石</t>
  </si>
  <si>
    <t>未知身影</t>
  </si>
  <si>
    <t>暂避锋芒</t>
  </si>
  <si>
    <t>避开敌人</t>
  </si>
  <si>
    <t>上前迎战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</si>
  <si>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VP</t>
    </r>
  </si>
  <si>
    <t>成功</t>
  </si>
  <si>
    <t>失败</t>
  </si>
  <si>
    <t>小路出现</t>
  </si>
  <si>
    <t>沿路而行</t>
  </si>
  <si>
    <t>没有特别</t>
  </si>
  <si>
    <t>速度加快</t>
  </si>
  <si>
    <t>防御+200</t>
  </si>
  <si>
    <t>另辟蹊径</t>
  </si>
  <si>
    <t>找到近路</t>
  </si>
  <si>
    <t>防御+400</t>
  </si>
  <si>
    <t>耽误时间</t>
  </si>
  <si>
    <t>防御-100</t>
  </si>
  <si>
    <t>神秘野果</t>
  </si>
  <si>
    <t>神木碎片</t>
  </si>
  <si>
    <t>失去方向</t>
  </si>
  <si>
    <t>辨认方位</t>
  </si>
  <si>
    <t>天色渐晚</t>
  </si>
  <si>
    <t>借助苔藓</t>
  </si>
  <si>
    <t>防御+100</t>
  </si>
  <si>
    <t>寻找珍奇</t>
  </si>
  <si>
    <t>找到草药</t>
  </si>
  <si>
    <t>发现人参</t>
  </si>
  <si>
    <t>检查树洞</t>
  </si>
  <si>
    <t>发现鸟巢</t>
  </si>
  <si>
    <t>受到惊吓</t>
  </si>
  <si>
    <t>神秘昆虫</t>
  </si>
  <si>
    <t>荆棘挡路</t>
  </si>
  <si>
    <t>绕道而行</t>
  </si>
  <si>
    <t>多花时间</t>
  </si>
  <si>
    <t>放松心情</t>
  </si>
  <si>
    <t>抽枝斩条</t>
  </si>
  <si>
    <t>远超预期</t>
  </si>
  <si>
    <t>费点力气</t>
  </si>
  <si>
    <t>放火烧枝</t>
  </si>
  <si>
    <t>烧开小路</t>
  </si>
  <si>
    <t>引发山火</t>
  </si>
  <si>
    <t>防御-200</t>
  </si>
  <si>
    <t>神秘植物</t>
  </si>
  <si>
    <t>神秘商人</t>
  </si>
  <si>
    <t>无视商人</t>
  </si>
  <si>
    <t>擦肩而过</t>
  </si>
  <si>
    <t>谨慎交易</t>
  </si>
  <si>
    <t>必备物资</t>
  </si>
  <si>
    <t>血量+500</t>
  </si>
  <si>
    <t>超值货物</t>
  </si>
  <si>
    <t>血量+1000</t>
  </si>
  <si>
    <t>跟踪调查</t>
  </si>
  <si>
    <t>便宜货源</t>
  </si>
  <si>
    <t>血量+2000</t>
  </si>
  <si>
    <t>激怒对方</t>
  </si>
  <si>
    <t>血量-500</t>
  </si>
  <si>
    <t>神秘珍宝</t>
  </si>
  <si>
    <t>云岩碎片</t>
  </si>
  <si>
    <t>失修栈道</t>
  </si>
  <si>
    <t>修缮栈道</t>
  </si>
  <si>
    <t>修好栈道</t>
  </si>
  <si>
    <t>节省时间</t>
  </si>
  <si>
    <t>另寻新路</t>
  </si>
  <si>
    <t>山间小路</t>
  </si>
  <si>
    <t>迷失方向</t>
  </si>
  <si>
    <t>涉险渡桥</t>
  </si>
  <si>
    <t>快速渡过</t>
  </si>
  <si>
    <t>掉入河中</t>
  </si>
  <si>
    <t>神秘宝物</t>
  </si>
  <si>
    <t>崖顶奇光</t>
  </si>
  <si>
    <t>寻找缓坡</t>
  </si>
  <si>
    <t>花点时间</t>
  </si>
  <si>
    <t>抓取藤蔓</t>
  </si>
  <si>
    <t>爬上高处</t>
  </si>
  <si>
    <t>划破手指</t>
  </si>
  <si>
    <t>岩壁攀爬</t>
  </si>
  <si>
    <t>快速攀岩</t>
  </si>
  <si>
    <t>岩石崩落</t>
  </si>
  <si>
    <t>血量-1000</t>
  </si>
  <si>
    <t>神秘药材</t>
  </si>
  <si>
    <t>发现金蟾</t>
  </si>
  <si>
    <t>少量珠宝</t>
  </si>
  <si>
    <t>金蟾遁形</t>
  </si>
  <si>
    <t>15万伤害</t>
  </si>
  <si>
    <t>全力一击</t>
  </si>
  <si>
    <t>城郭</t>
  </si>
  <si>
    <t>人头叫卖</t>
  </si>
  <si>
    <t>四处闲逛</t>
  </si>
  <si>
    <t>没有发现</t>
  </si>
  <si>
    <t>放松身心</t>
  </si>
  <si>
    <t>内力+100</t>
  </si>
  <si>
    <t>贸迁有无</t>
  </si>
  <si>
    <t>已经散市</t>
  </si>
  <si>
    <t>丰富物资</t>
  </si>
  <si>
    <r>
      <rPr>
        <sz val="11"/>
        <color theme="1"/>
        <rFont val="宋体"/>
        <charset val="134"/>
        <scheme val="minor"/>
      </rPr>
      <t>内力+</t>
    </r>
    <r>
      <rPr>
        <sz val="11"/>
        <color theme="1"/>
        <rFont val="宋体"/>
        <charset val="134"/>
        <scheme val="minor"/>
      </rPr>
      <t>200</t>
    </r>
  </si>
  <si>
    <t>深巷探索</t>
  </si>
  <si>
    <t>阵阵酒香</t>
  </si>
  <si>
    <t>内力+400</t>
  </si>
  <si>
    <t>遭遇窃贼</t>
  </si>
  <si>
    <t>内力-100</t>
  </si>
  <si>
    <t>神秘货物</t>
  </si>
  <si>
    <t>宝塔碎片</t>
  </si>
  <si>
    <t>敌军将至</t>
  </si>
  <si>
    <t>登上城墙</t>
  </si>
  <si>
    <t>把握敌势</t>
  </si>
  <si>
    <t>加固据马</t>
  </si>
  <si>
    <t>本就坚固</t>
  </si>
  <si>
    <t>补救缺漏</t>
  </si>
  <si>
    <t>外出侦查</t>
  </si>
  <si>
    <t>先手制敌</t>
  </si>
  <si>
    <t>遭遇埋伏</t>
  </si>
  <si>
    <t>神秘典籍</t>
  </si>
  <si>
    <t>箭雨压制</t>
  </si>
  <si>
    <t>耗费箭支</t>
  </si>
  <si>
    <t>压制敌人</t>
  </si>
  <si>
    <t>侧翼突袭</t>
  </si>
  <si>
    <t>路途泥泞</t>
  </si>
  <si>
    <t>冲溃阵型</t>
  </si>
  <si>
    <t>正面冲击</t>
  </si>
  <si>
    <t>战场小捷</t>
  </si>
  <si>
    <t>只能撤退</t>
  </si>
  <si>
    <t>内力-200</t>
  </si>
  <si>
    <t>神秘兵器</t>
  </si>
  <si>
    <t>商品</t>
  </si>
  <si>
    <t>单价</t>
  </si>
  <si>
    <t>兑换上限</t>
  </si>
  <si>
    <t>总数</t>
  </si>
  <si>
    <t>总价</t>
  </si>
  <si>
    <t>198解锁宗师奖励</t>
  </si>
  <si>
    <t>序号</t>
  </si>
  <si>
    <t>项目</t>
  </si>
  <si>
    <t>是否计入</t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</si>
  <si>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IP等级</t>
    </r>
  </si>
  <si>
    <t>可以</t>
  </si>
  <si>
    <t>日消耗体力</t>
  </si>
  <si>
    <t>圣贤经验</t>
  </si>
  <si>
    <t>圣贤令</t>
  </si>
  <si>
    <t>宗师圣贤令</t>
  </si>
  <si>
    <t>27日圣贤令</t>
  </si>
  <si>
    <t>27日宗师圣贤令</t>
  </si>
  <si>
    <t>弟子成长礼包</t>
  </si>
  <si>
    <t>折扣或者代金券</t>
  </si>
  <si>
    <t>祭灵石</t>
  </si>
  <si>
    <t>2280元宝</t>
  </si>
  <si>
    <t>没有</t>
  </si>
  <si>
    <t>重铸石</t>
  </si>
  <si>
    <r>
      <rPr>
        <sz val="11"/>
        <rFont val="宋体"/>
        <charset val="134"/>
      </rPr>
      <t>红利商城1</t>
    </r>
    <r>
      <rPr>
        <sz val="11"/>
        <rFont val="宋体"/>
        <charset val="134"/>
      </rPr>
      <t>98红利</t>
    </r>
  </si>
  <si>
    <t>明鬼绳结</t>
  </si>
  <si>
    <r>
      <rPr>
        <sz val="11"/>
        <rFont val="宋体"/>
        <charset val="134"/>
      </rPr>
      <t>玩家首充双倍或者重置首充双倍2</t>
    </r>
    <r>
      <rPr>
        <sz val="11"/>
        <rFont val="宋体"/>
        <charset val="134"/>
      </rPr>
      <t>280*2=4560元宝</t>
    </r>
  </si>
  <si>
    <t>没有也不消耗</t>
  </si>
  <si>
    <t>周消费元宝</t>
  </si>
  <si>
    <t>新弟子周特定金额充值双倍2280*2=4560元宝，6.30.68.198.328.648那个</t>
  </si>
  <si>
    <t>强化灵符</t>
  </si>
  <si>
    <t>充值红利，一周五天，元宝、御鬼丹、真人丹、三级残章或者祭灵石那个</t>
  </si>
  <si>
    <t>充值送礼，68.198.398.698.1198，周四至周日礼盒、红利红包、器灵包、神兵石；周一至周三铭文材料、烤鸡、战纹兑换券或者转盘道具那个</t>
  </si>
  <si>
    <t>周四到周二，单日充值，30.68.98.128.198.328，礼盒或礼物、红包、月卡体验券、铭文礼包、器灵礼包那个</t>
  </si>
  <si>
    <t>周累计充值</t>
  </si>
  <si>
    <r>
      <rPr>
        <sz val="11"/>
        <rFont val="宋体"/>
        <charset val="134"/>
      </rPr>
      <t>周四到周二，累计充值，8</t>
    </r>
    <r>
      <rPr>
        <sz val="11"/>
        <rFont val="宋体"/>
        <charset val="134"/>
      </rPr>
      <t>88.1888.2888，战魂礼包、铭文礼包、器灵礼包、洗练石礼包、返利券二选一那个</t>
    </r>
  </si>
  <si>
    <t>小圣贤庄每周充值任务，30.198.648送500.800.4000圣贤经验那个</t>
  </si>
  <si>
    <r>
      <rPr>
        <sz val="11"/>
        <rFont val="宋体"/>
        <charset val="134"/>
      </rPr>
      <t>七日狂欢，3</t>
    </r>
    <r>
      <rPr>
        <sz val="11"/>
        <rFont val="宋体"/>
        <charset val="134"/>
      </rPr>
      <t>0.60.90.120.150.180.210，红色锻造石、淬火印记、卦象精魄、铭文包那个</t>
    </r>
  </si>
  <si>
    <t>儒家礼物</t>
  </si>
  <si>
    <t>仙境玉匣，获得玉如意，兑换化身的那个</t>
  </si>
  <si>
    <t>日活跃度</t>
  </si>
  <si>
    <t>中级器灵包</t>
  </si>
  <si>
    <t>古老钥匙+特典宝玉（特定的周四到周二，累计充值）</t>
  </si>
  <si>
    <t>周五单日充值198四选一（橙色铭文特惠礼包*1、橙色内丹套装*1、洗练石超值礼包*1、战魂养成至尊礼包*2）</t>
  </si>
  <si>
    <r>
      <rPr>
        <sz val="11"/>
        <rFont val="宋体"/>
        <charset val="134"/>
      </rPr>
      <t>周日单日充值398四选一（橙色铭文豪华礼包*1、上品器灵特惠礼包*1、洗练石豪华礼包*1、战魂养成至尊礼包*4）</t>
    </r>
  </si>
  <si>
    <r>
      <rPr>
        <sz val="11"/>
        <rFont val="宋体"/>
        <charset val="134"/>
      </rPr>
      <t>周三单日充值698四选一（橙色铭文至尊礼包*1、上品器灵豪华礼包*1、洗练石至尊礼包*1、机关兽突破礼盒*2）</t>
    </r>
  </si>
  <si>
    <t>组合时装礼包</t>
  </si>
  <si>
    <t>充值</t>
  </si>
  <si>
    <t>橙色器灵至尊礼包</t>
  </si>
  <si>
    <t>每</t>
  </si>
  <si>
    <t>橙色铭文豪华礼包</t>
  </si>
  <si>
    <t>高级洗练石</t>
  </si>
  <si>
    <t>系数</t>
  </si>
  <si>
    <t>1.a</t>
  </si>
  <si>
    <t>远古魂锁</t>
  </si>
  <si>
    <t>最后结果</t>
  </si>
  <si>
    <t>向下取整</t>
  </si>
  <si>
    <t>X为自然数</t>
  </si>
  <si>
    <t>橙色武器自选包</t>
  </si>
  <si>
    <t>上品神行器灵包</t>
  </si>
  <si>
    <t>神行器灵包</t>
  </si>
  <si>
    <t>一分钱不充</t>
  </si>
  <si>
    <t>体力拉满</t>
  </si>
  <si>
    <t>元宝拉满</t>
  </si>
  <si>
    <t>活跃度元宝拉满</t>
  </si>
  <si>
    <t>上品器灵特惠礼包</t>
  </si>
  <si>
    <t>充值X百+不解锁</t>
  </si>
  <si>
    <r>
      <rPr>
        <sz val="11"/>
        <rFont val="宋体"/>
        <charset val="134"/>
      </rPr>
      <t>2</t>
    </r>
    <r>
      <rPr>
        <sz val="11"/>
        <rFont val="宋体"/>
        <charset val="134"/>
      </rPr>
      <t>11.3+X</t>
    </r>
  </si>
  <si>
    <t>红色星宿自选包</t>
  </si>
  <si>
    <t>仅解锁宗师奖励</t>
  </si>
  <si>
    <t>橙色铭文至尊礼包</t>
  </si>
  <si>
    <t>充值X百+解锁</t>
  </si>
  <si>
    <r>
      <rPr>
        <sz val="11"/>
        <rFont val="宋体"/>
        <charset val="134"/>
      </rPr>
      <t>6</t>
    </r>
    <r>
      <rPr>
        <sz val="11"/>
        <rFont val="宋体"/>
        <charset val="134"/>
      </rPr>
      <t>33.9+3X</t>
    </r>
  </si>
  <si>
    <t>攻(16)</t>
  </si>
  <si>
    <t>血(21)</t>
  </si>
  <si>
    <t>防(6)</t>
  </si>
  <si>
    <t>内力()</t>
  </si>
  <si>
    <t>图鉴</t>
  </si>
  <si>
    <t>20级</t>
  </si>
  <si>
    <t>已激活</t>
  </si>
  <si>
    <t>木剑*1</t>
  </si>
  <si>
    <t>星云法衣*2</t>
  </si>
  <si>
    <t>神行符*3</t>
  </si>
  <si>
    <t>非攻*1</t>
  </si>
  <si>
    <t>三略*3</t>
  </si>
  <si>
    <t>破阵霸王枪*1</t>
  </si>
  <si>
    <t>天河霓裳*3</t>
  </si>
  <si>
    <t>驱虎令*3</t>
  </si>
  <si>
    <t>管子*1</t>
  </si>
  <si>
    <t>雪霁*1</t>
  </si>
  <si>
    <t>升雪凌霄衣*2</t>
  </si>
  <si>
    <t>胡非子*1</t>
  </si>
  <si>
    <t>庄园/返场</t>
  </si>
  <si>
    <t>号钟琴*2</t>
  </si>
  <si>
    <t>文曲服*2</t>
  </si>
  <si>
    <t>孟子*1</t>
  </si>
  <si>
    <t>双剑魍魉*2</t>
  </si>
  <si>
    <t>阴符经*1</t>
  </si>
  <si>
    <t>羽刃*2</t>
  </si>
  <si>
    <t>断水*1</t>
  </si>
  <si>
    <t>刺客列传*3</t>
  </si>
  <si>
    <t>凌虚*2</t>
  </si>
  <si>
    <t>水寒*2</t>
  </si>
  <si>
    <t>残虹*2</t>
  </si>
  <si>
    <t>月华战袍*1</t>
  </si>
  <si>
    <t>巨阙*1</t>
  </si>
  <si>
    <t>七海蛟龙甲*3</t>
  </si>
  <si>
    <t>传国玉玺*1</t>
  </si>
  <si>
    <t>商君书*2</t>
  </si>
  <si>
    <t>鲨齿*1</t>
  </si>
  <si>
    <t>罡星戒*2</t>
  </si>
  <si>
    <t>论语*2</t>
  </si>
  <si>
    <t>太阿*1</t>
  </si>
  <si>
    <t>管事服*1</t>
  </si>
  <si>
    <t>女神之泪*2</t>
  </si>
  <si>
    <t>黄帝内经*1</t>
  </si>
  <si>
    <t>蚩尤*2</t>
  </si>
  <si>
    <t>神农令*1</t>
  </si>
  <si>
    <t>鬼谷子*1</t>
  </si>
  <si>
    <t>赤霄*2</t>
  </si>
  <si>
    <t>战国策*1</t>
  </si>
  <si>
    <t>君临霸王枪*2</t>
  </si>
  <si>
    <t>列子*1</t>
  </si>
  <si>
    <t>天罡斧*1</t>
  </si>
  <si>
    <t>韩非子*1</t>
  </si>
  <si>
    <t>虎魄*1</t>
  </si>
  <si>
    <t>干将莫邪*1</t>
  </si>
  <si>
    <t>天命轮*1</t>
  </si>
  <si>
    <t>惊鲵*1</t>
  </si>
  <si>
    <t>秋骊*1</t>
  </si>
  <si>
    <t>木剑*3</t>
  </si>
  <si>
    <t>真龙黑袍*2</t>
  </si>
  <si>
    <t>六韬*2</t>
  </si>
  <si>
    <t>冰魄戒*2</t>
  </si>
  <si>
    <t>庄子*1</t>
  </si>
  <si>
    <t>破阵霸王枪*2</t>
  </si>
  <si>
    <t>凤鸣*2</t>
  </si>
  <si>
    <t>文曲服*3</t>
  </si>
  <si>
    <t>龙啸*3</t>
  </si>
  <si>
    <t>乐经*1</t>
  </si>
  <si>
    <t>霸天令*2</t>
  </si>
  <si>
    <t>易经*2</t>
  </si>
  <si>
    <t>双剑魍魉*1</t>
  </si>
  <si>
    <t>驱虎令*2</t>
  </si>
  <si>
    <t>春秋*1</t>
  </si>
  <si>
    <t>阴符经*2</t>
  </si>
  <si>
    <t>真刚*2</t>
  </si>
  <si>
    <t>洛书*2</t>
  </si>
  <si>
    <t>转魄*1</t>
  </si>
  <si>
    <t>南公*1</t>
  </si>
  <si>
    <t>灭魂*2</t>
  </si>
  <si>
    <t>上农*1</t>
  </si>
  <si>
    <t>乱神*2</t>
  </si>
  <si>
    <t>残虹*1</t>
  </si>
  <si>
    <t>孙子兵法*1</t>
  </si>
  <si>
    <t>渊虹*1</t>
  </si>
  <si>
    <t>纵横战袍*3</t>
  </si>
  <si>
    <t>白玉君子佩*1</t>
  </si>
  <si>
    <t>道德经*2</t>
  </si>
  <si>
    <t>鲨齿*2</t>
  </si>
  <si>
    <t>万象法袍*3</t>
  </si>
  <si>
    <t>白羽绸衣*1</t>
  </si>
  <si>
    <t>共工戒*3</t>
  </si>
  <si>
    <t>墨子*1</t>
  </si>
  <si>
    <t>蚩尤*1</t>
  </si>
  <si>
    <t>醉梦罗裳*2</t>
  </si>
  <si>
    <t>神农令*2</t>
  </si>
  <si>
    <t>论语*1</t>
  </si>
  <si>
    <t>君临霸王枪*1</t>
  </si>
  <si>
    <t>鬼谷子*4</t>
  </si>
  <si>
    <t>千面*1</t>
  </si>
  <si>
    <t>寒蝉*2</t>
  </si>
  <si>
    <t>非攻*2</t>
  </si>
  <si>
    <t>凤鸣*1</t>
  </si>
  <si>
    <t>三十六计*1</t>
  </si>
  <si>
    <t>龙啸*4</t>
  </si>
  <si>
    <t>三略*1</t>
  </si>
  <si>
    <t>灭魂*1</t>
  </si>
  <si>
    <t>断水*2</t>
  </si>
  <si>
    <t>晏子春秋*1</t>
  </si>
  <si>
    <t>凌虚*3</t>
  </si>
  <si>
    <t>乐经*2</t>
  </si>
  <si>
    <t>洛书*1</t>
  </si>
  <si>
    <t>上农*2</t>
  </si>
  <si>
    <t>渊虹*2</t>
  </si>
  <si>
    <t>纵横战袍*1</t>
  </si>
  <si>
    <t>精卫石*2</t>
  </si>
  <si>
    <t>巨阙*2</t>
  </si>
  <si>
    <t>独黑斗篷*2</t>
  </si>
  <si>
    <t>传国玉玺*2</t>
  </si>
  <si>
    <t>道德经*3</t>
  </si>
  <si>
    <t>墨眉*1</t>
  </si>
  <si>
    <t>万象法袍*1</t>
  </si>
  <si>
    <t>天问*2</t>
  </si>
  <si>
    <t>共工戒*2</t>
  </si>
  <si>
    <t>战国策*3</t>
  </si>
  <si>
    <t>元戎*1</t>
  </si>
  <si>
    <t>女神之泪*1</t>
  </si>
  <si>
    <t>列子*2</t>
  </si>
  <si>
    <t>黄金牡丹*1</t>
  </si>
  <si>
    <t>秋骊*2</t>
  </si>
  <si>
    <t>号钟琴*1</t>
  </si>
  <si>
    <t>三十六计*2</t>
  </si>
  <si>
    <t>真刚*1</t>
  </si>
  <si>
    <t>龙啸*1</t>
  </si>
  <si>
    <t>三略*2</t>
  </si>
  <si>
    <t>庄子*2</t>
  </si>
  <si>
    <t>乱神*1</t>
  </si>
  <si>
    <t>易经*1</t>
  </si>
  <si>
    <t>五德终始*2</t>
  </si>
  <si>
    <t>墨眉*2</t>
  </si>
  <si>
    <t>精卫石*3</t>
  </si>
  <si>
    <t>孙子兵法*4</t>
  </si>
  <si>
    <t>镇天刀*2</t>
  </si>
  <si>
    <t>白玉君子佩*3</t>
  </si>
  <si>
    <t>饮血刃*2</t>
  </si>
  <si>
    <t>女神之泪*3</t>
  </si>
  <si>
    <t>黄帝内经*2</t>
  </si>
  <si>
    <t>河图*3</t>
  </si>
  <si>
    <t>奇门遁甲*1</t>
  </si>
  <si>
    <t>51-5</t>
  </si>
  <si>
    <t>43-7</t>
  </si>
  <si>
    <t>34-5</t>
  </si>
  <si>
    <t>27-9</t>
  </si>
  <si>
    <t>关卡</t>
  </si>
  <si>
    <t>50-5</t>
  </si>
  <si>
    <t>46-7</t>
  </si>
  <si>
    <t>39-7</t>
  </si>
  <si>
    <t>33-7</t>
  </si>
  <si>
    <t>26-5</t>
  </si>
  <si>
    <t>24-7</t>
  </si>
  <si>
    <t>49-5</t>
  </si>
  <si>
    <t>45-5</t>
  </si>
  <si>
    <t>39-9</t>
  </si>
  <si>
    <t>36-5</t>
  </si>
  <si>
    <t>35-5</t>
  </si>
  <si>
    <t>32-7</t>
  </si>
  <si>
    <t>28-5</t>
  </si>
  <si>
    <t>23-7</t>
  </si>
  <si>
    <t>48-5</t>
  </si>
  <si>
    <t>43-9</t>
  </si>
  <si>
    <t>31-7</t>
  </si>
  <si>
    <t>30-7</t>
  </si>
  <si>
    <t>22-7</t>
  </si>
  <si>
    <t>14-9</t>
  </si>
  <si>
    <t>47-9</t>
  </si>
  <si>
    <t>40-9</t>
  </si>
  <si>
    <t>23-5</t>
  </si>
  <si>
    <t>19-9</t>
  </si>
  <si>
    <t>47-7</t>
  </si>
  <si>
    <t>40-7</t>
  </si>
  <si>
    <t>27-5</t>
  </si>
  <si>
    <t>21-7</t>
  </si>
  <si>
    <t>47-5</t>
  </si>
  <si>
    <t>42-5</t>
  </si>
  <si>
    <t>40-5</t>
  </si>
  <si>
    <t>38-5</t>
  </si>
  <si>
    <t>29-5</t>
  </si>
  <si>
    <t>25-5</t>
  </si>
  <si>
    <t>53-5</t>
  </si>
  <si>
    <t>45-9</t>
  </si>
  <si>
    <t>38-9</t>
  </si>
  <si>
    <t>32-5</t>
  </si>
  <si>
    <t>29-9</t>
  </si>
  <si>
    <t>55-5</t>
  </si>
  <si>
    <t>45-7</t>
  </si>
  <si>
    <t>38-7</t>
  </si>
  <si>
    <t>37-5</t>
  </si>
  <si>
    <t>29-7</t>
  </si>
  <si>
    <t>20-7</t>
  </si>
  <si>
    <t>神机符</t>
  </si>
  <si>
    <t>44-9</t>
  </si>
  <si>
    <t>31-9</t>
  </si>
  <si>
    <t>22-9</t>
  </si>
  <si>
    <t>19-7</t>
  </si>
  <si>
    <t>15-9</t>
  </si>
  <si>
    <t>52-7</t>
  </si>
  <si>
    <t>54-10</t>
  </si>
  <si>
    <t>44-5</t>
  </si>
  <si>
    <t>34-9</t>
  </si>
  <si>
    <t>33-5</t>
  </si>
  <si>
    <t>20-9</t>
  </si>
  <si>
    <t>13-9</t>
  </si>
  <si>
    <t>52-9</t>
  </si>
  <si>
    <t>噬血双匕</t>
  </si>
  <si>
    <t>42-9</t>
  </si>
  <si>
    <t>35-9</t>
  </si>
  <si>
    <t>30-5</t>
  </si>
  <si>
    <t>26-9</t>
  </si>
  <si>
    <t>12-9</t>
  </si>
  <si>
    <t>51-10</t>
  </si>
  <si>
    <t>30-10</t>
  </si>
  <si>
    <t>37-9</t>
  </si>
  <si>
    <t>28-9</t>
  </si>
  <si>
    <t>8-8</t>
  </si>
  <si>
    <t>56-5</t>
  </si>
  <si>
    <t>51-9</t>
  </si>
  <si>
    <t>53-10</t>
  </si>
  <si>
    <t>56-10</t>
  </si>
  <si>
    <t>41-7</t>
  </si>
  <si>
    <t>21-9</t>
  </si>
  <si>
    <t>18-9</t>
  </si>
  <si>
    <t>54-5</t>
  </si>
  <si>
    <t>50-10</t>
  </si>
  <si>
    <t>37-7</t>
  </si>
  <si>
    <t>35-7</t>
  </si>
  <si>
    <t>28-7</t>
  </si>
  <si>
    <t>26-7</t>
  </si>
  <si>
    <t>21-5</t>
  </si>
  <si>
    <t>49-10</t>
  </si>
  <si>
    <t>16-5</t>
  </si>
  <si>
    <t>12-5</t>
  </si>
  <si>
    <t>48-10</t>
  </si>
  <si>
    <t>45-10</t>
  </si>
  <si>
    <t>14-5</t>
  </si>
  <si>
    <t>47-10</t>
  </si>
  <si>
    <t>42-10</t>
  </si>
  <si>
    <t>11-5</t>
  </si>
  <si>
    <t>5-5</t>
  </si>
  <si>
    <t>46-10</t>
  </si>
  <si>
    <t>18-10</t>
  </si>
  <si>
    <t>10-5</t>
  </si>
  <si>
    <t>44-10</t>
  </si>
  <si>
    <t>9-5</t>
  </si>
  <si>
    <t>40-10</t>
  </si>
  <si>
    <t>56-9</t>
  </si>
  <si>
    <t>7-5</t>
  </si>
  <si>
    <t>3-6</t>
  </si>
  <si>
    <t>34-10</t>
  </si>
  <si>
    <t>2-5</t>
  </si>
  <si>
    <t>33-10</t>
  </si>
  <si>
    <t>32-10</t>
  </si>
  <si>
    <t>31-10</t>
  </si>
  <si>
    <t>51-7</t>
  </si>
  <si>
    <t>42-7</t>
  </si>
  <si>
    <t>32-9</t>
  </si>
  <si>
    <t>23-9</t>
  </si>
  <si>
    <t>17-9</t>
  </si>
  <si>
    <t>26-10</t>
  </si>
  <si>
    <t>50-7</t>
  </si>
  <si>
    <t>46-9</t>
  </si>
  <si>
    <t>9-9</t>
  </si>
  <si>
    <t>23-10</t>
  </si>
  <si>
    <t>49-7</t>
  </si>
  <si>
    <t>46-5</t>
  </si>
  <si>
    <t>41-9</t>
  </si>
  <si>
    <t>39-5</t>
  </si>
  <si>
    <t>24-5</t>
  </si>
  <si>
    <t>56-7</t>
  </si>
  <si>
    <t>22-10</t>
  </si>
  <si>
    <t>48-7</t>
  </si>
  <si>
    <t>41-5</t>
  </si>
  <si>
    <t>36-7</t>
  </si>
  <si>
    <t>33-9</t>
  </si>
  <si>
    <t>27-7</t>
  </si>
  <si>
    <t>24-9</t>
  </si>
  <si>
    <t>16-9</t>
  </si>
  <si>
    <t>55-7</t>
  </si>
  <si>
    <t>21-10</t>
  </si>
  <si>
    <t>55-10</t>
  </si>
  <si>
    <t>44-7</t>
  </si>
  <si>
    <t>34-7</t>
  </si>
  <si>
    <t>25-7</t>
  </si>
  <si>
    <t>20-5</t>
  </si>
  <si>
    <t>10-9</t>
  </si>
  <si>
    <t>53-7</t>
  </si>
  <si>
    <t>20-10</t>
  </si>
  <si>
    <t>蓝色钥匙</t>
  </si>
  <si>
    <t>43-5</t>
  </si>
  <si>
    <t>19-10</t>
  </si>
  <si>
    <t>31-5</t>
  </si>
  <si>
    <t>30-9</t>
  </si>
  <si>
    <t>22-5</t>
  </si>
  <si>
    <t>19-5</t>
  </si>
  <si>
    <t>54-7</t>
  </si>
  <si>
    <t>17-10</t>
  </si>
  <si>
    <t>18-5</t>
  </si>
  <si>
    <t>13-10</t>
  </si>
  <si>
    <t>17-5</t>
  </si>
  <si>
    <t>13-5</t>
  </si>
  <si>
    <t>8-5</t>
  </si>
  <si>
    <t>赤炼</t>
  </si>
  <si>
    <t>10-10</t>
  </si>
  <si>
    <t>15-5</t>
  </si>
  <si>
    <t>1-5</t>
  </si>
  <si>
    <t>5-8</t>
  </si>
  <si>
    <t>6-5</t>
  </si>
  <si>
    <t>3-3</t>
  </si>
  <si>
    <t>4-3</t>
  </si>
  <si>
    <t>43-10</t>
  </si>
  <si>
    <t>41-10</t>
  </si>
  <si>
    <t>15-10</t>
  </si>
  <si>
    <t>12-10</t>
  </si>
  <si>
    <t>防具</t>
  </si>
  <si>
    <t>饰品</t>
  </si>
  <si>
    <r>
      <rPr>
        <sz val="11"/>
        <rFont val="宋体"/>
        <charset val="134"/>
      </rPr>
      <t>5</t>
    </r>
    <r>
      <rPr>
        <sz val="11"/>
        <rFont val="宋体"/>
        <charset val="134"/>
      </rPr>
      <t>%血</t>
    </r>
  </si>
  <si>
    <t>5%攻     5%血</t>
  </si>
  <si>
    <t>8%攻     8%血</t>
  </si>
  <si>
    <t>5%攻    5%血</t>
  </si>
  <si>
    <t>8%攻   8%血</t>
  </si>
  <si>
    <t>5%血   5%穿透</t>
  </si>
  <si>
    <t>8%血   8%穿透</t>
  </si>
  <si>
    <t>10%血   10%穿透</t>
  </si>
  <si>
    <t>10%血   15%穿透</t>
  </si>
  <si>
    <r>
      <rPr>
        <sz val="11"/>
        <rFont val="宋体"/>
        <charset val="134"/>
      </rPr>
      <t>15%血</t>
    </r>
  </si>
  <si>
    <t>5%攻  5%血</t>
  </si>
  <si>
    <t xml:space="preserve"> 8%攻    8%血</t>
  </si>
  <si>
    <t>10%血   5%暴击</t>
  </si>
  <si>
    <t>20%血   5%暴击</t>
  </si>
  <si>
    <t>25%血   5%暴击</t>
  </si>
  <si>
    <t>30%血   8%暴击</t>
  </si>
  <si>
    <t>5%攻    5%减伤</t>
  </si>
  <si>
    <t>5%攻    10%减伤</t>
  </si>
  <si>
    <t xml:space="preserve"> 5%减伤</t>
  </si>
  <si>
    <t>10%攻   5%穿透</t>
  </si>
  <si>
    <t>20%攻   5%穿透</t>
  </si>
  <si>
    <t>25%攻   5%穿透</t>
  </si>
  <si>
    <t>30%攻   8%穿透</t>
  </si>
  <si>
    <t>5%减伤   5%穿透</t>
  </si>
  <si>
    <t xml:space="preserve"> 5%攻   10%血</t>
  </si>
  <si>
    <r>
      <rPr>
        <sz val="11"/>
        <rFont val="宋体"/>
        <charset val="134"/>
      </rPr>
      <t>8%血</t>
    </r>
  </si>
  <si>
    <t>5%攻     5%暴伤</t>
  </si>
  <si>
    <t>8%攻  5%暴伤</t>
  </si>
  <si>
    <t xml:space="preserve"> 8%攻    5%暴伤</t>
  </si>
  <si>
    <t>15%攻   8%暴伤</t>
  </si>
  <si>
    <t>20%攻   10%暴伤</t>
  </si>
  <si>
    <t xml:space="preserve"> 5%攻</t>
  </si>
  <si>
    <t xml:space="preserve"> 5%攻    5%血</t>
  </si>
  <si>
    <t xml:space="preserve"> 5%减伤  5%穿透</t>
  </si>
  <si>
    <t xml:space="preserve"> 5%血   5%抗暴</t>
  </si>
  <si>
    <t>神兵武器</t>
  </si>
  <si>
    <t>神兵防具</t>
  </si>
  <si>
    <t>神兵饰品</t>
  </si>
  <si>
    <t xml:space="preserve"> 5%防    5%穿透</t>
  </si>
  <si>
    <t xml:space="preserve"> 5%防   10%穿透</t>
  </si>
  <si>
    <t xml:space="preserve"> 5%血     5%减伤</t>
  </si>
  <si>
    <t xml:space="preserve"> 5%血    10%减伤</t>
  </si>
  <si>
    <t xml:space="preserve"> 5%血     5%穿透</t>
  </si>
  <si>
    <t>10%血      5%穿透</t>
  </si>
  <si>
    <t xml:space="preserve"> 5%血    5%穿透</t>
  </si>
  <si>
    <t xml:space="preserve"> 5%血   10%穿透</t>
  </si>
  <si>
    <t xml:space="preserve"> 6%攻     6%血</t>
  </si>
  <si>
    <t xml:space="preserve"> 8%攻    12%血</t>
  </si>
  <si>
    <t>10%攻    15%血</t>
  </si>
  <si>
    <t xml:space="preserve"> 5%攻     5%血</t>
  </si>
  <si>
    <t xml:space="preserve"> 5%攻     10%血</t>
  </si>
  <si>
    <t>10%攻    10%血</t>
  </si>
  <si>
    <t xml:space="preserve"> 5%攻   15%血</t>
  </si>
  <si>
    <t>10%攻   20%血</t>
  </si>
  <si>
    <t xml:space="preserve"> 5%血    10%穿透</t>
  </si>
  <si>
    <t>10%血    5%减伤</t>
  </si>
  <si>
    <t>15%血   10%减伤</t>
  </si>
  <si>
    <t>10%血      5%减伤</t>
  </si>
  <si>
    <t xml:space="preserve"> 5%攻   10%暴伤</t>
  </si>
  <si>
    <t>7%攻    15%暴伤</t>
  </si>
  <si>
    <t>12%血</t>
  </si>
  <si>
    <t xml:space="preserve"> 7%攻    5%血</t>
  </si>
  <si>
    <t>10%攻   10%血</t>
  </si>
  <si>
    <t>15%攻   10%血</t>
  </si>
  <si>
    <t>15%攻    10%血</t>
  </si>
  <si>
    <t xml:space="preserve"> 5%血     5%抗暴</t>
  </si>
  <si>
    <t>10%血      5%抗暴</t>
  </si>
  <si>
    <r>
      <rPr>
        <sz val="11"/>
        <rFont val="宋体"/>
        <charset val="134"/>
      </rPr>
      <t>1</t>
    </r>
    <r>
      <rPr>
        <sz val="11"/>
        <rFont val="宋体"/>
        <charset val="134"/>
      </rPr>
      <t>5</t>
    </r>
    <r>
      <rPr>
        <sz val="11"/>
        <rFont val="宋体"/>
        <charset val="134"/>
      </rPr>
      <t>%血</t>
    </r>
  </si>
  <si>
    <t xml:space="preserve"> 5%攻     5%穿透</t>
  </si>
  <si>
    <t>10%攻    10%穿透</t>
  </si>
  <si>
    <t>10%攻    15%穿透</t>
  </si>
  <si>
    <t>10%攻      5%血</t>
  </si>
  <si>
    <t xml:space="preserve"> 6%攻     6%减伤</t>
  </si>
  <si>
    <t>10%攻    10%减伤</t>
  </si>
  <si>
    <t>10%攻    15%减伤</t>
  </si>
  <si>
    <t>15%攻    10%减伤</t>
  </si>
  <si>
    <t xml:space="preserve"> 5%攻     5%防</t>
  </si>
  <si>
    <t>10%攻     5%防</t>
  </si>
  <si>
    <t>15%攻      5%防</t>
  </si>
  <si>
    <t xml:space="preserve"> 7%攻    7%血</t>
  </si>
  <si>
    <t>10%攻    9%血</t>
  </si>
  <si>
    <t xml:space="preserve"> 6%血     6%减伤</t>
  </si>
  <si>
    <t>10%血    10%减伤</t>
  </si>
  <si>
    <t>15%血    10%减伤</t>
  </si>
  <si>
    <t xml:space="preserve"> 5%血   </t>
  </si>
  <si>
    <t>10%血     5%抗暴</t>
  </si>
  <si>
    <t>10%血     10%抗暴</t>
  </si>
  <si>
    <t xml:space="preserve"> 6%攻    8%血</t>
  </si>
  <si>
    <t xml:space="preserve"> 8%攻   10%血</t>
  </si>
  <si>
    <t>10%攻   15%血</t>
  </si>
  <si>
    <t xml:space="preserve"> 5%暴伤   5%减伤</t>
  </si>
  <si>
    <t xml:space="preserve"> 5%暴伤  10%减伤</t>
  </si>
  <si>
    <t>10%暴伤  10%减伤</t>
  </si>
  <si>
    <t>15%暴伤  10%减伤</t>
  </si>
  <si>
    <t xml:space="preserve"> 5%攻    10%抗暴</t>
  </si>
  <si>
    <t>10%攻    10%抗暴</t>
  </si>
  <si>
    <t>10%攻     15%抗暴</t>
  </si>
  <si>
    <t xml:space="preserve"> 9%攻    5%血</t>
  </si>
  <si>
    <t>12%攻    6%血</t>
  </si>
  <si>
    <t>16%攻    8%血</t>
  </si>
  <si>
    <t xml:space="preserve"> 6%攻     6%抗暴</t>
  </si>
  <si>
    <t xml:space="preserve"> 8%攻     8%抗暴</t>
  </si>
  <si>
    <t>10%攻    15%抗暴</t>
  </si>
  <si>
    <t xml:space="preserve"> 5%血    10%抗暴</t>
  </si>
  <si>
    <t>10%血    10%抗暴</t>
  </si>
  <si>
    <t>10%血     15%抗暴</t>
  </si>
  <si>
    <t>10%血     5%减伤</t>
  </si>
  <si>
    <t>15%血     10%减伤</t>
  </si>
  <si>
    <t>10%血    10%暴伤</t>
  </si>
  <si>
    <t>10%血    15%暴伤</t>
  </si>
  <si>
    <t>15%血    15%暴伤</t>
  </si>
  <si>
    <t>10%减伤  10%穿透</t>
  </si>
  <si>
    <t>10%减伤  15%穿透</t>
  </si>
  <si>
    <t>15%减伤   15%穿透</t>
  </si>
  <si>
    <t xml:space="preserve"> 6%攻     6%穿透</t>
  </si>
  <si>
    <t xml:space="preserve"> 8%攻     8%穿透</t>
  </si>
  <si>
    <t xml:space="preserve"> 5%暴击   5%血</t>
  </si>
  <si>
    <t>10%暴击   5%血</t>
  </si>
  <si>
    <t>10%暴击  10%血</t>
  </si>
  <si>
    <t>10%暴击   15%血</t>
  </si>
  <si>
    <t xml:space="preserve"> 5%穿透    5%暴伤</t>
  </si>
  <si>
    <t xml:space="preserve"> 5%穿透    10%暴伤</t>
  </si>
  <si>
    <t>15%攻     5%暴伤</t>
  </si>
  <si>
    <t>15%攻    10%暴伤</t>
  </si>
  <si>
    <t>20%攻    10%暴伤</t>
  </si>
  <si>
    <t>25%攻    15%暴伤</t>
  </si>
  <si>
    <t>20%攻     5%穿透</t>
  </si>
  <si>
    <t>20%攻    10%穿透</t>
  </si>
  <si>
    <t>25%攻    10%穿透</t>
  </si>
  <si>
    <t>30%攻     15%穿透</t>
  </si>
  <si>
    <t xml:space="preserve"> 5%血      5%减伤</t>
  </si>
  <si>
    <t xml:space="preserve"> 5%血      10%减伤</t>
  </si>
  <si>
    <t>10%血    15%抗暴</t>
  </si>
  <si>
    <t>15%血    15%抗暴</t>
  </si>
  <si>
    <t>10%暴伤  15%减伤</t>
  </si>
  <si>
    <t>15%暴伤   15%减伤</t>
  </si>
  <si>
    <t>10%血     10%减伤</t>
  </si>
  <si>
    <t>15%血      10%减伤</t>
  </si>
  <si>
    <t>30%血      5%暴伤</t>
  </si>
  <si>
    <t>15%血      10%抗暴</t>
  </si>
  <si>
    <t>10%攻      5%穿透</t>
  </si>
  <si>
    <t>10%攻     10%穿透</t>
  </si>
  <si>
    <t>15%攻      10%穿透</t>
  </si>
  <si>
    <t xml:space="preserve"> 5%血     10%减伤</t>
  </si>
  <si>
    <t>10%血      15%减伤</t>
  </si>
  <si>
    <t>10%攻      5%暴伤</t>
  </si>
  <si>
    <t>10%攻     10%暴伤</t>
  </si>
  <si>
    <t>15%攻      10%暴伤</t>
  </si>
  <si>
    <t xml:space="preserve"> 5%防     10%减伤</t>
  </si>
  <si>
    <t>10%防     10%减伤</t>
  </si>
  <si>
    <t>10%防      15%减伤</t>
  </si>
  <si>
    <t>10%血     10%穿透</t>
  </si>
  <si>
    <t>15%血      10%穿透</t>
  </si>
  <si>
    <t>10%暴击    5%穿透</t>
  </si>
  <si>
    <t>10%暴击   10%穿透</t>
  </si>
  <si>
    <t>15%暴击    10%穿透</t>
  </si>
  <si>
    <t>10%攻     10%暴击</t>
  </si>
  <si>
    <t>10%攻     15%暴击</t>
  </si>
  <si>
    <t>15%攻      15%暴击</t>
  </si>
  <si>
    <t xml:space="preserve"> 5%暴击   10%抗暴</t>
  </si>
  <si>
    <t>10%暴击   10%抗暴</t>
  </si>
  <si>
    <t>15%暴击    10%抗暴</t>
  </si>
  <si>
    <t xml:space="preserve"> 5%暴伤    5%穿透</t>
  </si>
  <si>
    <t>10%暴伤    5%穿透</t>
  </si>
  <si>
    <t>10%暴伤   10%穿透</t>
  </si>
  <si>
    <t>15%暴伤    10%穿透</t>
  </si>
  <si>
    <t xml:space="preserve"> 5%暴伤   10%减伤</t>
  </si>
  <si>
    <t>10%暴伤   10%减伤</t>
  </si>
  <si>
    <t>10%暴伤    15%减伤</t>
  </si>
  <si>
    <t>10%攻      5%减伤</t>
  </si>
  <si>
    <t>10%攻     10%减伤</t>
  </si>
  <si>
    <t>15%攻     10%减伤</t>
  </si>
  <si>
    <t>20%攻      10%减伤</t>
  </si>
  <si>
    <t xml:space="preserve"> 5%血     10%暴伤</t>
  </si>
  <si>
    <t>10%血     10%暴伤</t>
  </si>
  <si>
    <t>10%血      15%暴伤</t>
  </si>
  <si>
    <t>10%攻     15%穿透</t>
  </si>
  <si>
    <t>15%攻      15%穿透</t>
  </si>
  <si>
    <t xml:space="preserve"> 5%抗暴   10%减伤</t>
  </si>
  <si>
    <t>10%抗暴   10%减伤</t>
  </si>
  <si>
    <t>10%抗暴    15%减伤</t>
  </si>
  <si>
    <t>15%血     10%穿透</t>
  </si>
  <si>
    <t>15%血      15%穿透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</si>
</sst>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0000_ "/>
    <numFmt numFmtId="178" formatCode="0_ "/>
    <numFmt numFmtId="179" formatCode="0.0_ "/>
  </numFmts>
  <fonts count="10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楷体"/>
      <charset val="134"/>
    </font>
    <font>
      <sz val="11"/>
      <color theme="1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name val="楷体"/>
      <charset val="134"/>
    </font>
    <font>
      <sz val="11"/>
      <color rgb="FFFF0000"/>
      <name val="楷体"/>
      <charset val="134"/>
    </font>
    <font>
      <b/>
      <sz val="10"/>
      <color rgb="FFFF0000"/>
      <name val="楷体"/>
      <charset val="134"/>
    </font>
    <font>
      <sz val="11"/>
      <color theme="1"/>
      <name val="宋体"/>
      <charset val="134"/>
      <scheme val="minor"/>
    </font>
    <font>
      <sz val="11"/>
      <color rgb="FF000000"/>
      <name val="楷体"/>
      <charset val="134"/>
    </font>
    <font>
      <sz val="10"/>
      <color theme="1"/>
      <name val="楷体"/>
      <charset val="134"/>
    </font>
    <font>
      <sz val="10"/>
      <name val="楷体"/>
      <charset val="134"/>
    </font>
    <font>
      <sz val="10"/>
      <color rgb="FFFF0000"/>
      <name val="楷体"/>
      <charset val="134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等线"/>
      <charset val="134"/>
    </font>
    <font>
      <b/>
      <sz val="11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9E5ECE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color theme="9" tint="-0.25"/>
      <name val="宋体"/>
      <charset val="134"/>
    </font>
    <font>
      <b/>
      <sz val="11"/>
      <color rgb="FF7030A0"/>
      <name val="宋体"/>
      <charset val="134"/>
    </font>
    <font>
      <b/>
      <sz val="11"/>
      <color theme="9" tint="-0.249977111117893"/>
      <name val="宋体"/>
      <charset val="134"/>
    </font>
    <font>
      <b/>
      <sz val="11"/>
      <color theme="9" tint="-0.25"/>
      <name val="宋体"/>
      <charset val="134"/>
    </font>
    <font>
      <sz val="11"/>
      <color theme="9" tint="-0.249977111117893"/>
      <name val="宋体"/>
      <charset val="134"/>
    </font>
    <font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 tint="0.05"/>
      <name val="宋体"/>
      <charset val="134"/>
      <scheme val="minor"/>
    </font>
    <font>
      <b/>
      <sz val="11"/>
      <color theme="1" tint="0.05"/>
      <name val="宋体"/>
      <charset val="134"/>
      <scheme val="minor"/>
    </font>
    <font>
      <sz val="11"/>
      <color theme="1" tint="0.05"/>
      <name val="楷体"/>
      <charset val="134"/>
    </font>
    <font>
      <b/>
      <sz val="11"/>
      <color theme="1" tint="0.05"/>
      <name val="楷体"/>
      <charset val="134"/>
    </font>
    <font>
      <b/>
      <sz val="10"/>
      <color theme="1" tint="0.05"/>
      <name val="宋体"/>
      <charset val="134"/>
      <scheme val="minor"/>
    </font>
    <font>
      <sz val="10"/>
      <color theme="1" tint="0.05"/>
      <name val="宋体"/>
      <charset val="134"/>
      <scheme val="minor"/>
    </font>
    <font>
      <sz val="11"/>
      <color theme="1" tint="0.05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rgb="FFFFFF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F84253"/>
      <name val="宋体"/>
      <charset val="134"/>
      <scheme val="minor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20"/>
      <name val="微软雅黑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b/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0"/>
      <color theme="1" tint="0.05"/>
      <name val="宋体"/>
      <charset val="134"/>
    </font>
    <font>
      <b/>
      <sz val="11"/>
      <color rgb="FFFF0000"/>
      <name val="宋体"/>
      <charset val="134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B483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E5E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84253"/>
        <bgColor indexed="64"/>
      </patternFill>
    </fill>
    <fill>
      <patternFill patternType="solid">
        <fgColor rgb="FFEE081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9">
    <xf numFmtId="0" fontId="0" fillId="0" borderId="0">
      <alignment vertical="center"/>
    </xf>
    <xf numFmtId="43" fontId="81" fillId="0" borderId="0" applyFont="0" applyFill="0" applyBorder="0" applyAlignment="0" applyProtection="0">
      <alignment vertical="center"/>
    </xf>
    <xf numFmtId="44" fontId="81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2" fontId="81" fillId="0" borderId="0" applyFon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1" fillId="30" borderId="98" applyNumberFormat="0" applyFon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99" applyNumberFormat="0" applyFill="0" applyAlignment="0" applyProtection="0">
      <alignment vertical="center"/>
    </xf>
    <xf numFmtId="0" fontId="88" fillId="0" borderId="99" applyNumberFormat="0" applyFill="0" applyAlignment="0" applyProtection="0">
      <alignment vertical="center"/>
    </xf>
    <xf numFmtId="0" fontId="89" fillId="0" borderId="100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1" borderId="101" applyNumberFormat="0" applyAlignment="0" applyProtection="0">
      <alignment vertical="center"/>
    </xf>
    <xf numFmtId="0" fontId="91" fillId="32" borderId="102" applyNumberFormat="0" applyAlignment="0" applyProtection="0">
      <alignment vertical="center"/>
    </xf>
    <xf numFmtId="0" fontId="92" fillId="32" borderId="101" applyNumberFormat="0" applyAlignment="0" applyProtection="0">
      <alignment vertical="center"/>
    </xf>
    <xf numFmtId="0" fontId="93" fillId="33" borderId="103" applyNumberFormat="0" applyAlignment="0" applyProtection="0">
      <alignment vertical="center"/>
    </xf>
    <xf numFmtId="0" fontId="94" fillId="0" borderId="104" applyNumberFormat="0" applyFill="0" applyAlignment="0" applyProtection="0">
      <alignment vertical="center"/>
    </xf>
    <xf numFmtId="0" fontId="95" fillId="0" borderId="105" applyNumberFormat="0" applyFill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100" fillId="38" borderId="0" applyNumberFormat="0" applyBorder="0" applyAlignment="0" applyProtection="0">
      <alignment vertical="center"/>
    </xf>
    <xf numFmtId="0" fontId="100" fillId="39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100" fillId="42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5" borderId="0" applyNumberFormat="0" applyBorder="0" applyAlignment="0" applyProtection="0">
      <alignment vertical="center"/>
    </xf>
    <xf numFmtId="0" fontId="100" fillId="46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" fillId="0" borderId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3" fillId="0" borderId="0">
      <alignment vertical="center"/>
    </xf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24" fillId="0" borderId="0">
      <protection locked="0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87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Fill="1" applyBorder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0" xfId="0" applyFill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justify" vertical="center"/>
    </xf>
    <xf numFmtId="0" fontId="0" fillId="0" borderId="0" xfId="0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0" borderId="0" xfId="63" applyNumberFormat="1" applyFont="1"/>
    <xf numFmtId="49" fontId="1" fillId="7" borderId="1" xfId="63" applyNumberFormat="1" applyFont="1" applyFill="1" applyBorder="1" applyAlignment="1">
      <alignment horizontal="center"/>
    </xf>
    <xf numFmtId="49" fontId="1" fillId="0" borderId="1" xfId="63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5" fillId="0" borderId="1" xfId="63" applyNumberFormat="1" applyFont="1" applyBorder="1" applyAlignment="1">
      <alignment horizontal="center"/>
    </xf>
    <xf numFmtId="49" fontId="5" fillId="8" borderId="1" xfId="63" applyNumberFormat="1" applyFont="1" applyFill="1" applyBorder="1" applyAlignment="1">
      <alignment horizontal="center"/>
    </xf>
    <xf numFmtId="49" fontId="5" fillId="9" borderId="1" xfId="63" applyNumberFormat="1" applyFont="1" applyFill="1" applyBorder="1" applyAlignment="1">
      <alignment horizontal="center"/>
    </xf>
    <xf numFmtId="49" fontId="1" fillId="0" borderId="1" xfId="63" applyNumberFormat="1" applyFont="1" applyBorder="1"/>
    <xf numFmtId="49" fontId="1" fillId="9" borderId="1" xfId="63" applyNumberFormat="1" applyFont="1" applyFill="1" applyBorder="1" applyAlignment="1">
      <alignment horizontal="center"/>
    </xf>
    <xf numFmtId="49" fontId="1" fillId="10" borderId="1" xfId="63" applyNumberFormat="1" applyFont="1" applyFill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11" borderId="1" xfId="63" applyNumberFormat="1" applyFont="1" applyFill="1" applyBorder="1" applyAlignment="1">
      <alignment horizontal="center"/>
    </xf>
    <xf numFmtId="49" fontId="1" fillId="0" borderId="0" xfId="63" applyNumberFormat="1" applyFont="1" applyAlignment="1">
      <alignment horizontal="center"/>
    </xf>
    <xf numFmtId="49" fontId="1" fillId="9" borderId="1" xfId="63" applyNumberFormat="1" applyFont="1" applyFill="1" applyBorder="1" applyAlignment="1">
      <alignment horizontal="center" vertical="center"/>
    </xf>
    <xf numFmtId="49" fontId="1" fillId="11" borderId="1" xfId="63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5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>
      <alignment vertical="center"/>
    </xf>
    <xf numFmtId="0" fontId="0" fillId="0" borderId="0" xfId="0" applyFont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58" fontId="12" fillId="0" borderId="0" xfId="0" applyNumberFormat="1" applyFont="1" applyAlignment="1">
      <alignment horizontal="center" vertical="center"/>
    </xf>
    <xf numFmtId="0" fontId="0" fillId="14" borderId="0" xfId="0" applyFont="1" applyFill="1">
      <alignment vertical="center"/>
    </xf>
    <xf numFmtId="0" fontId="7" fillId="6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0" borderId="0" xfId="68">
      <alignment vertical="center"/>
    </xf>
    <xf numFmtId="0" fontId="14" fillId="0" borderId="19" xfId="68" applyFont="1" applyFill="1" applyBorder="1" applyAlignment="1">
      <alignment horizontal="center" vertical="center"/>
    </xf>
    <xf numFmtId="0" fontId="14" fillId="0" borderId="20" xfId="68" applyFont="1" applyFill="1" applyBorder="1" applyAlignment="1">
      <alignment horizontal="center" vertical="center"/>
    </xf>
    <xf numFmtId="0" fontId="10" fillId="0" borderId="20" xfId="68" applyFont="1" applyFill="1" applyBorder="1" applyAlignment="1">
      <alignment horizontal="center" vertical="center"/>
    </xf>
    <xf numFmtId="0" fontId="10" fillId="0" borderId="21" xfId="68" applyFont="1" applyFill="1" applyBorder="1" applyAlignment="1">
      <alignment horizontal="center" vertical="center"/>
    </xf>
    <xf numFmtId="0" fontId="8" fillId="5" borderId="0" xfId="68" applyFon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58" fontId="7" fillId="0" borderId="0" xfId="0" applyNumberFormat="1" applyFont="1" applyBorder="1" applyAlignment="1">
      <alignment horizontal="center" vertical="center"/>
    </xf>
    <xf numFmtId="0" fontId="7" fillId="0" borderId="0" xfId="68" applyFont="1">
      <alignment vertical="center"/>
    </xf>
    <xf numFmtId="0" fontId="8" fillId="5" borderId="0" xfId="68" applyFont="1" applyFill="1">
      <alignment vertical="center"/>
    </xf>
    <xf numFmtId="49" fontId="14" fillId="0" borderId="11" xfId="68" applyNumberFormat="1" applyFont="1" applyFill="1" applyBorder="1" applyAlignment="1">
      <alignment horizontal="center" vertical="center"/>
    </xf>
    <xf numFmtId="0" fontId="10" fillId="0" borderId="1" xfId="68" applyFont="1" applyFill="1" applyBorder="1" applyAlignment="1">
      <alignment horizontal="center" vertical="center"/>
    </xf>
    <xf numFmtId="0" fontId="14" fillId="0" borderId="1" xfId="68" applyFont="1" applyFill="1" applyBorder="1" applyAlignment="1">
      <alignment horizontal="center" vertical="center"/>
    </xf>
    <xf numFmtId="0" fontId="10" fillId="0" borderId="14" xfId="68" applyFont="1" applyFill="1" applyBorder="1" applyAlignment="1">
      <alignment horizontal="center" vertical="center"/>
    </xf>
    <xf numFmtId="0" fontId="15" fillId="5" borderId="0" xfId="68" applyFont="1" applyFill="1" applyBorder="1">
      <alignment vertical="center"/>
    </xf>
    <xf numFmtId="0" fontId="16" fillId="12" borderId="0" xfId="0" applyFont="1" applyFill="1" applyAlignment="1">
      <alignment horizontal="center" vertical="center"/>
    </xf>
    <xf numFmtId="0" fontId="15" fillId="2" borderId="0" xfId="68" applyFont="1" applyFill="1" applyBorder="1" applyAlignment="1">
      <alignment horizontal="center" vertical="center"/>
    </xf>
    <xf numFmtId="0" fontId="15" fillId="4" borderId="0" xfId="68" applyFont="1" applyFill="1" applyAlignment="1">
      <alignment horizontal="center" vertical="center"/>
    </xf>
    <xf numFmtId="0" fontId="15" fillId="2" borderId="0" xfId="68" applyFont="1" applyFill="1" applyAlignment="1">
      <alignment horizontal="center" vertical="center"/>
    </xf>
    <xf numFmtId="0" fontId="7" fillId="4" borderId="0" xfId="68" applyFont="1" applyFill="1" applyAlignment="1">
      <alignment horizontal="center" vertical="center"/>
    </xf>
    <xf numFmtId="0" fontId="17" fillId="2" borderId="0" xfId="68" applyFont="1" applyFill="1" applyAlignment="1">
      <alignment horizontal="center" vertical="center"/>
    </xf>
    <xf numFmtId="49" fontId="10" fillId="0" borderId="11" xfId="68" applyNumberFormat="1" applyFont="1" applyFill="1" applyBorder="1" applyAlignment="1">
      <alignment horizontal="center" vertical="center"/>
    </xf>
    <xf numFmtId="0" fontId="10" fillId="0" borderId="11" xfId="68" applyFont="1" applyFill="1" applyBorder="1" applyAlignment="1">
      <alignment horizontal="center" vertical="center"/>
    </xf>
    <xf numFmtId="0" fontId="15" fillId="4" borderId="0" xfId="68" applyFont="1" applyFill="1" applyBorder="1" applyAlignment="1">
      <alignment horizontal="center" vertical="center"/>
    </xf>
    <xf numFmtId="0" fontId="10" fillId="0" borderId="15" xfId="68" applyFont="1" applyFill="1" applyBorder="1" applyAlignment="1">
      <alignment horizontal="center" vertical="center"/>
    </xf>
    <xf numFmtId="0" fontId="10" fillId="0" borderId="22" xfId="68" applyFont="1" applyFill="1" applyBorder="1" applyAlignment="1">
      <alignment horizontal="center" vertical="center"/>
    </xf>
    <xf numFmtId="0" fontId="10" fillId="0" borderId="18" xfId="68" applyFont="1" applyFill="1" applyBorder="1" applyAlignment="1">
      <alignment horizontal="center" vertical="center"/>
    </xf>
    <xf numFmtId="0" fontId="10" fillId="0" borderId="0" xfId="68" applyFont="1" applyFill="1" applyAlignment="1">
      <alignment horizontal="center" vertical="center"/>
    </xf>
    <xf numFmtId="0" fontId="13" fillId="4" borderId="0" xfId="68" applyFill="1">
      <alignment vertical="center"/>
    </xf>
    <xf numFmtId="0" fontId="14" fillId="0" borderId="11" xfId="68" applyNumberFormat="1" applyFont="1" applyFill="1" applyBorder="1" applyAlignment="1">
      <alignment horizontal="center" vertical="center"/>
    </xf>
    <xf numFmtId="0" fontId="13" fillId="0" borderId="1" xfId="68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16" borderId="0" xfId="0" applyFont="1" applyFill="1" applyAlignment="1">
      <alignment horizontal="left" vertical="center"/>
    </xf>
    <xf numFmtId="0" fontId="13" fillId="0" borderId="0" xfId="0" applyFont="1">
      <alignment vertical="center"/>
    </xf>
    <xf numFmtId="9" fontId="0" fillId="0" borderId="0" xfId="0" applyNumberFormat="1">
      <alignment vertical="center"/>
    </xf>
    <xf numFmtId="0" fontId="13" fillId="0" borderId="0" xfId="0" applyFont="1" applyAlignment="1">
      <alignment horizontal="center" vertical="center"/>
    </xf>
    <xf numFmtId="0" fontId="13" fillId="5" borderId="0" xfId="0" applyFont="1" applyFill="1">
      <alignment vertical="center"/>
    </xf>
    <xf numFmtId="0" fontId="13" fillId="16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Fill="1">
      <alignment vertical="center"/>
    </xf>
    <xf numFmtId="0" fontId="13" fillId="1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0" xfId="58" applyAlignment="1">
      <alignment horizontal="center" vertical="center"/>
    </xf>
    <xf numFmtId="0" fontId="25" fillId="0" borderId="24" xfId="58" applyFont="1" applyFill="1" applyBorder="1" applyAlignment="1">
      <alignment horizontal="center" vertical="center" wrapText="1"/>
    </xf>
    <xf numFmtId="0" fontId="25" fillId="0" borderId="25" xfId="74" applyFont="1" applyBorder="1" applyAlignment="1" applyProtection="1">
      <alignment horizontal="center" vertical="center" wrapText="1"/>
      <protection locked="0"/>
    </xf>
    <xf numFmtId="0" fontId="25" fillId="19" borderId="26" xfId="58" applyFont="1" applyFill="1" applyBorder="1" applyAlignment="1">
      <alignment horizontal="center" vertical="center" wrapText="1"/>
    </xf>
    <xf numFmtId="0" fontId="25" fillId="0" borderId="27" xfId="58" applyFont="1" applyFill="1" applyBorder="1" applyAlignment="1">
      <alignment horizontal="center" vertical="center" wrapText="1"/>
    </xf>
    <xf numFmtId="0" fontId="25" fillId="20" borderId="28" xfId="58" applyFont="1" applyFill="1" applyBorder="1" applyAlignment="1">
      <alignment horizontal="center" vertical="center" wrapText="1"/>
    </xf>
    <xf numFmtId="0" fontId="25" fillId="19" borderId="29" xfId="58" applyFont="1" applyFill="1" applyBorder="1" applyAlignment="1">
      <alignment horizontal="center" vertical="center" wrapText="1"/>
    </xf>
    <xf numFmtId="0" fontId="25" fillId="0" borderId="30" xfId="58" applyFont="1" applyFill="1" applyBorder="1" applyAlignment="1">
      <alignment horizontal="center" vertical="center" wrapText="1"/>
    </xf>
    <xf numFmtId="0" fontId="25" fillId="20" borderId="31" xfId="58" applyFont="1" applyFill="1" applyBorder="1" applyAlignment="1">
      <alignment horizontal="center" vertical="center" wrapText="1"/>
    </xf>
    <xf numFmtId="0" fontId="25" fillId="19" borderId="32" xfId="58" applyFont="1" applyFill="1" applyBorder="1" applyAlignment="1">
      <alignment horizontal="center" vertical="center" wrapText="1"/>
    </xf>
    <xf numFmtId="0" fontId="25" fillId="0" borderId="33" xfId="58" applyFont="1" applyFill="1" applyBorder="1" applyAlignment="1">
      <alignment horizontal="center" vertical="center" wrapText="1"/>
    </xf>
    <xf numFmtId="0" fontId="25" fillId="20" borderId="34" xfId="58" applyFont="1" applyFill="1" applyBorder="1" applyAlignment="1">
      <alignment horizontal="center" vertical="center" wrapText="1"/>
    </xf>
    <xf numFmtId="0" fontId="25" fillId="19" borderId="35" xfId="58" applyFont="1" applyFill="1" applyBorder="1" applyAlignment="1">
      <alignment horizontal="center" vertical="center" wrapText="1"/>
    </xf>
    <xf numFmtId="0" fontId="25" fillId="20" borderId="36" xfId="58" applyFont="1" applyFill="1" applyBorder="1" applyAlignment="1">
      <alignment horizontal="center" vertical="center" wrapText="1"/>
    </xf>
    <xf numFmtId="0" fontId="25" fillId="0" borderId="35" xfId="58" applyFont="1" applyFill="1" applyBorder="1" applyAlignment="1">
      <alignment horizontal="center" vertical="center" wrapText="1"/>
    </xf>
    <xf numFmtId="0" fontId="25" fillId="0" borderId="29" xfId="58" applyFont="1" applyFill="1" applyBorder="1" applyAlignment="1">
      <alignment horizontal="center" vertical="center" wrapText="1"/>
    </xf>
    <xf numFmtId="0" fontId="25" fillId="19" borderId="37" xfId="58" applyFont="1" applyFill="1" applyBorder="1" applyAlignment="1">
      <alignment horizontal="center" vertical="center" wrapText="1"/>
    </xf>
    <xf numFmtId="0" fontId="25" fillId="0" borderId="32" xfId="58" applyFont="1" applyFill="1" applyBorder="1" applyAlignment="1">
      <alignment horizontal="center" vertical="center" wrapText="1"/>
    </xf>
    <xf numFmtId="0" fontId="25" fillId="20" borderId="38" xfId="58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26" fillId="0" borderId="0" xfId="0" applyFont="1" applyBorder="1">
      <alignment vertical="center"/>
    </xf>
    <xf numFmtId="0" fontId="0" fillId="0" borderId="39" xfId="0" applyBorder="1" applyAlignment="1">
      <alignment vertical="center" wrapText="1"/>
    </xf>
    <xf numFmtId="0" fontId="27" fillId="0" borderId="0" xfId="0" applyFont="1" applyBorder="1">
      <alignment vertical="center"/>
    </xf>
    <xf numFmtId="0" fontId="1" fillId="0" borderId="40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9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28" fillId="0" borderId="0" xfId="67">
      <alignment vertical="center"/>
    </xf>
    <xf numFmtId="0" fontId="28" fillId="0" borderId="0" xfId="67" applyAlignment="1">
      <alignment horizontal="center" vertical="center"/>
    </xf>
    <xf numFmtId="0" fontId="29" fillId="0" borderId="1" xfId="67" applyFont="1" applyBorder="1">
      <alignment vertical="center"/>
    </xf>
    <xf numFmtId="0" fontId="29" fillId="0" borderId="1" xfId="67" applyFont="1" applyBorder="1" applyAlignment="1">
      <alignment horizontal="center" vertical="center"/>
    </xf>
    <xf numFmtId="0" fontId="30" fillId="0" borderId="1" xfId="67" applyFont="1" applyBorder="1" applyAlignment="1">
      <alignment horizontal="center" vertical="center"/>
    </xf>
    <xf numFmtId="0" fontId="31" fillId="0" borderId="0" xfId="67" applyFont="1" applyAlignment="1">
      <alignment horizontal="center" vertical="center"/>
    </xf>
    <xf numFmtId="0" fontId="31" fillId="0" borderId="1" xfId="67" applyFont="1" applyBorder="1" applyAlignment="1">
      <alignment horizontal="center" vertical="center"/>
    </xf>
    <xf numFmtId="0" fontId="28" fillId="0" borderId="1" xfId="67" applyBorder="1">
      <alignment vertical="center"/>
    </xf>
    <xf numFmtId="0" fontId="28" fillId="0" borderId="1" xfId="67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3" fillId="3" borderId="1" xfId="0" applyFont="1" applyFill="1" applyBorder="1" applyAlignment="1">
      <alignment vertical="center" wrapText="1"/>
    </xf>
    <xf numFmtId="0" fontId="33" fillId="21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vertical="center" wrapText="1"/>
    </xf>
    <xf numFmtId="0" fontId="33" fillId="22" borderId="1" xfId="0" applyFont="1" applyFill="1" applyBorder="1" applyAlignment="1">
      <alignment vertical="center" wrapText="1"/>
    </xf>
    <xf numFmtId="0" fontId="33" fillId="23" borderId="1" xfId="0" applyFont="1" applyFill="1" applyBorder="1" applyAlignment="1">
      <alignment vertical="center" wrapText="1"/>
    </xf>
    <xf numFmtId="0" fontId="33" fillId="16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34" fillId="21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4" fillId="22" borderId="1" xfId="0" applyFont="1" applyFill="1" applyBorder="1" applyAlignment="1">
      <alignment horizontal="left" vertical="center" wrapText="1"/>
    </xf>
    <xf numFmtId="0" fontId="34" fillId="23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3" fillId="4" borderId="1" xfId="0" applyNumberFormat="1" applyFont="1" applyFill="1" applyBorder="1">
      <alignment vertical="center"/>
    </xf>
    <xf numFmtId="14" fontId="0" fillId="0" borderId="11" xfId="0" applyNumberFormat="1" applyBorder="1" applyAlignment="1">
      <alignment horizontal="left" vertical="center"/>
    </xf>
    <xf numFmtId="0" fontId="13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8" fillId="0" borderId="1" xfId="0" applyFont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41" fillId="15" borderId="1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43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5" fillId="7" borderId="0" xfId="0" applyFont="1" applyFill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5" fillId="7" borderId="0" xfId="0" applyFont="1" applyFill="1" applyAlignment="1">
      <alignment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6" fillId="21" borderId="0" xfId="0" applyFont="1" applyFill="1" applyAlignment="1">
      <alignment vertical="center" wrapText="1"/>
    </xf>
    <xf numFmtId="0" fontId="0" fillId="21" borderId="1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3" fillId="21" borderId="1" xfId="0" applyFont="1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/>
    </xf>
    <xf numFmtId="0" fontId="46" fillId="15" borderId="0" xfId="0" applyFont="1" applyFill="1" applyAlignment="1">
      <alignment horizontal="left" vertical="center" wrapText="1"/>
    </xf>
    <xf numFmtId="0" fontId="46" fillId="15" borderId="0" xfId="0" applyFont="1" applyFill="1" applyAlignment="1">
      <alignment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33" fillId="15" borderId="22" xfId="0" applyFont="1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13" fillId="15" borderId="15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3" fillId="15" borderId="18" xfId="0" applyFont="1" applyFill="1" applyBorder="1" applyAlignment="1">
      <alignment horizontal="center" vertical="center"/>
    </xf>
    <xf numFmtId="0" fontId="13" fillId="15" borderId="15" xfId="0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6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3" fillId="7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43" fillId="21" borderId="0" xfId="0" applyFont="1" applyFill="1">
      <alignment vertical="center"/>
    </xf>
    <xf numFmtId="0" fontId="43" fillId="15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21" fillId="4" borderId="0" xfId="0" applyFont="1" applyFill="1" applyAlignment="1">
      <alignment horizontal="center" vertical="center"/>
    </xf>
    <xf numFmtId="0" fontId="47" fillId="0" borderId="1" xfId="58" applyFont="1" applyFill="1" applyBorder="1">
      <alignment vertical="center"/>
    </xf>
    <xf numFmtId="0" fontId="47" fillId="0" borderId="1" xfId="58" applyFont="1" applyBorder="1" applyAlignment="1">
      <alignment horizontal="center" vertical="center"/>
    </xf>
    <xf numFmtId="0" fontId="47" fillId="4" borderId="1" xfId="58" applyFont="1" applyFill="1" applyBorder="1" applyAlignment="1">
      <alignment horizontal="center" vertical="center"/>
    </xf>
    <xf numFmtId="0" fontId="47" fillId="17" borderId="1" xfId="58" applyFont="1" applyFill="1" applyBorder="1">
      <alignment vertical="center"/>
    </xf>
    <xf numFmtId="0" fontId="47" fillId="14" borderId="1" xfId="58" applyFont="1" applyFill="1" applyBorder="1">
      <alignment vertical="center"/>
    </xf>
    <xf numFmtId="0" fontId="48" fillId="14" borderId="1" xfId="58" applyFont="1" applyFill="1" applyBorder="1">
      <alignment vertical="center"/>
    </xf>
    <xf numFmtId="0" fontId="47" fillId="24" borderId="1" xfId="58" applyFont="1" applyFill="1" applyBorder="1">
      <alignment vertical="center"/>
    </xf>
    <xf numFmtId="0" fontId="48" fillId="24" borderId="1" xfId="58" applyFont="1" applyFill="1" applyBorder="1">
      <alignment vertical="center"/>
    </xf>
    <xf numFmtId="0" fontId="47" fillId="0" borderId="1" xfId="58" applyFont="1" applyBorder="1">
      <alignment vertical="center"/>
    </xf>
    <xf numFmtId="0" fontId="47" fillId="0" borderId="1" xfId="58" applyFont="1" applyBorder="1" applyAlignment="1">
      <alignment horizontal="center" vertical="center" wrapText="1"/>
    </xf>
    <xf numFmtId="0" fontId="48" fillId="14" borderId="1" xfId="58" applyFont="1" applyFill="1" applyBorder="1" applyAlignment="1">
      <alignment horizontal="left" vertical="center"/>
    </xf>
    <xf numFmtId="0" fontId="47" fillId="24" borderId="1" xfId="58" applyFont="1" applyFill="1" applyBorder="1" applyAlignment="1">
      <alignment horizontal="left" vertical="center" wrapText="1"/>
    </xf>
    <xf numFmtId="0" fontId="47" fillId="24" borderId="1" xfId="58" applyFont="1" applyFill="1" applyBorder="1" applyAlignment="1">
      <alignment vertical="center" wrapText="1"/>
    </xf>
    <xf numFmtId="0" fontId="48" fillId="24" borderId="1" xfId="58" applyFont="1" applyFill="1" applyBorder="1" applyAlignment="1">
      <alignment horizontal="left" vertical="center" wrapText="1"/>
    </xf>
    <xf numFmtId="0" fontId="48" fillId="24" borderId="1" xfId="58" applyFont="1" applyFill="1" applyBorder="1" applyAlignment="1">
      <alignment vertical="center" wrapText="1"/>
    </xf>
    <xf numFmtId="0" fontId="47" fillId="9" borderId="1" xfId="58" applyFont="1" applyFill="1" applyBorder="1" applyAlignment="1">
      <alignment horizontal="center" vertical="center"/>
    </xf>
    <xf numFmtId="0" fontId="47" fillId="0" borderId="1" xfId="58" applyFont="1" applyFill="1" applyBorder="1" applyAlignment="1">
      <alignment horizontal="center" vertical="center"/>
    </xf>
    <xf numFmtId="0" fontId="47" fillId="6" borderId="1" xfId="58" applyFont="1" applyFill="1" applyBorder="1" applyAlignment="1">
      <alignment horizontal="center" vertical="center"/>
    </xf>
    <xf numFmtId="0" fontId="47" fillId="17" borderId="1" xfId="58" applyFont="1" applyFill="1" applyBorder="1" applyAlignment="1">
      <alignment horizontal="left" vertical="center"/>
    </xf>
    <xf numFmtId="0" fontId="47" fillId="17" borderId="1" xfId="58" applyFont="1" applyFill="1" applyBorder="1" applyAlignment="1">
      <alignment horizontal="center" vertical="center"/>
    </xf>
    <xf numFmtId="0" fontId="47" fillId="14" borderId="1" xfId="58" applyFont="1" applyFill="1" applyBorder="1" applyAlignment="1">
      <alignment horizontal="left" vertical="center"/>
    </xf>
    <xf numFmtId="0" fontId="48" fillId="14" borderId="1" xfId="58" applyFont="1" applyFill="1" applyBorder="1" applyAlignment="1">
      <alignment horizontal="left" vertical="center" wrapText="1"/>
    </xf>
    <xf numFmtId="0" fontId="47" fillId="14" borderId="1" xfId="58" applyFont="1" applyFill="1" applyBorder="1" applyAlignment="1">
      <alignment horizontal="left" vertical="center" wrapText="1"/>
    </xf>
    <xf numFmtId="0" fontId="47" fillId="4" borderId="1" xfId="58" applyFont="1" applyFill="1" applyBorder="1" applyAlignment="1">
      <alignment horizontal="left" vertical="center" wrapText="1"/>
    </xf>
    <xf numFmtId="0" fontId="48" fillId="4" borderId="1" xfId="58" applyFont="1" applyFill="1" applyBorder="1" applyAlignment="1">
      <alignment horizontal="left" vertical="center" wrapText="1"/>
    </xf>
    <xf numFmtId="0" fontId="2" fillId="0" borderId="1" xfId="58" applyFont="1" applyBorder="1">
      <alignment vertical="center"/>
    </xf>
    <xf numFmtId="0" fontId="47" fillId="0" borderId="1" xfId="58" applyFont="1" applyFill="1" applyBorder="1" applyAlignment="1">
      <alignment horizontal="center" vertical="center"/>
    </xf>
    <xf numFmtId="0" fontId="47" fillId="0" borderId="1" xfId="58" applyFont="1" applyFill="1" applyBorder="1" applyAlignment="1">
      <alignment horizontal="center" vertical="center"/>
    </xf>
    <xf numFmtId="0" fontId="48" fillId="0" borderId="1" xfId="58" applyFont="1" applyFill="1" applyBorder="1" applyAlignment="1">
      <alignment horizontal="center" vertical="center"/>
    </xf>
    <xf numFmtId="0" fontId="47" fillId="0" borderId="1" xfId="58" applyFont="1" applyFill="1" applyBorder="1">
      <alignment vertical="center"/>
    </xf>
    <xf numFmtId="0" fontId="2" fillId="0" borderId="1" xfId="58" applyFont="1" applyBorder="1" applyAlignment="1">
      <alignment horizontal="center" vertical="center"/>
    </xf>
    <xf numFmtId="0" fontId="2" fillId="14" borderId="1" xfId="58" applyFont="1" applyFill="1" applyBorder="1" applyAlignment="1">
      <alignment horizontal="center" vertical="center"/>
    </xf>
    <xf numFmtId="0" fontId="2" fillId="17" borderId="1" xfId="58" applyFont="1" applyFill="1" applyBorder="1" applyAlignment="1">
      <alignment horizontal="center" vertical="center"/>
    </xf>
    <xf numFmtId="0" fontId="2" fillId="24" borderId="1" xfId="58" applyFont="1" applyFill="1" applyBorder="1" applyAlignment="1">
      <alignment horizontal="center" vertical="center"/>
    </xf>
    <xf numFmtId="0" fontId="47" fillId="25" borderId="1" xfId="58" applyFont="1" applyFill="1" applyBorder="1" applyAlignment="1">
      <alignment horizontal="center" vertical="center"/>
    </xf>
    <xf numFmtId="0" fontId="47" fillId="14" borderId="1" xfId="58" applyFont="1" applyFill="1" applyBorder="1" applyAlignment="1">
      <alignment horizontal="center" vertical="center"/>
    </xf>
    <xf numFmtId="0" fontId="47" fillId="17" borderId="1" xfId="58" applyFont="1" applyFill="1" applyBorder="1" applyAlignment="1">
      <alignment horizontal="center" vertical="center"/>
    </xf>
    <xf numFmtId="0" fontId="48" fillId="14" borderId="1" xfId="58" applyFont="1" applyFill="1" applyBorder="1" applyAlignment="1">
      <alignment horizontal="center" vertical="center"/>
    </xf>
    <xf numFmtId="0" fontId="47" fillId="24" borderId="1" xfId="58" applyFont="1" applyFill="1" applyBorder="1" applyAlignment="1">
      <alignment horizontal="center" vertical="center" wrapText="1"/>
    </xf>
    <xf numFmtId="0" fontId="48" fillId="26" borderId="1" xfId="58" applyFont="1" applyFill="1" applyBorder="1" applyAlignment="1">
      <alignment horizontal="center" vertical="center"/>
    </xf>
    <xf numFmtId="0" fontId="48" fillId="26" borderId="1" xfId="58" applyFont="1" applyFill="1" applyBorder="1" applyAlignment="1">
      <alignment horizontal="center" vertical="center" wrapText="1"/>
    </xf>
    <xf numFmtId="0" fontId="47" fillId="24" borderId="1" xfId="58" applyFont="1" applyFill="1" applyBorder="1" applyAlignment="1">
      <alignment horizontal="center" vertical="center"/>
    </xf>
    <xf numFmtId="0" fontId="47" fillId="24" borderId="1" xfId="58" applyFont="1" applyFill="1" applyBorder="1" applyAlignment="1">
      <alignment horizontal="center" vertical="center"/>
    </xf>
    <xf numFmtId="0" fontId="48" fillId="14" borderId="1" xfId="58" applyFont="1" applyFill="1" applyBorder="1" applyAlignment="1">
      <alignment horizontal="center" vertical="center"/>
    </xf>
    <xf numFmtId="0" fontId="48" fillId="24" borderId="1" xfId="58" applyFont="1" applyFill="1" applyBorder="1" applyAlignment="1">
      <alignment horizontal="center" vertical="center"/>
    </xf>
    <xf numFmtId="0" fontId="48" fillId="24" borderId="1" xfId="58" applyFont="1" applyFill="1" applyBorder="1" applyAlignment="1">
      <alignment horizontal="center" vertical="center" wrapText="1"/>
    </xf>
    <xf numFmtId="0" fontId="47" fillId="6" borderId="1" xfId="58" applyFont="1" applyFill="1" applyBorder="1" applyAlignment="1">
      <alignment horizontal="center" vertical="center"/>
    </xf>
    <xf numFmtId="0" fontId="47" fillId="14" borderId="1" xfId="58" applyFont="1" applyFill="1" applyBorder="1" applyAlignment="1">
      <alignment horizontal="center" vertical="center"/>
    </xf>
    <xf numFmtId="0" fontId="48" fillId="24" borderId="1" xfId="58" applyFont="1" applyFill="1" applyBorder="1" applyAlignment="1">
      <alignment horizontal="center" vertical="center"/>
    </xf>
    <xf numFmtId="0" fontId="47" fillId="14" borderId="1" xfId="58" applyFont="1" applyFill="1" applyBorder="1" applyAlignment="1">
      <alignment horizontal="center" vertical="center" wrapText="1"/>
    </xf>
    <xf numFmtId="0" fontId="48" fillId="14" borderId="1" xfId="58" applyFont="1" applyFill="1" applyBorder="1" applyAlignment="1">
      <alignment horizontal="center" vertical="center" wrapText="1"/>
    </xf>
    <xf numFmtId="0" fontId="47" fillId="27" borderId="1" xfId="58" applyFont="1" applyFill="1" applyBorder="1" applyAlignment="1">
      <alignment horizontal="center" vertical="center"/>
    </xf>
    <xf numFmtId="0" fontId="13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 wrapText="1"/>
    </xf>
    <xf numFmtId="0" fontId="0" fillId="0" borderId="39" xfId="0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8" fillId="0" borderId="0" xfId="0" applyFont="1" applyBorder="1" applyAlignment="1">
      <alignment horizontal="center" vertical="center"/>
    </xf>
    <xf numFmtId="0" fontId="35" fillId="0" borderId="0" xfId="0" applyFont="1" applyBorder="1">
      <alignment vertical="center"/>
    </xf>
    <xf numFmtId="0" fontId="35" fillId="0" borderId="0" xfId="0" applyFont="1" applyBorder="1" applyAlignment="1">
      <alignment horizontal="center" vertical="center"/>
    </xf>
    <xf numFmtId="0" fontId="27" fillId="0" borderId="39" xfId="0" applyFont="1" applyBorder="1" applyAlignment="1">
      <alignment horizontal="left" vertical="center"/>
    </xf>
    <xf numFmtId="0" fontId="49" fillId="0" borderId="39" xfId="0" applyFont="1" applyBorder="1" applyAlignment="1">
      <alignment horizontal="left" vertical="center"/>
    </xf>
    <xf numFmtId="0" fontId="21" fillId="0" borderId="0" xfId="58" applyFont="1" applyAlignment="1">
      <alignment horizontal="left" vertical="center"/>
    </xf>
    <xf numFmtId="0" fontId="21" fillId="0" borderId="0" xfId="58" applyFont="1" applyAlignment="1">
      <alignment horizontal="center" vertical="center"/>
    </xf>
    <xf numFmtId="0" fontId="21" fillId="4" borderId="0" xfId="58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1" xfId="74" applyFont="1" applyBorder="1" applyAlignment="1" applyProtection="1">
      <alignment horizontal="center" vertical="center" wrapText="1"/>
      <protection locked="0"/>
    </xf>
    <xf numFmtId="0" fontId="50" fillId="0" borderId="1" xfId="58" applyFont="1" applyFill="1" applyBorder="1" applyAlignment="1">
      <alignment horizontal="center" vertical="center" wrapText="1"/>
    </xf>
    <xf numFmtId="0" fontId="50" fillId="4" borderId="1" xfId="58" applyFont="1" applyFill="1" applyBorder="1" applyAlignment="1">
      <alignment horizontal="center" vertical="center" wrapText="1"/>
    </xf>
    <xf numFmtId="0" fontId="51" fillId="4" borderId="1" xfId="58" applyFont="1" applyFill="1" applyBorder="1" applyAlignment="1">
      <alignment horizontal="center" vertical="center" wrapText="1"/>
    </xf>
    <xf numFmtId="0" fontId="52" fillId="0" borderId="1" xfId="58" applyFont="1" applyFill="1" applyBorder="1" applyAlignment="1">
      <alignment horizontal="center" vertical="center" wrapText="1"/>
    </xf>
    <xf numFmtId="0" fontId="51" fillId="0" borderId="1" xfId="58" applyFont="1" applyFill="1" applyBorder="1" applyAlignment="1">
      <alignment horizontal="center" vertical="center" wrapText="1"/>
    </xf>
    <xf numFmtId="0" fontId="53" fillId="4" borderId="1" xfId="58" applyFont="1" applyFill="1" applyBorder="1" applyAlignment="1">
      <alignment horizontal="center" vertical="center" wrapText="1"/>
    </xf>
    <xf numFmtId="0" fontId="53" fillId="0" borderId="1" xfId="58" applyFont="1" applyFill="1" applyBorder="1" applyAlignment="1">
      <alignment horizontal="center" vertical="center" wrapText="1"/>
    </xf>
    <xf numFmtId="0" fontId="21" fillId="4" borderId="1" xfId="58" applyFont="1" applyFill="1" applyBorder="1" applyAlignment="1">
      <alignment horizontal="center" vertical="center" wrapText="1"/>
    </xf>
    <xf numFmtId="0" fontId="21" fillId="0" borderId="1" xfId="58" applyFont="1" applyFill="1" applyBorder="1" applyAlignment="1">
      <alignment horizontal="center" vertical="center" wrapText="1"/>
    </xf>
    <xf numFmtId="0" fontId="21" fillId="4" borderId="1" xfId="58" applyFont="1" applyFill="1" applyBorder="1" applyAlignment="1">
      <alignment horizontal="center" vertical="center"/>
    </xf>
    <xf numFmtId="0" fontId="21" fillId="0" borderId="1" xfId="58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39" xfId="0" applyFont="1" applyBorder="1">
      <alignment vertical="center"/>
    </xf>
    <xf numFmtId="0" fontId="59" fillId="0" borderId="39" xfId="0" applyFont="1" applyBorder="1">
      <alignment vertical="center"/>
    </xf>
    <xf numFmtId="0" fontId="13" fillId="28" borderId="39" xfId="0" applyFont="1" applyFill="1" applyBorder="1" applyAlignment="1">
      <alignment horizontal="center" vertical="center"/>
    </xf>
    <xf numFmtId="0" fontId="1" fillId="28" borderId="39" xfId="0" applyFont="1" applyFill="1" applyBorder="1" applyAlignment="1">
      <alignment horizontal="center" vertical="center"/>
    </xf>
    <xf numFmtId="0" fontId="59" fillId="28" borderId="39" xfId="0" applyFont="1" applyFill="1" applyBorder="1" applyAlignment="1">
      <alignment vertical="center" wrapText="1"/>
    </xf>
    <xf numFmtId="0" fontId="59" fillId="28" borderId="39" xfId="0" applyFont="1" applyFill="1" applyBorder="1">
      <alignment vertical="center"/>
    </xf>
    <xf numFmtId="0" fontId="13" fillId="3" borderId="39" xfId="0" applyFont="1" applyFill="1" applyBorder="1" applyAlignment="1">
      <alignment horizontal="center" vertical="center"/>
    </xf>
    <xf numFmtId="0" fontId="59" fillId="3" borderId="39" xfId="0" applyFont="1" applyFill="1" applyBorder="1">
      <alignment vertical="center"/>
    </xf>
    <xf numFmtId="0" fontId="1" fillId="2" borderId="39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59" fillId="2" borderId="39" xfId="0" applyFont="1" applyFill="1" applyBorder="1">
      <alignment vertical="center"/>
    </xf>
    <xf numFmtId="0" fontId="1" fillId="16" borderId="39" xfId="0" applyFont="1" applyFill="1" applyBorder="1" applyAlignment="1">
      <alignment horizontal="center" vertical="center"/>
    </xf>
    <xf numFmtId="0" fontId="13" fillId="16" borderId="39" xfId="0" applyFont="1" applyFill="1" applyBorder="1" applyAlignment="1">
      <alignment horizontal="center" vertical="center"/>
    </xf>
    <xf numFmtId="0" fontId="59" fillId="16" borderId="39" xfId="0" applyFont="1" applyFill="1" applyBorder="1">
      <alignment vertical="center"/>
    </xf>
    <xf numFmtId="0" fontId="59" fillId="16" borderId="39" xfId="0" applyFont="1" applyFill="1" applyBorder="1" applyAlignment="1">
      <alignment vertical="center" wrapText="1"/>
    </xf>
    <xf numFmtId="0" fontId="1" fillId="3" borderId="39" xfId="0" applyFont="1" applyFill="1" applyBorder="1" applyAlignment="1">
      <alignment horizontal="center" vertical="center"/>
    </xf>
    <xf numFmtId="0" fontId="60" fillId="2" borderId="39" xfId="0" applyFont="1" applyFill="1" applyBorder="1">
      <alignment vertical="center"/>
    </xf>
    <xf numFmtId="0" fontId="60" fillId="28" borderId="39" xfId="0" applyFont="1" applyFill="1" applyBorder="1">
      <alignment vertical="center"/>
    </xf>
    <xf numFmtId="0" fontId="61" fillId="3" borderId="39" xfId="0" applyFont="1" applyFill="1" applyBorder="1">
      <alignment vertical="center"/>
    </xf>
    <xf numFmtId="0" fontId="61" fillId="2" borderId="39" xfId="0" applyFont="1" applyFill="1" applyBorder="1">
      <alignment vertical="center"/>
    </xf>
    <xf numFmtId="0" fontId="59" fillId="2" borderId="39" xfId="0" applyFont="1" applyFill="1" applyBorder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33" fillId="0" borderId="56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0" fontId="0" fillId="0" borderId="46" xfId="0" applyBorder="1">
      <alignment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63" fillId="0" borderId="13" xfId="0" applyNumberFormat="1" applyFont="1" applyBorder="1" applyAlignment="1">
      <alignment horizontal="center" vertical="center"/>
    </xf>
    <xf numFmtId="49" fontId="64" fillId="0" borderId="12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63" fillId="4" borderId="13" xfId="0" applyNumberFormat="1" applyFont="1" applyFill="1" applyBorder="1" applyAlignment="1">
      <alignment horizontal="center" vertical="center"/>
    </xf>
    <xf numFmtId="49" fontId="64" fillId="4" borderId="12" xfId="0" applyNumberFormat="1" applyFont="1" applyFill="1" applyBorder="1" applyAlignment="1">
      <alignment horizontal="center" vertical="center"/>
    </xf>
    <xf numFmtId="49" fontId="0" fillId="4" borderId="13" xfId="0" applyNumberFormat="1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49" fontId="1" fillId="3" borderId="12" xfId="0" applyNumberFormat="1" applyFont="1" applyFill="1" applyBorder="1" applyAlignment="1">
      <alignment horizontal="center" vertical="center"/>
    </xf>
    <xf numFmtId="49" fontId="0" fillId="0" borderId="61" xfId="0" applyNumberFormat="1" applyBorder="1" applyAlignment="1">
      <alignment horizontal="center" vertical="center"/>
    </xf>
    <xf numFmtId="49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 wrapText="1"/>
    </xf>
    <xf numFmtId="49" fontId="0" fillId="0" borderId="5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3" fillId="16" borderId="0" xfId="0" applyFont="1" applyFill="1" applyAlignment="1"/>
    <xf numFmtId="0" fontId="0" fillId="16" borderId="0" xfId="0" applyFill="1" applyAlignment="1"/>
    <xf numFmtId="0" fontId="64" fillId="0" borderId="0" xfId="0" applyFont="1" applyAlignment="1"/>
    <xf numFmtId="0" fontId="13" fillId="3" borderId="0" xfId="0" applyFont="1" applyFill="1" applyAlignment="1">
      <alignment horizontal="center" vertical="center"/>
    </xf>
    <xf numFmtId="0" fontId="13" fillId="0" borderId="0" xfId="0" applyFont="1" applyAlignment="1"/>
    <xf numFmtId="0" fontId="0" fillId="3" borderId="0" xfId="0" applyFill="1" applyAlignment="1"/>
    <xf numFmtId="0" fontId="13" fillId="3" borderId="0" xfId="0" applyFont="1" applyFill="1" applyAlignment="1"/>
    <xf numFmtId="0" fontId="41" fillId="0" borderId="0" xfId="0" applyFont="1" applyFill="1" applyBorder="1" applyAlignment="1">
      <alignment horizontal="right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Fill="1" applyBorder="1">
      <alignment vertical="center"/>
    </xf>
    <xf numFmtId="0" fontId="41" fillId="0" borderId="0" xfId="0" applyFont="1">
      <alignment vertical="center"/>
    </xf>
    <xf numFmtId="0" fontId="41" fillId="6" borderId="64" xfId="0" applyFont="1" applyFill="1" applyBorder="1" applyAlignment="1">
      <alignment horizontal="right" vertical="center"/>
    </xf>
    <xf numFmtId="0" fontId="41" fillId="0" borderId="64" xfId="122" applyFont="1" applyFill="1" applyBorder="1" applyAlignment="1">
      <alignment horizontal="center"/>
    </xf>
    <xf numFmtId="0" fontId="41" fillId="0" borderId="65" xfId="122" applyFont="1" applyFill="1" applyBorder="1" applyAlignment="1">
      <alignment horizontal="center"/>
    </xf>
    <xf numFmtId="0" fontId="40" fillId="0" borderId="64" xfId="122" applyFont="1" applyFill="1" applyBorder="1" applyAlignment="1">
      <alignment horizontal="center" vertical="center"/>
    </xf>
    <xf numFmtId="0" fontId="41" fillId="0" borderId="64" xfId="122" applyFont="1" applyFill="1" applyBorder="1"/>
    <xf numFmtId="0" fontId="41" fillId="0" borderId="65" xfId="122" applyFont="1" applyFill="1" applyBorder="1"/>
    <xf numFmtId="0" fontId="40" fillId="0" borderId="66" xfId="122" applyFont="1" applyFill="1" applyBorder="1" applyAlignment="1">
      <alignment horizontal="center" vertical="center"/>
    </xf>
    <xf numFmtId="0" fontId="41" fillId="0" borderId="66" xfId="122" applyFont="1" applyFill="1" applyBorder="1"/>
    <xf numFmtId="0" fontId="41" fillId="0" borderId="67" xfId="122" applyFont="1" applyFill="1" applyBorder="1"/>
    <xf numFmtId="0" fontId="41" fillId="0" borderId="67" xfId="0" applyFont="1" applyFill="1" applyBorder="1">
      <alignment vertical="center"/>
    </xf>
    <xf numFmtId="0" fontId="41" fillId="0" borderId="66" xfId="0" applyFont="1" applyFill="1" applyBorder="1">
      <alignment vertical="center"/>
    </xf>
    <xf numFmtId="0" fontId="41" fillId="0" borderId="67" xfId="125" applyFont="1" applyFill="1" applyBorder="1"/>
    <xf numFmtId="0" fontId="41" fillId="0" borderId="66" xfId="125" applyFont="1" applyFill="1" applyBorder="1"/>
    <xf numFmtId="0" fontId="41" fillId="0" borderId="0" xfId="122" applyFont="1" applyFill="1" applyBorder="1"/>
    <xf numFmtId="0" fontId="40" fillId="0" borderId="68" xfId="122" applyFont="1" applyFill="1" applyBorder="1" applyAlignment="1">
      <alignment horizontal="center" vertical="center"/>
    </xf>
    <xf numFmtId="0" fontId="41" fillId="0" borderId="68" xfId="0" applyFont="1" applyFill="1" applyBorder="1">
      <alignment vertical="center"/>
    </xf>
    <xf numFmtId="0" fontId="41" fillId="0" borderId="9" xfId="0" applyFont="1" applyFill="1" applyBorder="1">
      <alignment vertical="center"/>
    </xf>
    <xf numFmtId="0" fontId="41" fillId="0" borderId="0" xfId="125" applyFont="1" applyFill="1" applyBorder="1"/>
    <xf numFmtId="0" fontId="41" fillId="0" borderId="9" xfId="122" applyFont="1" applyFill="1" applyBorder="1"/>
    <xf numFmtId="0" fontId="41" fillId="0" borderId="69" xfId="122" applyFont="1" applyFill="1" applyBorder="1"/>
    <xf numFmtId="0" fontId="41" fillId="0" borderId="70" xfId="0" applyFont="1" applyFill="1" applyBorder="1">
      <alignment vertical="center"/>
    </xf>
    <xf numFmtId="0" fontId="41" fillId="0" borderId="0" xfId="0" applyFont="1" applyBorder="1">
      <alignment vertical="center"/>
    </xf>
    <xf numFmtId="0" fontId="41" fillId="5" borderId="23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65" xfId="0" applyFont="1" applyFill="1" applyBorder="1">
      <alignment vertical="center"/>
    </xf>
    <xf numFmtId="0" fontId="41" fillId="0" borderId="68" xfId="122" applyFont="1" applyFill="1" applyBorder="1"/>
    <xf numFmtId="0" fontId="41" fillId="0" borderId="69" xfId="0" applyFont="1" applyFill="1" applyBorder="1">
      <alignment vertical="center"/>
    </xf>
    <xf numFmtId="0" fontId="41" fillId="0" borderId="1" xfId="122" applyFont="1" applyFill="1" applyBorder="1" applyAlignment="1">
      <alignment horizontal="center"/>
    </xf>
    <xf numFmtId="0" fontId="65" fillId="0" borderId="0" xfId="68" applyFont="1" applyBorder="1" applyAlignment="1">
      <alignment horizontal="center" vertical="center"/>
    </xf>
    <xf numFmtId="0" fontId="65" fillId="0" borderId="0" xfId="68" applyFont="1" applyAlignment="1">
      <alignment horizontal="center" vertical="center"/>
    </xf>
    <xf numFmtId="0" fontId="65" fillId="0" borderId="0" xfId="68" applyFont="1" applyAlignment="1">
      <alignment horizontal="center" vertical="center"/>
    </xf>
    <xf numFmtId="0" fontId="65" fillId="0" borderId="0" xfId="68" applyFont="1" applyBorder="1" applyAlignment="1">
      <alignment horizontal="center" vertical="center"/>
    </xf>
    <xf numFmtId="0" fontId="66" fillId="0" borderId="0" xfId="68" applyFont="1" applyBorder="1" applyAlignment="1">
      <alignment horizontal="center" vertical="center"/>
    </xf>
    <xf numFmtId="0" fontId="67" fillId="0" borderId="0" xfId="68" applyFont="1" applyBorder="1" applyAlignment="1">
      <alignment horizontal="center" vertical="center"/>
    </xf>
    <xf numFmtId="0" fontId="65" fillId="0" borderId="1" xfId="68" applyFont="1" applyBorder="1" applyAlignment="1">
      <alignment horizontal="center" vertical="center"/>
    </xf>
    <xf numFmtId="0" fontId="65" fillId="0" borderId="1" xfId="68" applyFont="1" applyBorder="1" applyAlignment="1">
      <alignment horizontal="center" vertical="center"/>
    </xf>
    <xf numFmtId="0" fontId="65" fillId="0" borderId="23" xfId="68" applyFont="1" applyBorder="1" applyAlignment="1">
      <alignment horizontal="center" vertical="center"/>
    </xf>
    <xf numFmtId="0" fontId="65" fillId="0" borderId="54" xfId="68" applyFont="1" applyBorder="1" applyAlignment="1">
      <alignment horizontal="center" vertical="center"/>
    </xf>
    <xf numFmtId="0" fontId="65" fillId="0" borderId="13" xfId="68" applyFont="1" applyBorder="1" applyAlignment="1">
      <alignment horizontal="center" vertical="center"/>
    </xf>
    <xf numFmtId="0" fontId="67" fillId="0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58" fontId="67" fillId="0" borderId="1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68" applyFont="1" applyFill="1" applyBorder="1" applyAlignment="1">
      <alignment horizontal="center" vertical="center"/>
    </xf>
    <xf numFmtId="0" fontId="68" fillId="0" borderId="0" xfId="68" applyFont="1" applyBorder="1" applyAlignment="1">
      <alignment horizontal="center" vertical="center"/>
    </xf>
    <xf numFmtId="58" fontId="68" fillId="0" borderId="0" xfId="68" applyNumberFormat="1" applyFont="1" applyBorder="1" applyAlignment="1">
      <alignment horizontal="center" vertical="center"/>
    </xf>
    <xf numFmtId="0" fontId="67" fillId="12" borderId="1" xfId="0" applyFont="1" applyFill="1" applyBorder="1" applyAlignment="1">
      <alignment horizontal="center" vertical="center"/>
    </xf>
    <xf numFmtId="0" fontId="67" fillId="13" borderId="1" xfId="0" applyFont="1" applyFill="1" applyBorder="1" applyAlignment="1">
      <alignment horizontal="center" vertical="center"/>
    </xf>
    <xf numFmtId="0" fontId="68" fillId="6" borderId="0" xfId="68" applyFont="1" applyFill="1" applyBorder="1" applyAlignment="1">
      <alignment horizontal="center" vertical="center"/>
    </xf>
    <xf numFmtId="0" fontId="67" fillId="12" borderId="0" xfId="68" applyFont="1" applyFill="1" applyBorder="1" applyAlignment="1">
      <alignment horizontal="center" vertical="center"/>
    </xf>
    <xf numFmtId="0" fontId="67" fillId="13" borderId="0" xfId="68" applyFont="1" applyFill="1" applyBorder="1" applyAlignment="1">
      <alignment horizontal="center" vertical="center"/>
    </xf>
    <xf numFmtId="0" fontId="67" fillId="18" borderId="0" xfId="68" applyFont="1" applyFill="1" applyBorder="1" applyAlignment="1">
      <alignment horizontal="center" vertical="center"/>
    </xf>
    <xf numFmtId="49" fontId="67" fillId="0" borderId="1" xfId="0" applyNumberFormat="1" applyFont="1" applyFill="1" applyBorder="1" applyAlignment="1">
      <alignment horizontal="center" vertical="center"/>
    </xf>
    <xf numFmtId="0" fontId="67" fillId="0" borderId="0" xfId="68" applyFont="1" applyFill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center"/>
    </xf>
    <xf numFmtId="0" fontId="67" fillId="0" borderId="0" xfId="68" applyFont="1" applyBorder="1" applyAlignment="1">
      <alignment horizontal="center" vertical="center"/>
    </xf>
    <xf numFmtId="0" fontId="67" fillId="0" borderId="1" xfId="68" applyFont="1" applyFill="1" applyBorder="1" applyAlignment="1">
      <alignment horizontal="center" vertical="center"/>
    </xf>
    <xf numFmtId="0" fontId="67" fillId="2" borderId="1" xfId="68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68" fillId="5" borderId="0" xfId="68" applyFont="1" applyFill="1" applyBorder="1" applyAlignment="1">
      <alignment horizontal="center" vertical="center"/>
    </xf>
    <xf numFmtId="0" fontId="67" fillId="12" borderId="1" xfId="68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5" fillId="0" borderId="1" xfId="68" applyFont="1" applyBorder="1" applyAlignment="1">
      <alignment horizontal="center" vertical="center"/>
    </xf>
    <xf numFmtId="0" fontId="68" fillId="0" borderId="19" xfId="68" applyFont="1" applyFill="1" applyBorder="1" applyAlignment="1">
      <alignment horizontal="center" vertical="center"/>
    </xf>
    <xf numFmtId="0" fontId="68" fillId="0" borderId="20" xfId="68" applyFont="1" applyFill="1" applyBorder="1" applyAlignment="1">
      <alignment horizontal="center" vertical="center"/>
    </xf>
    <xf numFmtId="0" fontId="68" fillId="0" borderId="21" xfId="68" applyFont="1" applyFill="1" applyBorder="1" applyAlignment="1">
      <alignment horizontal="center" vertical="center"/>
    </xf>
    <xf numFmtId="49" fontId="67" fillId="0" borderId="11" xfId="68" applyNumberFormat="1" applyFont="1" applyFill="1" applyBorder="1" applyAlignment="1">
      <alignment horizontal="center" vertical="center"/>
    </xf>
    <xf numFmtId="0" fontId="67" fillId="0" borderId="1" xfId="68" applyFont="1" applyFill="1" applyBorder="1" applyAlignment="1">
      <alignment horizontal="center" vertical="center"/>
    </xf>
    <xf numFmtId="0" fontId="67" fillId="0" borderId="14" xfId="68" applyFont="1" applyFill="1" applyBorder="1" applyAlignment="1">
      <alignment horizontal="center" vertical="center"/>
    </xf>
    <xf numFmtId="0" fontId="67" fillId="0" borderId="11" xfId="68" applyFont="1" applyFill="1" applyBorder="1" applyAlignment="1">
      <alignment horizontal="center" vertical="center"/>
    </xf>
    <xf numFmtId="0" fontId="66" fillId="0" borderId="0" xfId="68" applyFont="1" applyBorder="1" applyAlignment="1">
      <alignment horizontal="center" vertical="center"/>
    </xf>
    <xf numFmtId="0" fontId="67" fillId="0" borderId="11" xfId="68" applyNumberFormat="1" applyFont="1" applyFill="1" applyBorder="1" applyAlignment="1">
      <alignment horizontal="center" vertical="center"/>
    </xf>
    <xf numFmtId="0" fontId="68" fillId="2" borderId="1" xfId="68" applyFont="1" applyFill="1" applyBorder="1" applyAlignment="1">
      <alignment horizontal="center" vertical="center"/>
    </xf>
    <xf numFmtId="0" fontId="68" fillId="5" borderId="0" xfId="68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6" fillId="4" borderId="0" xfId="0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Border="1" applyAlignment="1">
      <alignment horizontal="center" vertical="center"/>
    </xf>
    <xf numFmtId="0" fontId="70" fillId="18" borderId="1" xfId="0" applyFont="1" applyFill="1" applyBorder="1" applyAlignment="1">
      <alignment horizontal="center" vertical="center"/>
    </xf>
    <xf numFmtId="0" fontId="70" fillId="2" borderId="13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69" fillId="4" borderId="0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70" fillId="5" borderId="1" xfId="0" applyFont="1" applyFill="1" applyBorder="1" applyAlignment="1">
      <alignment horizontal="center" vertical="center"/>
    </xf>
    <xf numFmtId="0" fontId="70" fillId="5" borderId="13" xfId="0" applyFont="1" applyFill="1" applyBorder="1" applyAlignment="1">
      <alignment horizontal="center" vertical="center"/>
    </xf>
    <xf numFmtId="0" fontId="66" fillId="4" borderId="0" xfId="0" applyFont="1" applyFill="1" applyBorder="1" applyAlignment="1">
      <alignment horizontal="center" vertical="center"/>
    </xf>
    <xf numFmtId="0" fontId="70" fillId="10" borderId="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2" fillId="9" borderId="0" xfId="68" applyFont="1" applyFill="1" applyBorder="1" applyAlignment="1">
      <alignment horizontal="center" vertical="center"/>
    </xf>
    <xf numFmtId="0" fontId="68" fillId="0" borderId="15" xfId="68" applyFont="1" applyFill="1" applyBorder="1" applyAlignment="1">
      <alignment horizontal="center" vertical="center"/>
    </xf>
    <xf numFmtId="0" fontId="68" fillId="0" borderId="22" xfId="68" applyFont="1" applyFill="1" applyBorder="1" applyAlignment="1">
      <alignment horizontal="center" vertical="center"/>
    </xf>
    <xf numFmtId="0" fontId="68" fillId="0" borderId="18" xfId="68" applyFont="1" applyFill="1" applyBorder="1" applyAlignment="1">
      <alignment horizontal="center" vertical="center"/>
    </xf>
    <xf numFmtId="0" fontId="67" fillId="0" borderId="56" xfId="68" applyNumberFormat="1" applyFont="1" applyFill="1" applyBorder="1" applyAlignment="1">
      <alignment horizontal="center" vertical="center"/>
    </xf>
    <xf numFmtId="0" fontId="67" fillId="0" borderId="57" xfId="68" applyFont="1" applyFill="1" applyBorder="1" applyAlignment="1">
      <alignment horizontal="center" vertical="center"/>
    </xf>
    <xf numFmtId="0" fontId="67" fillId="0" borderId="58" xfId="68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5" fillId="6" borderId="0" xfId="68" applyFont="1" applyFill="1" applyBorder="1" applyAlignment="1">
      <alignment horizontal="center" vertical="center"/>
    </xf>
    <xf numFmtId="0" fontId="73" fillId="29" borderId="0" xfId="68" applyFont="1" applyFill="1" applyBorder="1" applyAlignment="1">
      <alignment horizontal="center" vertical="center"/>
    </xf>
    <xf numFmtId="0" fontId="67" fillId="0" borderId="19" xfId="68" applyFont="1" applyFill="1" applyBorder="1" applyAlignment="1">
      <alignment horizontal="center" vertical="center"/>
    </xf>
    <xf numFmtId="0" fontId="74" fillId="10" borderId="0" xfId="68" applyFont="1" applyFill="1" applyBorder="1" applyAlignment="1">
      <alignment horizontal="center" vertical="center"/>
    </xf>
    <xf numFmtId="0" fontId="68" fillId="0" borderId="11" xfId="68" applyFont="1" applyFill="1" applyBorder="1" applyAlignment="1">
      <alignment horizontal="center" vertical="center"/>
    </xf>
    <xf numFmtId="0" fontId="68" fillId="0" borderId="1" xfId="68" applyFont="1" applyFill="1" applyBorder="1" applyAlignment="1">
      <alignment horizontal="center" vertical="center"/>
    </xf>
    <xf numFmtId="0" fontId="68" fillId="0" borderId="14" xfId="68" applyFont="1" applyFill="1" applyBorder="1" applyAlignment="1">
      <alignment horizontal="center" vertical="center"/>
    </xf>
    <xf numFmtId="0" fontId="75" fillId="3" borderId="0" xfId="68" applyFont="1" applyFill="1" applyBorder="1" applyAlignment="1">
      <alignment horizontal="center" vertical="center"/>
    </xf>
    <xf numFmtId="0" fontId="67" fillId="2" borderId="0" xfId="68" applyFont="1" applyFill="1" applyBorder="1" applyAlignment="1">
      <alignment horizontal="center" vertical="center"/>
    </xf>
    <xf numFmtId="0" fontId="65" fillId="0" borderId="1" xfId="68" applyFont="1" applyBorder="1" applyAlignment="1">
      <alignment horizontal="center" vertical="center"/>
    </xf>
    <xf numFmtId="58" fontId="68" fillId="0" borderId="1" xfId="0" applyNumberFormat="1" applyFont="1" applyBorder="1" applyAlignment="1">
      <alignment horizontal="center" vertical="center"/>
    </xf>
    <xf numFmtId="0" fontId="66" fillId="0" borderId="1" xfId="68" applyFont="1" applyBorder="1" applyAlignment="1">
      <alignment horizontal="center" vertical="center"/>
    </xf>
    <xf numFmtId="0" fontId="67" fillId="4" borderId="1" xfId="68" applyFont="1" applyFill="1" applyBorder="1" applyAlignment="1">
      <alignment horizontal="center" vertical="center"/>
    </xf>
    <xf numFmtId="0" fontId="67" fillId="12" borderId="1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67" fillId="2" borderId="1" xfId="68" applyFont="1" applyFill="1" applyBorder="1" applyAlignment="1">
      <alignment horizontal="center" vertical="center"/>
    </xf>
    <xf numFmtId="0" fontId="68" fillId="2" borderId="0" xfId="68" applyFont="1" applyFill="1" applyBorder="1" applyAlignment="1">
      <alignment horizontal="center" vertical="center"/>
    </xf>
    <xf numFmtId="0" fontId="68" fillId="0" borderId="0" xfId="68" applyFont="1" applyBorder="1" applyAlignment="1">
      <alignment horizontal="center" vertical="center"/>
    </xf>
    <xf numFmtId="0" fontId="65" fillId="0" borderId="0" xfId="68" applyFont="1" applyFill="1" applyBorder="1" applyAlignment="1">
      <alignment horizontal="center" vertical="center"/>
    </xf>
    <xf numFmtId="0" fontId="68" fillId="17" borderId="0" xfId="68" applyFont="1" applyFill="1" applyBorder="1" applyAlignment="1">
      <alignment horizontal="center" vertical="center"/>
    </xf>
    <xf numFmtId="0" fontId="68" fillId="0" borderId="0" xfId="68" applyFont="1" applyFill="1" applyBorder="1" applyAlignment="1">
      <alignment horizontal="center" vertical="center"/>
    </xf>
    <xf numFmtId="0" fontId="67" fillId="0" borderId="0" xfId="68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3" borderId="54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23" xfId="0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3" xfId="0" applyFill="1" applyBorder="1" applyAlignment="1">
      <alignment horizontal="right" vertical="center"/>
    </xf>
    <xf numFmtId="0" fontId="0" fillId="0" borderId="13" xfId="0" applyFill="1" applyBorder="1" applyAlignment="1">
      <alignment horizontal="right" vertical="center"/>
    </xf>
    <xf numFmtId="0" fontId="0" fillId="4" borderId="23" xfId="0" applyFill="1" applyBorder="1" applyAlignment="1">
      <alignment horizontal="right" vertical="center"/>
    </xf>
    <xf numFmtId="0" fontId="0" fillId="4" borderId="13" xfId="0" applyFill="1" applyBorder="1" applyAlignment="1">
      <alignment horizontal="right" vertical="center"/>
    </xf>
    <xf numFmtId="9" fontId="3" fillId="0" borderId="23" xfId="0" applyNumberFormat="1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9" fontId="3" fillId="4" borderId="2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76" fillId="4" borderId="1" xfId="0" applyFont="1" applyFill="1" applyBorder="1" applyAlignment="1">
      <alignment horizontal="center" vertical="center"/>
    </xf>
    <xf numFmtId="0" fontId="77" fillId="4" borderId="1" xfId="0" applyFont="1" applyFill="1" applyBorder="1" applyAlignment="1">
      <alignment horizontal="center" vertical="center"/>
    </xf>
    <xf numFmtId="0" fontId="77" fillId="4" borderId="23" xfId="0" applyFont="1" applyFill="1" applyBorder="1" applyAlignment="1">
      <alignment horizontal="center" vertical="center"/>
    </xf>
    <xf numFmtId="0" fontId="77" fillId="4" borderId="13" xfId="0" applyFont="1" applyFill="1" applyBorder="1" applyAlignment="1">
      <alignment horizontal="center" vertical="center"/>
    </xf>
    <xf numFmtId="0" fontId="76" fillId="3" borderId="71" xfId="0" applyFont="1" applyFill="1" applyBorder="1" applyAlignment="1">
      <alignment horizontal="center" vertical="center"/>
    </xf>
    <xf numFmtId="0" fontId="76" fillId="3" borderId="72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7" fillId="4" borderId="0" xfId="0" applyFont="1" applyFill="1" applyBorder="1" applyAlignment="1">
      <alignment horizontal="center" vertical="center"/>
    </xf>
    <xf numFmtId="0" fontId="77" fillId="4" borderId="74" xfId="0" applyFont="1" applyFill="1" applyBorder="1" applyAlignment="1">
      <alignment horizontal="center" vertical="center"/>
    </xf>
    <xf numFmtId="0" fontId="77" fillId="4" borderId="75" xfId="0" applyFont="1" applyFill="1" applyBorder="1" applyAlignment="1">
      <alignment horizontal="center" vertical="center"/>
    </xf>
    <xf numFmtId="0" fontId="77" fillId="4" borderId="76" xfId="0" applyFont="1" applyFill="1" applyBorder="1" applyAlignment="1">
      <alignment horizontal="center" vertical="center"/>
    </xf>
    <xf numFmtId="0" fontId="78" fillId="4" borderId="76" xfId="0" applyFont="1" applyFill="1" applyBorder="1" applyAlignment="1">
      <alignment horizontal="center" vertical="center"/>
    </xf>
    <xf numFmtId="0" fontId="78" fillId="4" borderId="77" xfId="0" applyFont="1" applyFill="1" applyBorder="1" applyAlignment="1">
      <alignment horizontal="center" vertical="center"/>
    </xf>
    <xf numFmtId="0" fontId="77" fillId="4" borderId="77" xfId="0" applyFont="1" applyFill="1" applyBorder="1" applyAlignment="1">
      <alignment horizontal="center" vertical="center"/>
    </xf>
    <xf numFmtId="0" fontId="77" fillId="4" borderId="78" xfId="0" applyFont="1" applyFill="1" applyBorder="1" applyAlignment="1">
      <alignment horizontal="center" vertical="center"/>
    </xf>
    <xf numFmtId="0" fontId="78" fillId="4" borderId="1" xfId="0" applyFont="1" applyFill="1" applyBorder="1" applyAlignment="1">
      <alignment horizontal="center" vertical="center"/>
    </xf>
    <xf numFmtId="0" fontId="77" fillId="4" borderId="79" xfId="0" applyFont="1" applyFill="1" applyBorder="1" applyAlignment="1">
      <alignment horizontal="center" vertical="center"/>
    </xf>
    <xf numFmtId="0" fontId="77" fillId="4" borderId="80" xfId="0" applyFont="1" applyFill="1" applyBorder="1" applyAlignment="1">
      <alignment horizontal="center" vertical="center"/>
    </xf>
    <xf numFmtId="0" fontId="77" fillId="4" borderId="2" xfId="0" applyFont="1" applyFill="1" applyBorder="1" applyAlignment="1">
      <alignment horizontal="center" vertical="center"/>
    </xf>
    <xf numFmtId="0" fontId="78" fillId="4" borderId="12" xfId="0" applyFont="1" applyFill="1" applyBorder="1" applyAlignment="1">
      <alignment horizontal="center" vertical="center"/>
    </xf>
    <xf numFmtId="0" fontId="77" fillId="4" borderId="12" xfId="0" applyFont="1" applyFill="1" applyBorder="1" applyAlignment="1">
      <alignment horizontal="center" vertical="center"/>
    </xf>
    <xf numFmtId="0" fontId="77" fillId="4" borderId="81" xfId="0" applyFont="1" applyFill="1" applyBorder="1" applyAlignment="1">
      <alignment horizontal="center" vertical="center"/>
    </xf>
    <xf numFmtId="0" fontId="77" fillId="4" borderId="82" xfId="0" applyFont="1" applyFill="1" applyBorder="1" applyAlignment="1">
      <alignment horizontal="center" vertical="center"/>
    </xf>
    <xf numFmtId="0" fontId="77" fillId="4" borderId="83" xfId="0" applyFont="1" applyFill="1" applyBorder="1" applyAlignment="1">
      <alignment horizontal="center" vertical="center"/>
    </xf>
    <xf numFmtId="0" fontId="77" fillId="4" borderId="84" xfId="0" applyFont="1" applyFill="1" applyBorder="1" applyAlignment="1">
      <alignment horizontal="center" vertical="center"/>
    </xf>
    <xf numFmtId="0" fontId="78" fillId="4" borderId="84" xfId="0" applyFont="1" applyFill="1" applyBorder="1" applyAlignment="1">
      <alignment horizontal="center" vertical="center"/>
    </xf>
    <xf numFmtId="0" fontId="77" fillId="4" borderId="62" xfId="0" applyFont="1" applyFill="1" applyBorder="1" applyAlignment="1">
      <alignment horizontal="center" vertical="center"/>
    </xf>
    <xf numFmtId="0" fontId="77" fillId="4" borderId="85" xfId="0" applyFont="1" applyFill="1" applyBorder="1" applyAlignment="1">
      <alignment horizontal="center" vertical="center"/>
    </xf>
    <xf numFmtId="0" fontId="77" fillId="4" borderId="66" xfId="0" applyFont="1" applyFill="1" applyBorder="1" applyAlignment="1">
      <alignment horizontal="center" vertical="center"/>
    </xf>
    <xf numFmtId="0" fontId="77" fillId="4" borderId="86" xfId="0" applyFont="1" applyFill="1" applyBorder="1" applyAlignment="1">
      <alignment horizontal="center" vertical="center"/>
    </xf>
    <xf numFmtId="0" fontId="78" fillId="4" borderId="62" xfId="0" applyFont="1" applyFill="1" applyBorder="1" applyAlignment="1">
      <alignment horizontal="center" vertical="center"/>
    </xf>
    <xf numFmtId="0" fontId="78" fillId="4" borderId="87" xfId="0" applyFont="1" applyFill="1" applyBorder="1" applyAlignment="1">
      <alignment horizontal="center" vertical="center"/>
    </xf>
    <xf numFmtId="0" fontId="77" fillId="4" borderId="87" xfId="0" applyFont="1" applyFill="1" applyBorder="1" applyAlignment="1">
      <alignment horizontal="center" vertical="center"/>
    </xf>
    <xf numFmtId="0" fontId="77" fillId="4" borderId="88" xfId="0" applyFont="1" applyFill="1" applyBorder="1" applyAlignment="1">
      <alignment horizontal="center" vertical="center"/>
    </xf>
    <xf numFmtId="0" fontId="77" fillId="4" borderId="70" xfId="0" applyFont="1" applyFill="1" applyBorder="1" applyAlignment="1">
      <alignment horizontal="center" vertical="center"/>
    </xf>
    <xf numFmtId="0" fontId="77" fillId="4" borderId="46" xfId="0" applyFont="1" applyFill="1" applyBorder="1" applyAlignment="1">
      <alignment horizontal="center" vertical="center"/>
    </xf>
    <xf numFmtId="0" fontId="79" fillId="4" borderId="64" xfId="0" applyFont="1" applyFill="1" applyBorder="1" applyAlignment="1">
      <alignment horizontal="center" vertical="center"/>
    </xf>
    <xf numFmtId="0" fontId="79" fillId="4" borderId="69" xfId="0" applyFont="1" applyFill="1" applyBorder="1" applyAlignment="1">
      <alignment horizontal="center" vertical="center"/>
    </xf>
    <xf numFmtId="0" fontId="79" fillId="4" borderId="65" xfId="0" applyFont="1" applyFill="1" applyBorder="1" applyAlignment="1">
      <alignment horizontal="center" vertical="center"/>
    </xf>
    <xf numFmtId="0" fontId="77" fillId="4" borderId="89" xfId="0" applyFont="1" applyFill="1" applyBorder="1" applyAlignment="1">
      <alignment horizontal="center" vertical="center"/>
    </xf>
    <xf numFmtId="0" fontId="79" fillId="4" borderId="66" xfId="0" applyFont="1" applyFill="1" applyBorder="1" applyAlignment="1">
      <alignment horizontal="center" vertical="center"/>
    </xf>
    <xf numFmtId="0" fontId="79" fillId="4" borderId="0" xfId="0" applyFont="1" applyFill="1" applyBorder="1" applyAlignment="1">
      <alignment horizontal="center" vertical="center"/>
    </xf>
    <xf numFmtId="0" fontId="79" fillId="4" borderId="67" xfId="0" applyFont="1" applyFill="1" applyBorder="1" applyAlignment="1">
      <alignment horizontal="center" vertical="center"/>
    </xf>
    <xf numFmtId="0" fontId="79" fillId="4" borderId="68" xfId="0" applyFont="1" applyFill="1" applyBorder="1" applyAlignment="1">
      <alignment horizontal="center" vertical="center"/>
    </xf>
    <xf numFmtId="0" fontId="79" fillId="4" borderId="70" xfId="0" applyFont="1" applyFill="1" applyBorder="1" applyAlignment="1">
      <alignment horizontal="center" vertical="center"/>
    </xf>
    <xf numFmtId="0" fontId="79" fillId="4" borderId="9" xfId="0" applyFont="1" applyFill="1" applyBorder="1" applyAlignment="1">
      <alignment horizontal="center" vertical="center"/>
    </xf>
    <xf numFmtId="0" fontId="77" fillId="4" borderId="90" xfId="0" applyFont="1" applyFill="1" applyBorder="1" applyAlignment="1">
      <alignment horizontal="center" vertical="center"/>
    </xf>
    <xf numFmtId="0" fontId="78" fillId="4" borderId="9" xfId="0" applyFont="1" applyFill="1" applyBorder="1" applyAlignment="1">
      <alignment horizontal="center" vertical="center"/>
    </xf>
    <xf numFmtId="0" fontId="77" fillId="4" borderId="68" xfId="0" applyFont="1" applyFill="1" applyBorder="1" applyAlignment="1">
      <alignment horizontal="center" vertical="center"/>
    </xf>
    <xf numFmtId="0" fontId="77" fillId="4" borderId="57" xfId="0" applyFont="1" applyFill="1" applyBorder="1" applyAlignment="1">
      <alignment horizontal="center" vertical="center"/>
    </xf>
    <xf numFmtId="0" fontId="77" fillId="4" borderId="65" xfId="0" applyFont="1" applyFill="1" applyBorder="1" applyAlignment="1">
      <alignment horizontal="center" vertical="center"/>
    </xf>
    <xf numFmtId="0" fontId="77" fillId="4" borderId="91" xfId="0" applyFont="1" applyFill="1" applyBorder="1" applyAlignment="1">
      <alignment horizontal="center" vertical="center"/>
    </xf>
    <xf numFmtId="0" fontId="77" fillId="4" borderId="92" xfId="0" applyFont="1" applyFill="1" applyBorder="1" applyAlignment="1">
      <alignment horizontal="center" vertical="center"/>
    </xf>
    <xf numFmtId="0" fontId="77" fillId="4" borderId="5" xfId="0" applyFont="1" applyFill="1" applyBorder="1" applyAlignment="1">
      <alignment horizontal="center" vertical="center"/>
    </xf>
    <xf numFmtId="0" fontId="77" fillId="4" borderId="93" xfId="0" applyFont="1" applyFill="1" applyBorder="1" applyAlignment="1">
      <alignment horizontal="center" vertical="center"/>
    </xf>
    <xf numFmtId="0" fontId="77" fillId="4" borderId="6" xfId="0" applyFont="1" applyFill="1" applyBorder="1" applyAlignment="1">
      <alignment horizontal="center" vertical="center"/>
    </xf>
    <xf numFmtId="0" fontId="77" fillId="4" borderId="94" xfId="0" applyFont="1" applyFill="1" applyBorder="1" applyAlignment="1">
      <alignment horizontal="center" vertical="center"/>
    </xf>
    <xf numFmtId="0" fontId="77" fillId="4" borderId="49" xfId="0" applyFont="1" applyFill="1" applyBorder="1" applyAlignment="1">
      <alignment horizontal="center" vertical="center"/>
    </xf>
    <xf numFmtId="0" fontId="77" fillId="4" borderId="9" xfId="0" applyFont="1" applyFill="1" applyBorder="1" applyAlignment="1">
      <alignment horizontal="center" vertical="center"/>
    </xf>
    <xf numFmtId="0" fontId="77" fillId="4" borderId="10" xfId="0" applyFont="1" applyFill="1" applyBorder="1" applyAlignment="1">
      <alignment horizontal="center" vertical="center"/>
    </xf>
    <xf numFmtId="0" fontId="77" fillId="4" borderId="95" xfId="0" applyFont="1" applyFill="1" applyBorder="1" applyAlignment="1">
      <alignment horizontal="center" vertical="center"/>
    </xf>
    <xf numFmtId="0" fontId="77" fillId="4" borderId="47" xfId="0" applyFont="1" applyFill="1" applyBorder="1" applyAlignment="1">
      <alignment horizontal="center" vertical="center"/>
    </xf>
    <xf numFmtId="0" fontId="77" fillId="4" borderId="14" xfId="0" applyFont="1" applyFill="1" applyBorder="1" applyAlignment="1">
      <alignment horizontal="center" vertical="center"/>
    </xf>
    <xf numFmtId="0" fontId="77" fillId="4" borderId="64" xfId="0" applyFont="1" applyFill="1" applyBorder="1" applyAlignment="1">
      <alignment horizontal="center" vertical="center"/>
    </xf>
    <xf numFmtId="0" fontId="77" fillId="4" borderId="52" xfId="0" applyFont="1" applyFill="1" applyBorder="1" applyAlignment="1">
      <alignment horizontal="center" vertical="center"/>
    </xf>
    <xf numFmtId="0" fontId="77" fillId="4" borderId="96" xfId="0" applyFont="1" applyFill="1" applyBorder="1" applyAlignment="1">
      <alignment horizontal="center" vertical="center"/>
    </xf>
    <xf numFmtId="0" fontId="77" fillId="4" borderId="97" xfId="0" applyFont="1" applyFill="1" applyBorder="1" applyAlignment="1">
      <alignment horizontal="center" vertical="center"/>
    </xf>
    <xf numFmtId="0" fontId="77" fillId="4" borderId="17" xfId="0" applyFont="1" applyFill="1" applyBorder="1" applyAlignment="1">
      <alignment horizontal="center" vertical="center"/>
    </xf>
    <xf numFmtId="0" fontId="77" fillId="4" borderId="22" xfId="0" applyFont="1" applyFill="1" applyBorder="1" applyAlignment="1">
      <alignment horizontal="center" vertical="center"/>
    </xf>
    <xf numFmtId="0" fontId="77" fillId="4" borderId="18" xfId="0" applyFont="1" applyFill="1" applyBorder="1" applyAlignment="1">
      <alignment horizontal="center" vertical="center"/>
    </xf>
    <xf numFmtId="0" fontId="80" fillId="0" borderId="70" xfId="0" applyFont="1" applyBorder="1" applyAlignment="1">
      <alignment vertical="center"/>
    </xf>
    <xf numFmtId="0" fontId="24" fillId="0" borderId="70" xfId="0" applyFont="1" applyBorder="1" applyAlignment="1">
      <alignment vertical="center"/>
    </xf>
    <xf numFmtId="0" fontId="80" fillId="0" borderId="0" xfId="0" applyFont="1" applyAlignment="1">
      <alignment horizontal="center" vertical="center"/>
    </xf>
    <xf numFmtId="0" fontId="24" fillId="0" borderId="64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0" fillId="0" borderId="23" xfId="0" applyFont="1" applyBorder="1" applyAlignment="1">
      <alignment horizontal="center" vertical="center"/>
    </xf>
    <xf numFmtId="0" fontId="80" fillId="0" borderId="54" xfId="0" applyFont="1" applyBorder="1" applyAlignment="1">
      <alignment horizontal="center" vertical="center"/>
    </xf>
    <xf numFmtId="0" fontId="80" fillId="0" borderId="13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4" fillId="0" borderId="0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80" fillId="0" borderId="64" xfId="0" applyFont="1" applyBorder="1" applyAlignment="1">
      <alignment horizontal="center" vertical="center"/>
    </xf>
    <xf numFmtId="0" fontId="80" fillId="0" borderId="69" xfId="0" applyFont="1" applyBorder="1" applyAlignment="1">
      <alignment horizontal="center" vertical="center"/>
    </xf>
    <xf numFmtId="0" fontId="80" fillId="0" borderId="65" xfId="0" applyFont="1" applyBorder="1" applyAlignment="1">
      <alignment horizontal="center" vertical="center"/>
    </xf>
    <xf numFmtId="9" fontId="24" fillId="0" borderId="23" xfId="0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9" fontId="80" fillId="0" borderId="23" xfId="0" applyNumberFormat="1" applyFont="1" applyBorder="1" applyAlignment="1">
      <alignment horizontal="center" vertical="center"/>
    </xf>
    <xf numFmtId="49" fontId="80" fillId="0" borderId="1" xfId="0" applyNumberFormat="1" applyFont="1" applyBorder="1" applyAlignment="1">
      <alignment horizontal="center" vertical="center"/>
    </xf>
    <xf numFmtId="0" fontId="80" fillId="0" borderId="0" xfId="0" applyFont="1" applyBorder="1" applyAlignment="1">
      <alignment vertical="center"/>
    </xf>
    <xf numFmtId="0" fontId="24" fillId="0" borderId="57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/>
    </xf>
    <xf numFmtId="0" fontId="24" fillId="0" borderId="90" xfId="0" applyFont="1" applyBorder="1" applyAlignment="1">
      <alignment horizontal="center" vertical="center"/>
    </xf>
    <xf numFmtId="9" fontId="24" fillId="0" borderId="54" xfId="0" applyNumberFormat="1" applyFont="1" applyBorder="1" applyAlignment="1">
      <alignment horizontal="center" vertical="center"/>
    </xf>
    <xf numFmtId="9" fontId="24" fillId="0" borderId="1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9" fontId="80" fillId="0" borderId="54" xfId="0" applyNumberFormat="1" applyFont="1" applyBorder="1" applyAlignment="1">
      <alignment horizontal="center" vertical="center"/>
    </xf>
    <xf numFmtId="9" fontId="80" fillId="0" borderId="13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</cellXfs>
  <cellStyles count="1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百分比 2 3" xfId="51"/>
    <cellStyle name="百分比 3" xfId="52"/>
    <cellStyle name="百分比 3 2" xfId="53"/>
    <cellStyle name="百分比 3 3" xfId="54"/>
    <cellStyle name="百分比 4" xfId="55"/>
    <cellStyle name="百分比 4 2" xfId="56"/>
    <cellStyle name="百分比 4 3" xfId="57"/>
    <cellStyle name="常规 10" xfId="58"/>
    <cellStyle name="常规 10 5" xfId="59"/>
    <cellStyle name="常规 10 5 2" xfId="60"/>
    <cellStyle name="常规 10 5 3" xfId="61"/>
    <cellStyle name="常规 11" xfId="62"/>
    <cellStyle name="常规 12" xfId="63"/>
    <cellStyle name="常规 12 2" xfId="64"/>
    <cellStyle name="常规 12 2 2" xfId="65"/>
    <cellStyle name="常规 12 2 3" xfId="66"/>
    <cellStyle name="常规 13" xfId="67"/>
    <cellStyle name="常规 15" xfId="68"/>
    <cellStyle name="常规 15 2" xfId="69"/>
    <cellStyle name="常规 15 2 2" xfId="70"/>
    <cellStyle name="常规 15 2 2 2" xfId="71"/>
    <cellStyle name="常规 15 2 2 3" xfId="72"/>
    <cellStyle name="常规 15 3" xfId="73"/>
    <cellStyle name="常规 2" xfId="74"/>
    <cellStyle name="常规 2 2" xfId="75"/>
    <cellStyle name="常规 2 2 2" xfId="76"/>
    <cellStyle name="常规 2 2 2 2" xfId="77"/>
    <cellStyle name="常规 2 2 2 2 2" xfId="78"/>
    <cellStyle name="常规 2 2 2 2 3" xfId="79"/>
    <cellStyle name="常规 2 2 2 3" xfId="80"/>
    <cellStyle name="常规 2 2 2 4" xfId="81"/>
    <cellStyle name="常规 2 2 3" xfId="82"/>
    <cellStyle name="常规 2 2 4" xfId="83"/>
    <cellStyle name="常规 2 3" xfId="84"/>
    <cellStyle name="常规 2 3 2" xfId="85"/>
    <cellStyle name="常规 2 3 3" xfId="86"/>
    <cellStyle name="常规 2 4" xfId="87"/>
    <cellStyle name="常规 2 4 2" xfId="88"/>
    <cellStyle name="常规 2 4 3" xfId="89"/>
    <cellStyle name="常规 2 5" xfId="90"/>
    <cellStyle name="常规 2 5 2" xfId="91"/>
    <cellStyle name="常规 2 5 3" xfId="92"/>
    <cellStyle name="常规 2 6" xfId="93"/>
    <cellStyle name="常规 2 6 2" xfId="94"/>
    <cellStyle name="常规 2 6 3" xfId="95"/>
    <cellStyle name="常规 2 7" xfId="96"/>
    <cellStyle name="常规 2 8" xfId="97"/>
    <cellStyle name="常规 3" xfId="98"/>
    <cellStyle name="常规 3 2" xfId="99"/>
    <cellStyle name="常规 3 2 2" xfId="100"/>
    <cellStyle name="常规 3 2 2 2" xfId="101"/>
    <cellStyle name="常规 3 2 2 3" xfId="102"/>
    <cellStyle name="常规 3 2 3" xfId="103"/>
    <cellStyle name="常规 3 2 4" xfId="104"/>
    <cellStyle name="常规 3 3" xfId="105"/>
    <cellStyle name="常规 3 3 4" xfId="106"/>
    <cellStyle name="常规 3 3 4 2" xfId="107"/>
    <cellStyle name="常规 3 3 4 3" xfId="108"/>
    <cellStyle name="常规 3 4" xfId="109"/>
    <cellStyle name="常规 4" xfId="110"/>
    <cellStyle name="常规 4 2" xfId="111"/>
    <cellStyle name="常规 4 3" xfId="112"/>
    <cellStyle name="常规 5" xfId="113"/>
    <cellStyle name="常规 5 2" xfId="114"/>
    <cellStyle name="常规 5 2 2" xfId="115"/>
    <cellStyle name="常规 5 2 3" xfId="116"/>
    <cellStyle name="常规 5 3" xfId="117"/>
    <cellStyle name="常规 5 4" xfId="118"/>
    <cellStyle name="常规 6" xfId="119"/>
    <cellStyle name="常规 6 2" xfId="120"/>
    <cellStyle name="常规 6 3" xfId="121"/>
    <cellStyle name="常规 7" xfId="122"/>
    <cellStyle name="常规 7 2" xfId="123"/>
    <cellStyle name="常规 7 3" xfId="124"/>
    <cellStyle name="常规 8" xfId="125"/>
    <cellStyle name="常规 9" xfId="126"/>
    <cellStyle name="常规 9 2" xfId="127"/>
    <cellStyle name="常规 9 3" xfId="128"/>
  </cellStyles>
  <tableStyles count="0" defaultTableStyle="TableStyleMedium2" defaultPivotStyle="PivotStyleLight16"/>
  <colors>
    <mruColors>
      <color rgb="009E5ECE"/>
      <color rgb="00B483D9"/>
      <color rgb="00FFC7CE"/>
      <color rgb="00F83A4C"/>
      <color rgb="00F9CDD3"/>
      <color rgb="00FF0000"/>
      <color rgb="00FD0707"/>
      <color rgb="00F84253"/>
      <color rgb="00FF0D0D"/>
      <color rgb="00EE081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16"/>
  <sheetViews>
    <sheetView zoomScale="85" zoomScaleNormal="85" topLeftCell="A75" workbookViewId="0">
      <selection activeCell="C110" sqref="C110"/>
    </sheetView>
  </sheetViews>
  <sheetFormatPr defaultColWidth="9" defaultRowHeight="20.1" customHeight="1"/>
  <cols>
    <col min="1" max="2" width="9" style="41"/>
    <col min="3" max="8" width="15.625" style="41" customWidth="1"/>
    <col min="9" max="9" width="5.625" style="41" customWidth="1"/>
    <col min="10" max="10" width="16.625" style="41" customWidth="1"/>
    <col min="11" max="13" width="15.625" style="41" customWidth="1"/>
    <col min="14" max="16384" width="9" style="41"/>
  </cols>
  <sheetData>
    <row r="2" customHeight="1" spans="2:11">
      <c r="C2" s="41">
        <v>10</v>
      </c>
      <c r="D2" s="41">
        <v>9</v>
      </c>
      <c r="E2" s="41">
        <v>7</v>
      </c>
      <c r="F2" s="41">
        <v>5</v>
      </c>
      <c r="I2" s="545"/>
    </row>
    <row r="3" customHeight="1" spans="2:11">
      <c r="B3" s="41" t="s">
        <v>0</v>
      </c>
      <c r="C3" s="41" t="s">
        <v>1</v>
      </c>
      <c r="D3" s="41" t="s">
        <v>1</v>
      </c>
      <c r="E3" s="845" t="s">
        <v>2</v>
      </c>
      <c r="F3" s="845" t="s">
        <v>3</v>
      </c>
      <c r="I3" s="545"/>
      <c r="J3" s="846" t="s">
        <v>4</v>
      </c>
      <c r="K3" s="847" t="s">
        <v>5</v>
      </c>
    </row>
    <row r="4" customHeight="1" spans="2:11">
      <c r="B4" s="41" t="s">
        <v>6</v>
      </c>
      <c r="C4" s="41" t="s">
        <v>1</v>
      </c>
      <c r="D4" s="845" t="s">
        <v>7</v>
      </c>
      <c r="E4" s="848" t="s">
        <v>8</v>
      </c>
      <c r="F4" s="848" t="s">
        <v>9</v>
      </c>
      <c r="I4" s="545"/>
      <c r="J4" s="849">
        <v>56</v>
      </c>
      <c r="K4" s="549" t="s">
        <v>10</v>
      </c>
    </row>
    <row r="5" customHeight="1" spans="2:11">
      <c r="B5" s="41" t="s">
        <v>11</v>
      </c>
      <c r="C5" s="41" t="s">
        <v>1</v>
      </c>
      <c r="D5" s="848" t="s">
        <v>12</v>
      </c>
      <c r="E5" s="848" t="s">
        <v>13</v>
      </c>
      <c r="F5" s="848" t="s">
        <v>14</v>
      </c>
      <c r="I5" s="545"/>
      <c r="J5" s="850">
        <v>55</v>
      </c>
      <c r="K5" s="851" t="s">
        <v>15</v>
      </c>
    </row>
    <row r="6" customHeight="1" spans="2:11">
      <c r="B6" s="41" t="s">
        <v>16</v>
      </c>
      <c r="C6" s="41" t="s">
        <v>1</v>
      </c>
      <c r="D6" s="852" t="s">
        <v>17</v>
      </c>
      <c r="E6" s="848" t="s">
        <v>18</v>
      </c>
      <c r="F6" s="848" t="s">
        <v>19</v>
      </c>
      <c r="I6" s="545"/>
      <c r="J6" s="850">
        <v>54</v>
      </c>
      <c r="K6" s="851" t="s">
        <v>20</v>
      </c>
    </row>
    <row r="7" customHeight="1" spans="2:11">
      <c r="B7" s="41" t="s">
        <v>21</v>
      </c>
      <c r="C7" s="41" t="s">
        <v>1</v>
      </c>
      <c r="D7" s="41" t="s">
        <v>1</v>
      </c>
      <c r="E7" s="852" t="s">
        <v>22</v>
      </c>
      <c r="F7" s="852" t="s">
        <v>23</v>
      </c>
      <c r="I7" s="545"/>
      <c r="J7" s="850">
        <v>53</v>
      </c>
      <c r="K7" s="851" t="s">
        <v>24</v>
      </c>
    </row>
    <row r="8" customHeight="1" spans="2:11">
      <c r="B8" s="41" t="s">
        <v>25</v>
      </c>
      <c r="C8" s="41" t="s">
        <v>1</v>
      </c>
      <c r="D8" s="41" t="s">
        <v>1</v>
      </c>
      <c r="E8" s="845" t="s">
        <v>2</v>
      </c>
      <c r="F8" s="845" t="s">
        <v>3</v>
      </c>
      <c r="I8" s="545"/>
      <c r="J8" s="850">
        <v>52</v>
      </c>
      <c r="K8" s="851" t="s">
        <v>26</v>
      </c>
    </row>
    <row r="9" customHeight="1" spans="2:11">
      <c r="B9" s="41" t="s">
        <v>27</v>
      </c>
      <c r="C9" s="41" t="s">
        <v>1</v>
      </c>
      <c r="D9" s="853" t="s">
        <v>28</v>
      </c>
      <c r="E9" s="848" t="s">
        <v>8</v>
      </c>
      <c r="F9" s="848" t="s">
        <v>9</v>
      </c>
      <c r="I9" s="545"/>
      <c r="J9" s="850">
        <v>51</v>
      </c>
      <c r="K9" s="851" t="s">
        <v>29</v>
      </c>
    </row>
    <row r="10" customHeight="1" spans="2:11">
      <c r="B10" s="41" t="s">
        <v>30</v>
      </c>
      <c r="C10" s="41" t="s">
        <v>1</v>
      </c>
      <c r="D10" s="854" t="s">
        <v>31</v>
      </c>
      <c r="E10" s="848" t="s">
        <v>13</v>
      </c>
      <c r="F10" s="848" t="s">
        <v>14</v>
      </c>
      <c r="I10" s="545"/>
      <c r="J10" s="850">
        <v>50</v>
      </c>
      <c r="K10" s="851" t="s">
        <v>32</v>
      </c>
    </row>
    <row r="11" customHeight="1" spans="2:11">
      <c r="B11" s="41" t="s">
        <v>33</v>
      </c>
      <c r="C11" s="41" t="s">
        <v>1</v>
      </c>
      <c r="D11" s="855" t="s">
        <v>34</v>
      </c>
      <c r="E11" s="852" t="s">
        <v>18</v>
      </c>
      <c r="F11" s="852" t="s">
        <v>19</v>
      </c>
      <c r="I11" s="545"/>
      <c r="J11" s="850">
        <v>49</v>
      </c>
      <c r="K11" s="851" t="s">
        <v>13</v>
      </c>
    </row>
    <row r="12" customHeight="1" spans="2:11">
      <c r="B12" s="41" t="s">
        <v>35</v>
      </c>
      <c r="C12" s="41" t="s">
        <v>1</v>
      </c>
      <c r="D12" s="845" t="s">
        <v>36</v>
      </c>
      <c r="E12" s="853" t="s">
        <v>37</v>
      </c>
      <c r="F12" s="845" t="s">
        <v>38</v>
      </c>
      <c r="I12" s="545"/>
      <c r="J12" s="850">
        <v>48</v>
      </c>
      <c r="K12" s="851" t="s">
        <v>39</v>
      </c>
    </row>
    <row r="13" customHeight="1" spans="2:11">
      <c r="B13" s="41" t="s">
        <v>40</v>
      </c>
      <c r="C13" s="41" t="s">
        <v>1</v>
      </c>
      <c r="D13" s="848" t="s">
        <v>41</v>
      </c>
      <c r="E13" s="854" t="s">
        <v>42</v>
      </c>
      <c r="F13" s="848" t="s">
        <v>43</v>
      </c>
      <c r="I13" s="545"/>
      <c r="J13" s="850">
        <v>47</v>
      </c>
      <c r="K13" s="851" t="s">
        <v>44</v>
      </c>
    </row>
    <row r="14" customHeight="1" spans="2:11">
      <c r="B14" s="41" t="s">
        <v>45</v>
      </c>
      <c r="C14" s="41" t="s">
        <v>1</v>
      </c>
      <c r="D14" s="848" t="s">
        <v>46</v>
      </c>
      <c r="E14" s="854" t="s">
        <v>47</v>
      </c>
      <c r="F14" s="848" t="s">
        <v>48</v>
      </c>
      <c r="I14" s="545"/>
      <c r="J14" s="850">
        <v>46</v>
      </c>
      <c r="K14" s="851" t="s">
        <v>49</v>
      </c>
    </row>
    <row r="15" customHeight="1" spans="2:11">
      <c r="B15" s="41" t="s">
        <v>50</v>
      </c>
      <c r="C15" s="41" t="s">
        <v>1</v>
      </c>
      <c r="D15" s="848" t="s">
        <v>51</v>
      </c>
      <c r="E15" s="854" t="s">
        <v>52</v>
      </c>
      <c r="F15" s="848" t="s">
        <v>53</v>
      </c>
      <c r="I15" s="545"/>
      <c r="J15" s="850">
        <v>45</v>
      </c>
      <c r="K15" s="851" t="s">
        <v>54</v>
      </c>
    </row>
    <row r="16" customHeight="1" spans="2:11">
      <c r="B16" s="41" t="s">
        <v>55</v>
      </c>
      <c r="C16" s="41" t="s">
        <v>1</v>
      </c>
      <c r="D16" s="848" t="s">
        <v>56</v>
      </c>
      <c r="E16" s="855" t="s">
        <v>57</v>
      </c>
      <c r="F16" s="848" t="s">
        <v>58</v>
      </c>
      <c r="I16" s="545"/>
      <c r="J16" s="850">
        <v>44</v>
      </c>
      <c r="K16" s="851" t="s">
        <v>59</v>
      </c>
    </row>
    <row r="17" customHeight="1" spans="2:11">
      <c r="B17" s="41" t="s">
        <v>60</v>
      </c>
      <c r="C17" s="41" t="s">
        <v>1</v>
      </c>
      <c r="D17" s="854" t="s">
        <v>61</v>
      </c>
      <c r="E17" s="845" t="s">
        <v>37</v>
      </c>
      <c r="F17" s="856" t="s">
        <v>62</v>
      </c>
      <c r="I17" s="545"/>
      <c r="J17" s="850">
        <v>43</v>
      </c>
      <c r="K17" s="851" t="s">
        <v>63</v>
      </c>
    </row>
    <row r="18" customHeight="1" spans="2:11">
      <c r="B18" s="41" t="s">
        <v>64</v>
      </c>
      <c r="C18" s="41" t="s">
        <v>1</v>
      </c>
      <c r="D18" s="855" t="s">
        <v>65</v>
      </c>
      <c r="E18" s="848" t="s">
        <v>42</v>
      </c>
      <c r="F18" s="857" t="s">
        <v>66</v>
      </c>
      <c r="I18" s="545"/>
      <c r="J18" s="850">
        <v>42</v>
      </c>
      <c r="K18" s="851" t="s">
        <v>67</v>
      </c>
    </row>
    <row r="19" customHeight="1" spans="2:11">
      <c r="B19" s="41" t="s">
        <v>68</v>
      </c>
      <c r="C19" s="41" t="s">
        <v>1</v>
      </c>
      <c r="D19" s="845" t="s">
        <v>36</v>
      </c>
      <c r="E19" s="229" t="s">
        <v>47</v>
      </c>
      <c r="F19" s="845" t="s">
        <v>38</v>
      </c>
      <c r="I19" s="545"/>
      <c r="J19" s="850">
        <v>41</v>
      </c>
      <c r="K19" s="851" t="s">
        <v>69</v>
      </c>
    </row>
    <row r="20" customHeight="1" spans="2:11">
      <c r="B20" s="41" t="s">
        <v>70</v>
      </c>
      <c r="C20" s="853" t="s">
        <v>28</v>
      </c>
      <c r="D20" s="848" t="s">
        <v>41</v>
      </c>
      <c r="E20" s="229" t="s">
        <v>52</v>
      </c>
      <c r="F20" s="848" t="s">
        <v>43</v>
      </c>
      <c r="I20" s="545"/>
      <c r="J20" s="850">
        <v>40</v>
      </c>
      <c r="K20" s="851" t="s">
        <v>71</v>
      </c>
    </row>
    <row r="21" customHeight="1" spans="2:11">
      <c r="B21" s="41" t="s">
        <v>72</v>
      </c>
      <c r="C21" s="854" t="s">
        <v>31</v>
      </c>
      <c r="D21" s="848" t="s">
        <v>46</v>
      </c>
      <c r="E21" s="858" t="s">
        <v>57</v>
      </c>
      <c r="F21" s="848" t="s">
        <v>48</v>
      </c>
      <c r="I21" s="545"/>
      <c r="J21" s="850">
        <v>39</v>
      </c>
      <c r="K21" s="851" t="s">
        <v>73</v>
      </c>
    </row>
    <row r="22" customHeight="1" spans="2:11">
      <c r="B22" s="41" t="s">
        <v>74</v>
      </c>
      <c r="C22" s="854" t="s">
        <v>34</v>
      </c>
      <c r="D22" s="852" t="s">
        <v>51</v>
      </c>
      <c r="E22" s="41" t="s">
        <v>37</v>
      </c>
      <c r="F22" s="848" t="s">
        <v>53</v>
      </c>
      <c r="I22" s="545"/>
      <c r="J22" s="850">
        <v>38</v>
      </c>
      <c r="K22" s="851" t="s">
        <v>18</v>
      </c>
    </row>
    <row r="23" customHeight="1" spans="2:11">
      <c r="B23" s="41" t="s">
        <v>75</v>
      </c>
      <c r="C23" s="854" t="s">
        <v>7</v>
      </c>
      <c r="D23" s="729" t="s">
        <v>12</v>
      </c>
      <c r="E23" s="13" t="s">
        <v>56</v>
      </c>
      <c r="F23" s="848" t="s">
        <v>58</v>
      </c>
      <c r="I23" s="545"/>
      <c r="J23" s="850">
        <v>37</v>
      </c>
      <c r="K23" s="851" t="s">
        <v>19</v>
      </c>
    </row>
    <row r="24" customHeight="1" spans="2:11">
      <c r="B24" s="41" t="s">
        <v>76</v>
      </c>
      <c r="C24" s="855" t="s">
        <v>17</v>
      </c>
      <c r="D24" s="845" t="s">
        <v>61</v>
      </c>
      <c r="E24" s="41" t="s">
        <v>42</v>
      </c>
      <c r="F24" s="848" t="s">
        <v>62</v>
      </c>
      <c r="H24" s="178"/>
      <c r="I24" s="545"/>
      <c r="J24" s="850">
        <v>36</v>
      </c>
      <c r="K24" s="851" t="s">
        <v>67</v>
      </c>
    </row>
    <row r="25" customHeight="1" spans="2:11">
      <c r="B25" s="41" t="s">
        <v>77</v>
      </c>
      <c r="C25" s="859" t="s">
        <v>78</v>
      </c>
      <c r="D25" s="852" t="s">
        <v>65</v>
      </c>
      <c r="E25" s="41" t="s">
        <v>47</v>
      </c>
      <c r="F25" s="852" t="s">
        <v>66</v>
      </c>
      <c r="I25" s="545"/>
      <c r="J25" s="850">
        <v>35</v>
      </c>
      <c r="K25" s="851" t="s">
        <v>63</v>
      </c>
    </row>
    <row r="26" customHeight="1" spans="2:11">
      <c r="B26" s="41" t="s">
        <v>79</v>
      </c>
      <c r="C26" s="859" t="s">
        <v>51</v>
      </c>
      <c r="D26" s="860" t="s">
        <v>36</v>
      </c>
      <c r="E26" s="848" t="s">
        <v>52</v>
      </c>
      <c r="F26" s="229" t="s">
        <v>38</v>
      </c>
      <c r="I26" s="545"/>
      <c r="J26" s="850">
        <v>34</v>
      </c>
      <c r="K26" s="851" t="s">
        <v>69</v>
      </c>
    </row>
    <row r="27" customHeight="1" spans="2:11">
      <c r="B27" s="41" t="s">
        <v>80</v>
      </c>
      <c r="C27" s="859" t="s">
        <v>43</v>
      </c>
      <c r="D27" s="856" t="s">
        <v>41</v>
      </c>
      <c r="E27" s="852" t="s">
        <v>57</v>
      </c>
      <c r="F27" s="229" t="s">
        <v>43</v>
      </c>
      <c r="I27" s="545"/>
      <c r="J27" s="850">
        <v>33</v>
      </c>
      <c r="K27" s="851" t="s">
        <v>67</v>
      </c>
    </row>
    <row r="28" customHeight="1" spans="2:11">
      <c r="B28" s="41" t="s">
        <v>81</v>
      </c>
      <c r="C28" s="859" t="s">
        <v>38</v>
      </c>
      <c r="D28" s="229" t="s">
        <v>46</v>
      </c>
      <c r="E28" s="229" t="s">
        <v>37</v>
      </c>
      <c r="F28" s="229" t="s">
        <v>48</v>
      </c>
      <c r="I28" s="545"/>
      <c r="J28" s="850">
        <v>32</v>
      </c>
      <c r="K28" s="851" t="s">
        <v>63</v>
      </c>
    </row>
    <row r="29" customHeight="1" spans="2:11">
      <c r="B29" s="41" t="s">
        <v>82</v>
      </c>
      <c r="C29" s="859" t="s">
        <v>83</v>
      </c>
      <c r="D29" s="861" t="s">
        <v>84</v>
      </c>
      <c r="E29" s="861" t="s">
        <v>85</v>
      </c>
      <c r="F29" s="861" t="s">
        <v>86</v>
      </c>
      <c r="I29" s="545"/>
      <c r="J29" s="850">
        <v>31</v>
      </c>
      <c r="K29" s="851" t="s">
        <v>69</v>
      </c>
    </row>
    <row r="30" customHeight="1" spans="2:11">
      <c r="B30" s="41" t="s">
        <v>87</v>
      </c>
      <c r="C30" s="845" t="s">
        <v>28</v>
      </c>
      <c r="D30" s="861" t="s">
        <v>88</v>
      </c>
      <c r="E30" s="861" t="s">
        <v>89</v>
      </c>
      <c r="F30" s="861" t="s">
        <v>90</v>
      </c>
      <c r="I30" s="545"/>
      <c r="J30" s="850">
        <v>30</v>
      </c>
      <c r="K30" s="851" t="s">
        <v>9</v>
      </c>
    </row>
    <row r="31" customHeight="1" spans="2:11">
      <c r="B31" s="41" t="s">
        <v>91</v>
      </c>
      <c r="C31" s="848" t="s">
        <v>31</v>
      </c>
      <c r="D31" s="861" t="s">
        <v>92</v>
      </c>
      <c r="E31" s="861" t="s">
        <v>93</v>
      </c>
      <c r="F31" s="861" t="s">
        <v>94</v>
      </c>
      <c r="I31" s="545"/>
      <c r="J31" s="862">
        <v>29</v>
      </c>
      <c r="K31" s="863" t="s">
        <v>2</v>
      </c>
    </row>
    <row r="32" customHeight="1" spans="2:11">
      <c r="B32" s="41" t="s">
        <v>95</v>
      </c>
      <c r="C32" s="852" t="s">
        <v>34</v>
      </c>
      <c r="D32" s="861" t="s">
        <v>96</v>
      </c>
      <c r="E32" s="861" t="s">
        <v>97</v>
      </c>
      <c r="F32" s="861" t="s">
        <v>98</v>
      </c>
      <c r="I32" s="545"/>
      <c r="J32" s="548">
        <v>28</v>
      </c>
      <c r="K32" s="864" t="s">
        <v>99</v>
      </c>
    </row>
    <row r="33" customHeight="1" spans="2:14">
      <c r="B33" s="41" t="s">
        <v>100</v>
      </c>
      <c r="C33" s="859" t="s">
        <v>66</v>
      </c>
      <c r="D33" s="861" t="s">
        <v>86</v>
      </c>
      <c r="E33" s="861" t="s">
        <v>93</v>
      </c>
      <c r="F33" s="865" t="s">
        <v>101</v>
      </c>
      <c r="I33"/>
      <c r="J33" s="866">
        <v>27</v>
      </c>
      <c r="K33" s="867" t="s">
        <v>3</v>
      </c>
      <c r="L33"/>
      <c r="M33"/>
      <c r="N33"/>
    </row>
    <row r="34" customHeight="1" spans="2:14">
      <c r="B34" s="41" t="s">
        <v>102</v>
      </c>
      <c r="C34" s="853" t="s">
        <v>7</v>
      </c>
      <c r="D34" s="729" t="s">
        <v>12</v>
      </c>
      <c r="E34" s="865" t="s">
        <v>103</v>
      </c>
      <c r="F34" s="861" t="s">
        <v>90</v>
      </c>
      <c r="I34"/>
      <c r="J34" s="866">
        <v>26</v>
      </c>
      <c r="K34" s="867" t="s">
        <v>14</v>
      </c>
      <c r="L34"/>
      <c r="M34"/>
      <c r="N34"/>
    </row>
    <row r="35" customHeight="1" spans="2:14">
      <c r="B35" s="41" t="s">
        <v>104</v>
      </c>
      <c r="C35" s="852" t="s">
        <v>17</v>
      </c>
      <c r="D35" s="861" t="s">
        <v>97</v>
      </c>
      <c r="E35" s="865" t="s">
        <v>101</v>
      </c>
      <c r="F35" s="865" t="s">
        <v>105</v>
      </c>
      <c r="I35"/>
      <c r="J35" s="866">
        <v>25</v>
      </c>
      <c r="K35" s="867" t="s">
        <v>106</v>
      </c>
      <c r="L35"/>
      <c r="M35"/>
      <c r="N35"/>
    </row>
    <row r="36" customHeight="1" spans="2:14">
      <c r="B36" s="41" t="s">
        <v>107</v>
      </c>
      <c r="C36" s="859" t="s">
        <v>56</v>
      </c>
      <c r="D36" s="865" t="s">
        <v>108</v>
      </c>
      <c r="E36" s="861" t="s">
        <v>94</v>
      </c>
      <c r="F36" s="865" t="s">
        <v>109</v>
      </c>
      <c r="I36"/>
      <c r="J36" s="866">
        <v>24</v>
      </c>
      <c r="K36" s="867" t="s">
        <v>110</v>
      </c>
      <c r="L36"/>
      <c r="M36"/>
      <c r="N36"/>
    </row>
    <row r="37" customHeight="1" spans="2:14">
      <c r="B37" s="41" t="s">
        <v>111</v>
      </c>
      <c r="C37" s="859" t="s">
        <v>112</v>
      </c>
      <c r="D37" s="865" t="s">
        <v>113</v>
      </c>
      <c r="E37" s="861" t="s">
        <v>85</v>
      </c>
      <c r="F37" s="861" t="s">
        <v>84</v>
      </c>
      <c r="I37"/>
      <c r="J37" s="866">
        <v>23</v>
      </c>
      <c r="K37" s="867" t="s">
        <v>65</v>
      </c>
      <c r="L37"/>
      <c r="M37"/>
      <c r="N37"/>
    </row>
    <row r="38" customHeight="1" spans="2:14">
      <c r="B38" s="41" t="s">
        <v>114</v>
      </c>
      <c r="C38" s="859" t="s">
        <v>115</v>
      </c>
      <c r="D38" s="865" t="s">
        <v>116</v>
      </c>
      <c r="E38" s="865" t="s">
        <v>98</v>
      </c>
      <c r="F38" s="861" t="s">
        <v>93</v>
      </c>
      <c r="I38"/>
      <c r="J38" s="866">
        <v>22</v>
      </c>
      <c r="K38" s="867" t="s">
        <v>117</v>
      </c>
      <c r="L38"/>
      <c r="M38"/>
      <c r="N38"/>
    </row>
    <row r="39" customHeight="1" spans="2:14">
      <c r="B39" s="41" t="s">
        <v>118</v>
      </c>
      <c r="C39" s="859" t="s">
        <v>119</v>
      </c>
      <c r="D39" s="865" t="s">
        <v>120</v>
      </c>
      <c r="E39" s="861" t="s">
        <v>89</v>
      </c>
      <c r="F39" s="865" t="s">
        <v>103</v>
      </c>
      <c r="I39"/>
      <c r="J39" s="866">
        <v>21</v>
      </c>
      <c r="K39" s="867" t="s">
        <v>121</v>
      </c>
      <c r="L39"/>
      <c r="M39"/>
      <c r="N39"/>
    </row>
    <row r="40" customHeight="1" spans="2:14">
      <c r="B40" s="41" t="s">
        <v>122</v>
      </c>
      <c r="C40" s="859" t="s">
        <v>123</v>
      </c>
      <c r="D40" s="865" t="s">
        <v>109</v>
      </c>
      <c r="E40" s="865" t="s">
        <v>113</v>
      </c>
      <c r="F40" s="861" t="s">
        <v>84</v>
      </c>
      <c r="I40"/>
      <c r="J40" s="866">
        <v>20</v>
      </c>
      <c r="K40" s="867" t="s">
        <v>66</v>
      </c>
      <c r="L40"/>
      <c r="M40"/>
      <c r="N40"/>
    </row>
    <row r="41" customHeight="1" spans="2:14">
      <c r="B41"/>
      <c r="C41"/>
      <c r="D41"/>
      <c r="E41"/>
      <c r="F41"/>
      <c r="G41"/>
      <c r="I41"/>
      <c r="J41" s="866">
        <v>19</v>
      </c>
      <c r="K41" s="867" t="s">
        <v>124</v>
      </c>
      <c r="L41"/>
      <c r="M41"/>
      <c r="N41"/>
    </row>
    <row r="42" customHeight="1" spans="2:14">
      <c r="C42" s="41">
        <v>10</v>
      </c>
      <c r="D42" s="41">
        <v>9</v>
      </c>
      <c r="E42" s="41">
        <v>5</v>
      </c>
      <c r="I42"/>
      <c r="J42" s="866">
        <v>18</v>
      </c>
      <c r="K42" s="867" t="s">
        <v>125</v>
      </c>
      <c r="L42"/>
      <c r="M42"/>
      <c r="N42"/>
    </row>
    <row r="43" customHeight="1" spans="2:14">
      <c r="B43" s="41" t="s">
        <v>126</v>
      </c>
      <c r="C43" s="859" t="s">
        <v>127</v>
      </c>
      <c r="D43" s="865" t="s">
        <v>116</v>
      </c>
      <c r="E43" s="868" t="s">
        <v>128</v>
      </c>
      <c r="I43"/>
      <c r="J43" s="866">
        <v>17</v>
      </c>
      <c r="K43" s="867" t="s">
        <v>36</v>
      </c>
      <c r="L43"/>
      <c r="M43"/>
      <c r="N43"/>
    </row>
    <row r="44" customHeight="1" spans="2:14">
      <c r="B44" s="41" t="s">
        <v>129</v>
      </c>
      <c r="C44" s="859" t="s">
        <v>130</v>
      </c>
      <c r="D44" s="865" t="s">
        <v>108</v>
      </c>
      <c r="E44" s="868" t="s">
        <v>131</v>
      </c>
      <c r="I44"/>
      <c r="J44" s="866">
        <v>16</v>
      </c>
      <c r="K44" s="867" t="s">
        <v>132</v>
      </c>
      <c r="L44"/>
      <c r="M44"/>
      <c r="N44"/>
    </row>
    <row r="45" customHeight="1" spans="2:14">
      <c r="B45" s="41" t="s">
        <v>133</v>
      </c>
      <c r="C45" s="13" t="s">
        <v>7</v>
      </c>
      <c r="D45" s="861" t="s">
        <v>97</v>
      </c>
      <c r="E45" s="868" t="s">
        <v>134</v>
      </c>
      <c r="I45"/>
      <c r="J45" s="866">
        <v>15</v>
      </c>
      <c r="K45" s="867" t="s">
        <v>135</v>
      </c>
      <c r="L45"/>
      <c r="M45"/>
      <c r="N45"/>
    </row>
    <row r="46" customHeight="1" spans="2:14">
      <c r="B46" s="41" t="s">
        <v>136</v>
      </c>
      <c r="C46" s="865" t="s">
        <v>137</v>
      </c>
      <c r="D46" s="865" t="s">
        <v>113</v>
      </c>
      <c r="E46" s="868" t="s">
        <v>138</v>
      </c>
      <c r="I46"/>
      <c r="J46" s="866">
        <v>14</v>
      </c>
      <c r="K46" s="867" t="s">
        <v>42</v>
      </c>
      <c r="L46"/>
      <c r="M46"/>
      <c r="N46"/>
    </row>
    <row r="47" customHeight="1" spans="2:14">
      <c r="B47" s="41" t="s">
        <v>139</v>
      </c>
      <c r="C47" s="13" t="s">
        <v>12</v>
      </c>
      <c r="D47" s="861" t="s">
        <v>85</v>
      </c>
      <c r="E47" s="868" t="s">
        <v>140</v>
      </c>
      <c r="I47"/>
      <c r="J47" s="866">
        <v>13</v>
      </c>
      <c r="K47" s="867" t="s">
        <v>38</v>
      </c>
      <c r="L47"/>
      <c r="M47"/>
      <c r="N47"/>
    </row>
    <row r="48" customHeight="1" spans="2:14">
      <c r="B48" s="41" t="s">
        <v>141</v>
      </c>
      <c r="C48" s="859" t="s">
        <v>142</v>
      </c>
      <c r="D48" s="865" t="s">
        <v>120</v>
      </c>
      <c r="E48" s="868" t="s">
        <v>131</v>
      </c>
      <c r="I48"/>
      <c r="J48" s="866">
        <v>12</v>
      </c>
      <c r="K48" s="867" t="s">
        <v>47</v>
      </c>
      <c r="L48"/>
      <c r="M48"/>
      <c r="N48"/>
    </row>
    <row r="49" customHeight="1" spans="2:14">
      <c r="B49" s="41" t="s">
        <v>143</v>
      </c>
      <c r="C49" s="865" t="s">
        <v>144</v>
      </c>
      <c r="D49" s="861" t="s">
        <v>86</v>
      </c>
      <c r="E49" s="868" t="s">
        <v>134</v>
      </c>
      <c r="I49"/>
      <c r="J49" s="866">
        <v>11</v>
      </c>
      <c r="K49" s="867" t="s">
        <v>41</v>
      </c>
      <c r="L49"/>
      <c r="M49"/>
      <c r="N49"/>
    </row>
    <row r="50" customHeight="1" spans="2:14">
      <c r="B50" s="41" t="s">
        <v>145</v>
      </c>
      <c r="C50" s="13" t="s">
        <v>17</v>
      </c>
      <c r="D50" s="861" t="s">
        <v>94</v>
      </c>
      <c r="E50" s="868" t="s">
        <v>146</v>
      </c>
      <c r="J50" s="866">
        <v>10</v>
      </c>
      <c r="K50" s="867" t="s">
        <v>147</v>
      </c>
    </row>
    <row r="51" customHeight="1" spans="2:14">
      <c r="B51" s="41" t="s">
        <v>148</v>
      </c>
      <c r="C51" s="859" t="s">
        <v>149</v>
      </c>
      <c r="D51" s="865" t="s">
        <v>103</v>
      </c>
      <c r="E51" s="868" t="s">
        <v>150</v>
      </c>
      <c r="J51" s="866">
        <v>9</v>
      </c>
      <c r="K51" s="867" t="s">
        <v>43</v>
      </c>
    </row>
    <row r="52" customHeight="1" spans="2:14">
      <c r="B52" s="41" t="s">
        <v>151</v>
      </c>
      <c r="C52" s="865" t="s">
        <v>152</v>
      </c>
      <c r="D52" s="865" t="s">
        <v>153</v>
      </c>
      <c r="E52" s="868" t="s">
        <v>154</v>
      </c>
      <c r="J52" s="866">
        <v>8</v>
      </c>
      <c r="K52" s="867" t="s">
        <v>57</v>
      </c>
    </row>
    <row r="53" customHeight="1" spans="2:14">
      <c r="B53"/>
      <c r="C53"/>
      <c r="D53"/>
      <c r="E53"/>
      <c r="F53"/>
      <c r="G53"/>
      <c r="J53" s="866">
        <v>7</v>
      </c>
      <c r="K53" s="867" t="s">
        <v>46</v>
      </c>
    </row>
    <row r="54" customHeight="1" spans="2:14">
      <c r="C54" s="41">
        <v>9</v>
      </c>
      <c r="D54" s="41">
        <v>8</v>
      </c>
      <c r="E54" s="41">
        <v>5</v>
      </c>
      <c r="J54" s="866">
        <v>6</v>
      </c>
      <c r="K54" s="867" t="s">
        <v>155</v>
      </c>
    </row>
    <row r="55" customHeight="1" spans="2:14">
      <c r="B55" s="41" t="s">
        <v>156</v>
      </c>
      <c r="C55" s="865" t="s">
        <v>157</v>
      </c>
      <c r="D55" s="861" t="s">
        <v>92</v>
      </c>
      <c r="E55" s="868" t="s">
        <v>131</v>
      </c>
      <c r="J55" s="866">
        <v>5</v>
      </c>
      <c r="K55" s="867" t="s">
        <v>48</v>
      </c>
    </row>
    <row r="56" customHeight="1" spans="2:14">
      <c r="B56" s="41" t="s">
        <v>158</v>
      </c>
      <c r="D56" s="861" t="s">
        <v>90</v>
      </c>
      <c r="E56" s="868" t="s">
        <v>159</v>
      </c>
      <c r="J56" s="866">
        <v>4</v>
      </c>
      <c r="K56" s="867" t="s">
        <v>105</v>
      </c>
    </row>
    <row r="57" customHeight="1" spans="2:14">
      <c r="B57"/>
      <c r="C57"/>
      <c r="D57"/>
      <c r="E57"/>
      <c r="F57"/>
      <c r="G57"/>
      <c r="J57" s="866">
        <v>3</v>
      </c>
      <c r="K57" s="867" t="s">
        <v>88</v>
      </c>
    </row>
    <row r="58" customHeight="1" spans="2:14">
      <c r="D58" s="41">
        <v>7</v>
      </c>
      <c r="E58" s="41">
        <v>4</v>
      </c>
      <c r="J58" s="866">
        <v>2</v>
      </c>
      <c r="K58" s="867" t="s">
        <v>84</v>
      </c>
    </row>
    <row r="59" customHeight="1" spans="2:14">
      <c r="B59" s="41" t="s">
        <v>160</v>
      </c>
      <c r="D59" s="865" t="s">
        <v>108</v>
      </c>
      <c r="E59" s="868" t="s">
        <v>161</v>
      </c>
      <c r="J59" s="869">
        <v>1</v>
      </c>
      <c r="K59" s="870" t="s">
        <v>98</v>
      </c>
    </row>
    <row r="60" customHeight="1" spans="2:14">
      <c r="B60" s="41" t="s">
        <v>162</v>
      </c>
      <c r="D60" s="868" t="s">
        <v>163</v>
      </c>
      <c r="E60" s="868" t="s">
        <v>146</v>
      </c>
    </row>
    <row r="61" customHeight="1" spans="2:14">
      <c r="B61"/>
      <c r="C61"/>
      <c r="D61"/>
      <c r="E61"/>
      <c r="F61"/>
      <c r="G61"/>
    </row>
    <row r="62" customHeight="1" spans="2:14">
      <c r="D62" s="41">
        <v>6</v>
      </c>
      <c r="E62" s="41">
        <v>3</v>
      </c>
    </row>
    <row r="63" customHeight="1" spans="2:14">
      <c r="B63" s="41" t="s">
        <v>164</v>
      </c>
      <c r="D63" s="868" t="s">
        <v>140</v>
      </c>
      <c r="E63" s="868" t="s">
        <v>165</v>
      </c>
    </row>
    <row r="64" customHeight="1" spans="2:14">
      <c r="B64" s="41" t="s">
        <v>166</v>
      </c>
      <c r="D64" s="868" t="s">
        <v>159</v>
      </c>
      <c r="E64" s="868" t="s">
        <v>161</v>
      </c>
    </row>
    <row r="65" customHeight="1" spans="2:7">
      <c r="B65"/>
      <c r="C65"/>
      <c r="D65"/>
      <c r="E65"/>
      <c r="F65"/>
      <c r="G65"/>
    </row>
    <row r="66" customHeight="1" spans="2:7">
      <c r="D66" s="41">
        <v>5</v>
      </c>
    </row>
    <row r="67" customHeight="1" spans="2:7">
      <c r="B67" s="41" t="s">
        <v>167</v>
      </c>
      <c r="D67" s="868" t="s">
        <v>168</v>
      </c>
    </row>
    <row r="68" customHeight="1" spans="2:7">
      <c r="B68" s="41" t="s">
        <v>169</v>
      </c>
      <c r="D68" s="868" t="s">
        <v>138</v>
      </c>
    </row>
    <row r="70" customHeight="1" spans="2:7">
      <c r="B70" s="13" t="s">
        <v>170</v>
      </c>
      <c r="C70" s="13">
        <v>5</v>
      </c>
      <c r="D70" s="13">
        <v>4</v>
      </c>
      <c r="E70" s="13">
        <v>3</v>
      </c>
      <c r="F70" s="13">
        <v>2</v>
      </c>
      <c r="G70" s="13">
        <v>1</v>
      </c>
    </row>
    <row r="71" customHeight="1" spans="2:7">
      <c r="B71" s="13">
        <v>35</v>
      </c>
      <c r="C71" s="304" t="s">
        <v>97</v>
      </c>
      <c r="D71" s="374" t="s">
        <v>171</v>
      </c>
      <c r="E71" s="304" t="s">
        <v>89</v>
      </c>
      <c r="F71" s="304" t="s">
        <v>105</v>
      </c>
      <c r="G71" s="304" t="s">
        <v>109</v>
      </c>
    </row>
    <row r="72" customHeight="1" spans="2:7">
      <c r="B72" s="13">
        <v>34</v>
      </c>
      <c r="C72" s="374" t="s">
        <v>172</v>
      </c>
      <c r="D72" s="304" t="s">
        <v>92</v>
      </c>
      <c r="E72" s="374" t="s">
        <v>78</v>
      </c>
      <c r="F72" s="304" t="s">
        <v>93</v>
      </c>
      <c r="G72" s="304" t="s">
        <v>113</v>
      </c>
    </row>
    <row r="73" customHeight="1" spans="2:7">
      <c r="B73" s="13">
        <v>33</v>
      </c>
      <c r="C73" s="304" t="s">
        <v>173</v>
      </c>
      <c r="D73" s="304" t="s">
        <v>84</v>
      </c>
      <c r="E73" s="304" t="s">
        <v>101</v>
      </c>
      <c r="F73" s="304" t="s">
        <v>96</v>
      </c>
      <c r="G73" s="374" t="s">
        <v>174</v>
      </c>
    </row>
    <row r="74" customHeight="1" spans="2:7">
      <c r="B74" s="13">
        <v>32</v>
      </c>
      <c r="C74" s="304" t="s">
        <v>116</v>
      </c>
      <c r="D74" s="304" t="s">
        <v>85</v>
      </c>
      <c r="E74" s="304" t="s">
        <v>98</v>
      </c>
      <c r="F74" s="304" t="s">
        <v>93</v>
      </c>
      <c r="G74" s="304" t="s">
        <v>120</v>
      </c>
    </row>
    <row r="75" customHeight="1" spans="2:7">
      <c r="B75" s="13">
        <v>31</v>
      </c>
      <c r="C75" s="13" t="s">
        <v>28</v>
      </c>
      <c r="D75" s="304" t="s">
        <v>97</v>
      </c>
      <c r="E75" s="304" t="s">
        <v>108</v>
      </c>
      <c r="F75" s="304" t="s">
        <v>153</v>
      </c>
      <c r="G75" s="304" t="s">
        <v>109</v>
      </c>
    </row>
    <row r="76" customHeight="1" spans="2:7">
      <c r="B76" s="13">
        <v>30</v>
      </c>
      <c r="C76" s="304" t="s">
        <v>92</v>
      </c>
      <c r="D76" s="304" t="s">
        <v>105</v>
      </c>
      <c r="E76" s="304" t="s">
        <v>90</v>
      </c>
      <c r="F76" s="304" t="s">
        <v>103</v>
      </c>
      <c r="G76" s="304" t="s">
        <v>94</v>
      </c>
    </row>
    <row r="77" customHeight="1" spans="2:7">
      <c r="B77" s="13">
        <v>29</v>
      </c>
      <c r="C77" s="13"/>
      <c r="D77" s="13" t="s">
        <v>31</v>
      </c>
      <c r="E77" s="304" t="s">
        <v>88</v>
      </c>
      <c r="F77" s="304" t="s">
        <v>173</v>
      </c>
      <c r="G77" s="304" t="s">
        <v>89</v>
      </c>
    </row>
    <row r="78" customHeight="1" spans="2:7">
      <c r="B78" s="13">
        <v>28</v>
      </c>
      <c r="C78" s="13"/>
      <c r="D78" s="304" t="s">
        <v>105</v>
      </c>
      <c r="E78" s="304" t="s">
        <v>108</v>
      </c>
      <c r="F78" s="304" t="s">
        <v>86</v>
      </c>
      <c r="G78" s="304" t="s">
        <v>90</v>
      </c>
    </row>
    <row r="79" customHeight="1" spans="2:7">
      <c r="B79" s="13">
        <v>27</v>
      </c>
      <c r="C79" s="13"/>
      <c r="D79" s="13" t="s">
        <v>34</v>
      </c>
      <c r="E79" s="304" t="s">
        <v>84</v>
      </c>
      <c r="F79" s="304" t="s">
        <v>113</v>
      </c>
      <c r="G79" s="304" t="s">
        <v>96</v>
      </c>
    </row>
    <row r="80" customHeight="1" spans="2:7">
      <c r="B80" s="13">
        <v>26</v>
      </c>
      <c r="C80" s="13"/>
      <c r="D80" s="13" t="s">
        <v>7</v>
      </c>
      <c r="E80" s="13" t="s">
        <v>12</v>
      </c>
      <c r="F80" s="304" t="s">
        <v>101</v>
      </c>
      <c r="G80" s="304" t="s">
        <v>85</v>
      </c>
    </row>
    <row r="81" customHeight="1" spans="2:7">
      <c r="B81" s="13">
        <v>25</v>
      </c>
      <c r="C81" s="13"/>
      <c r="D81" s="304" t="s">
        <v>120</v>
      </c>
      <c r="E81" s="13" t="s">
        <v>17</v>
      </c>
      <c r="F81" s="304" t="s">
        <v>97</v>
      </c>
      <c r="G81" s="304" t="s">
        <v>116</v>
      </c>
    </row>
    <row r="82" customHeight="1" spans="2:7">
      <c r="B82" s="13">
        <v>24</v>
      </c>
      <c r="C82" s="13"/>
      <c r="D82" s="304" t="s">
        <v>88</v>
      </c>
      <c r="E82" s="304" t="s">
        <v>103</v>
      </c>
      <c r="F82" s="304" t="s">
        <v>93</v>
      </c>
      <c r="G82" s="304" t="s">
        <v>94</v>
      </c>
    </row>
    <row r="83" customHeight="1" spans="2:7">
      <c r="B83" s="13">
        <v>23</v>
      </c>
      <c r="C83" s="13"/>
      <c r="D83" s="374" t="s">
        <v>51</v>
      </c>
      <c r="E83" s="304" t="s">
        <v>173</v>
      </c>
      <c r="F83" s="304" t="s">
        <v>97</v>
      </c>
      <c r="G83" s="304" t="s">
        <v>98</v>
      </c>
    </row>
    <row r="84" customHeight="1" spans="2:7">
      <c r="B84" s="13">
        <v>22</v>
      </c>
      <c r="C84" s="13"/>
      <c r="D84" s="374" t="s">
        <v>43</v>
      </c>
      <c r="E84" s="304" t="s">
        <v>105</v>
      </c>
      <c r="F84" s="304" t="s">
        <v>92</v>
      </c>
      <c r="G84" s="304" t="s">
        <v>90</v>
      </c>
    </row>
    <row r="85" customHeight="1" spans="2:7">
      <c r="B85" s="13">
        <v>21</v>
      </c>
      <c r="C85" s="13"/>
      <c r="D85" s="304" t="s">
        <v>101</v>
      </c>
      <c r="E85" s="374" t="s">
        <v>38</v>
      </c>
      <c r="F85" s="304" t="s">
        <v>103</v>
      </c>
      <c r="G85" s="304" t="s">
        <v>153</v>
      </c>
    </row>
    <row r="86" customHeight="1" spans="2:7">
      <c r="B86" s="13">
        <v>20</v>
      </c>
      <c r="C86" s="13"/>
      <c r="D86" s="304" t="s">
        <v>120</v>
      </c>
      <c r="E86" s="374" t="s">
        <v>83</v>
      </c>
      <c r="F86" s="304" t="s">
        <v>84</v>
      </c>
      <c r="G86" s="304" t="s">
        <v>89</v>
      </c>
    </row>
    <row r="87" customHeight="1" spans="2:7">
      <c r="B87" s="13">
        <v>19</v>
      </c>
      <c r="C87" s="13"/>
      <c r="D87" s="13" t="s">
        <v>28</v>
      </c>
      <c r="E87" s="304" t="s">
        <v>86</v>
      </c>
      <c r="F87" s="304" t="s">
        <v>109</v>
      </c>
      <c r="G87" s="304" t="s">
        <v>97</v>
      </c>
    </row>
    <row r="88" customHeight="1" spans="2:7">
      <c r="B88" s="13">
        <v>18</v>
      </c>
      <c r="C88" s="13"/>
      <c r="D88" s="13" t="s">
        <v>31</v>
      </c>
      <c r="E88" s="304" t="s">
        <v>116</v>
      </c>
      <c r="F88" s="304" t="s">
        <v>108</v>
      </c>
      <c r="G88" s="304" t="s">
        <v>113</v>
      </c>
    </row>
    <row r="89" customHeight="1" spans="2:7">
      <c r="B89" s="13">
        <v>17</v>
      </c>
      <c r="C89" s="13"/>
      <c r="D89" s="13" t="s">
        <v>34</v>
      </c>
      <c r="E89" s="304" t="s">
        <v>98</v>
      </c>
      <c r="F89" s="304" t="s">
        <v>96</v>
      </c>
      <c r="G89" s="304" t="s">
        <v>86</v>
      </c>
    </row>
    <row r="90" customHeight="1" spans="2:7">
      <c r="B90" s="13">
        <v>16</v>
      </c>
      <c r="C90" s="13"/>
      <c r="D90" s="304" t="s">
        <v>103</v>
      </c>
      <c r="E90" s="374" t="s">
        <v>66</v>
      </c>
      <c r="F90" s="304" t="s">
        <v>103</v>
      </c>
      <c r="G90" s="304" t="s">
        <v>97</v>
      </c>
    </row>
    <row r="91" customHeight="1" spans="2:7">
      <c r="B91" s="13">
        <v>15</v>
      </c>
      <c r="C91" s="13"/>
      <c r="D91" s="13" t="s">
        <v>7</v>
      </c>
      <c r="E91" s="304" t="s">
        <v>173</v>
      </c>
      <c r="F91" s="13" t="s">
        <v>12</v>
      </c>
      <c r="G91" s="304" t="s">
        <v>93</v>
      </c>
    </row>
    <row r="92" customHeight="1" spans="2:7">
      <c r="B92" s="13">
        <v>14</v>
      </c>
      <c r="C92" s="13"/>
      <c r="D92" s="13"/>
      <c r="E92" s="13" t="s">
        <v>17</v>
      </c>
      <c r="F92" s="374" t="s">
        <v>127</v>
      </c>
      <c r="G92" s="304" t="s">
        <v>105</v>
      </c>
    </row>
    <row r="93" customHeight="1" spans="2:7">
      <c r="B93" s="13">
        <v>13</v>
      </c>
      <c r="C93" s="13"/>
      <c r="D93" s="13"/>
      <c r="E93" s="374" t="s">
        <v>142</v>
      </c>
      <c r="F93" s="374" t="s">
        <v>56</v>
      </c>
      <c r="G93" s="304" t="s">
        <v>153</v>
      </c>
    </row>
    <row r="94" customHeight="1" spans="2:7">
      <c r="B94" s="13">
        <v>12</v>
      </c>
      <c r="C94" s="13"/>
      <c r="D94" s="13"/>
      <c r="E94" s="374" t="s">
        <v>112</v>
      </c>
      <c r="F94" s="304" t="s">
        <v>86</v>
      </c>
      <c r="G94" s="374" t="s">
        <v>119</v>
      </c>
    </row>
    <row r="95" customHeight="1" spans="2:7">
      <c r="B95" s="13">
        <v>11</v>
      </c>
      <c r="C95" s="13"/>
      <c r="D95" s="13"/>
      <c r="E95" s="374" t="s">
        <v>123</v>
      </c>
      <c r="F95" s="304" t="s">
        <v>116</v>
      </c>
      <c r="G95" s="304" t="s">
        <v>89</v>
      </c>
    </row>
    <row r="96" customHeight="1" spans="2:7">
      <c r="B96" s="13">
        <v>10</v>
      </c>
      <c r="C96" s="13"/>
      <c r="D96" s="13"/>
      <c r="E96" s="304" t="s">
        <v>85</v>
      </c>
      <c r="F96" s="374" t="s">
        <v>115</v>
      </c>
      <c r="G96" s="304" t="s">
        <v>113</v>
      </c>
    </row>
    <row r="97" customHeight="1" spans="2:8">
      <c r="B97" s="13">
        <v>9</v>
      </c>
      <c r="C97" s="13"/>
      <c r="D97" s="13"/>
      <c r="E97" s="305" t="s">
        <v>152</v>
      </c>
      <c r="F97" s="304" t="s">
        <v>84</v>
      </c>
      <c r="G97" s="304" t="s">
        <v>92</v>
      </c>
    </row>
    <row r="98" customHeight="1" spans="2:8">
      <c r="B98" s="13">
        <v>8</v>
      </c>
      <c r="C98" s="13"/>
      <c r="D98" s="13"/>
      <c r="E98" s="304" t="s">
        <v>120</v>
      </c>
      <c r="F98" s="304" t="s">
        <v>93</v>
      </c>
      <c r="G98" s="374" t="s">
        <v>130</v>
      </c>
    </row>
    <row r="99" customHeight="1" spans="2:8">
      <c r="B99" s="13">
        <v>7</v>
      </c>
      <c r="C99" s="13"/>
      <c r="D99" s="13"/>
      <c r="E99" s="304" t="s">
        <v>101</v>
      </c>
      <c r="F99" s="304" t="s">
        <v>96</v>
      </c>
      <c r="G99" s="305" t="s">
        <v>157</v>
      </c>
    </row>
    <row r="100" customHeight="1" spans="2:8">
      <c r="B100" s="13">
        <v>6</v>
      </c>
      <c r="C100" s="13"/>
      <c r="D100" s="13"/>
      <c r="E100" s="13" t="s">
        <v>7</v>
      </c>
      <c r="F100" s="304" t="s">
        <v>109</v>
      </c>
      <c r="G100" s="304" t="s">
        <v>108</v>
      </c>
    </row>
    <row r="101" customHeight="1" spans="2:8">
      <c r="B101" s="13">
        <v>5</v>
      </c>
      <c r="C101" s="13"/>
      <c r="D101" s="13"/>
      <c r="E101" s="304" t="s">
        <v>98</v>
      </c>
      <c r="F101" s="305" t="s">
        <v>137</v>
      </c>
      <c r="G101" s="304" t="s">
        <v>113</v>
      </c>
    </row>
    <row r="102" customHeight="1" spans="2:8">
      <c r="B102" s="13">
        <v>4</v>
      </c>
      <c r="C102" s="13"/>
      <c r="D102" s="13"/>
      <c r="E102" s="13" t="s">
        <v>12</v>
      </c>
      <c r="F102" s="304" t="s">
        <v>97</v>
      </c>
      <c r="G102" s="304" t="s">
        <v>94</v>
      </c>
      <c r="H102"/>
    </row>
    <row r="103" customHeight="1" spans="2:8">
      <c r="B103" s="13">
        <v>3</v>
      </c>
      <c r="C103" s="13"/>
      <c r="D103" s="13"/>
      <c r="E103" s="13"/>
      <c r="F103" s="374" t="s">
        <v>149</v>
      </c>
      <c r="G103" s="304" t="s">
        <v>88</v>
      </c>
      <c r="H103"/>
    </row>
    <row r="104" customHeight="1" spans="2:8">
      <c r="B104" s="13">
        <v>2</v>
      </c>
      <c r="C104" s="13"/>
      <c r="D104" s="13"/>
      <c r="E104" s="13"/>
      <c r="F104" s="305" t="s">
        <v>144</v>
      </c>
      <c r="G104" s="304" t="s">
        <v>120</v>
      </c>
      <c r="H104"/>
    </row>
    <row r="105" customHeight="1" spans="2:8">
      <c r="B105" s="13">
        <v>1</v>
      </c>
      <c r="C105" s="13"/>
      <c r="D105" s="13"/>
      <c r="E105" s="13"/>
      <c r="F105" s="13"/>
      <c r="G105" s="13" t="s">
        <v>17</v>
      </c>
      <c r="H105"/>
    </row>
    <row r="106" customHeight="1" spans="2:8">
      <c r="H106"/>
    </row>
    <row r="107" customHeight="1" spans="2:8">
      <c r="B107"/>
      <c r="C107"/>
      <c r="D107"/>
      <c r="E107"/>
      <c r="F107"/>
      <c r="G107"/>
      <c r="H107"/>
    </row>
    <row r="108" customHeight="1" spans="2:8">
      <c r="B108"/>
      <c r="C108"/>
      <c r="D108"/>
      <c r="E108"/>
      <c r="F108"/>
      <c r="G108"/>
      <c r="H108"/>
    </row>
    <row r="109" customHeight="1" spans="2:8">
      <c r="B109"/>
      <c r="C109"/>
      <c r="D109"/>
      <c r="E109"/>
      <c r="F109"/>
      <c r="G109"/>
      <c r="H109"/>
    </row>
    <row r="110" customHeight="1" spans="2:8">
      <c r="B110"/>
      <c r="C110"/>
      <c r="D110"/>
      <c r="E110"/>
      <c r="F110"/>
      <c r="G110"/>
      <c r="H110"/>
    </row>
    <row r="111" customHeight="1" spans="2:8">
      <c r="B111"/>
      <c r="C111"/>
      <c r="D111"/>
      <c r="E111"/>
      <c r="F111"/>
      <c r="G111"/>
      <c r="H111"/>
    </row>
    <row r="112" customHeight="1" spans="2:8">
      <c r="B112"/>
      <c r="C112"/>
      <c r="D112"/>
      <c r="E112"/>
      <c r="F112"/>
      <c r="G112"/>
    </row>
    <row r="113" customHeight="1" spans="2:7">
      <c r="B113"/>
      <c r="C113"/>
      <c r="D113"/>
      <c r="E113"/>
      <c r="F113"/>
      <c r="G113"/>
    </row>
    <row r="114" customHeight="1" spans="2:7">
      <c r="B114"/>
      <c r="C114"/>
      <c r="D114"/>
      <c r="E114"/>
      <c r="F114"/>
      <c r="G114"/>
    </row>
    <row r="115" customHeight="1" spans="2:7">
      <c r="B115"/>
      <c r="C115"/>
      <c r="D115"/>
      <c r="E115"/>
      <c r="F115"/>
      <c r="G115"/>
    </row>
    <row r="116" customHeight="1" spans="2:7">
      <c r="B116"/>
      <c r="C116"/>
      <c r="D116"/>
      <c r="E116"/>
      <c r="F116"/>
      <c r="G1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S134"/>
  <sheetViews>
    <sheetView zoomScale="90" zoomScaleNormal="90" workbookViewId="0">
      <selection activeCell="X24" sqref="X24"/>
    </sheetView>
  </sheetViews>
  <sheetFormatPr defaultColWidth="9" defaultRowHeight="15" customHeight="1"/>
  <cols>
    <col min="1" max="1" width="2.625" customWidth="1"/>
    <col min="2" max="6" width="9" style="198" customWidth="1"/>
    <col min="7" max="7" width="10.625" style="198" customWidth="1"/>
    <col min="8" max="13" width="9" style="198" customWidth="1"/>
    <col min="14" max="14" width="10" style="198" customWidth="1"/>
    <col min="15" max="15" width="12.5" style="198" customWidth="1"/>
    <col min="16" max="16" width="12.25" style="198" customWidth="1"/>
    <col min="17" max="18" width="9" style="198" customWidth="1"/>
    <col min="19" max="19" width="5.625" style="198" customWidth="1"/>
    <col min="20" max="20" width="9" style="198" customWidth="1"/>
    <col min="21" max="23" width="5.625" style="198" customWidth="1"/>
    <col min="24" max="24" width="9" style="198" customWidth="1"/>
    <col min="25" max="25" width="10.625" style="198" customWidth="1"/>
    <col min="26" max="28" width="9" style="198" customWidth="1"/>
    <col min="29" max="31" width="10.625" style="198" customWidth="1"/>
    <col min="32" max="43" width="9" style="198" customWidth="1"/>
    <col min="44" max="44" width="10.625" style="198" customWidth="1"/>
    <col min="45" max="47" width="9" style="198" customWidth="1"/>
    <col min="48" max="50" width="10.625" style="198" customWidth="1"/>
    <col min="51" max="62" width="9" style="198" customWidth="1"/>
    <col min="63" max="63" width="10.625" style="198" customWidth="1"/>
    <col min="64" max="66" width="9" style="198" customWidth="1"/>
    <col min="67" max="69" width="10.625" style="198" customWidth="1"/>
    <col min="70" max="253" width="9" style="198" customWidth="1"/>
  </cols>
  <sheetData>
    <row r="2" ht="20.1" customHeight="1" spans="1:253">
      <c r="A2" s="14"/>
      <c r="B2" s="814" t="s">
        <v>175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T2" s="816" t="s">
        <v>176</v>
      </c>
      <c r="IR2"/>
      <c r="IS2"/>
    </row>
    <row r="3" customHeight="1" spans="1:253">
      <c r="B3" s="199" t="s">
        <v>177</v>
      </c>
      <c r="C3" s="199" t="s">
        <v>178</v>
      </c>
      <c r="D3" s="199"/>
      <c r="E3" s="199"/>
      <c r="F3" s="199"/>
      <c r="G3" s="199" t="s">
        <v>179</v>
      </c>
      <c r="H3" s="199" t="s">
        <v>180</v>
      </c>
      <c r="I3" s="199"/>
      <c r="J3" s="199" t="s">
        <v>181</v>
      </c>
      <c r="K3" s="817" t="s">
        <v>182</v>
      </c>
      <c r="L3" s="818" t="s">
        <v>183</v>
      </c>
      <c r="M3" s="200" t="s">
        <v>184</v>
      </c>
      <c r="N3" s="199" t="s">
        <v>185</v>
      </c>
      <c r="O3" s="199"/>
      <c r="P3" s="199"/>
      <c r="Q3" s="818" t="s">
        <v>186</v>
      </c>
      <c r="R3" s="200" t="s">
        <v>187</v>
      </c>
      <c r="T3" s="199" t="s">
        <v>177</v>
      </c>
      <c r="U3" s="819" t="s">
        <v>178</v>
      </c>
      <c r="V3" s="820"/>
      <c r="W3" s="820"/>
      <c r="X3" s="821"/>
      <c r="Y3" s="822" t="s">
        <v>188</v>
      </c>
      <c r="Z3" s="822"/>
      <c r="AA3" s="822" t="s">
        <v>180</v>
      </c>
      <c r="AB3" s="822"/>
      <c r="AC3" s="822"/>
      <c r="AD3" s="822" t="s">
        <v>185</v>
      </c>
      <c r="AE3" s="822"/>
      <c r="AF3" s="823"/>
      <c r="AG3" s="823"/>
      <c r="AH3" s="823"/>
      <c r="AI3" s="823"/>
      <c r="AJ3" s="823"/>
      <c r="AK3" s="823"/>
      <c r="AL3" s="823"/>
      <c r="AM3" s="823"/>
      <c r="AN3" s="823"/>
      <c r="AO3" s="823"/>
      <c r="AP3" s="823"/>
      <c r="AQ3" s="823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823"/>
      <c r="BD3" s="823"/>
      <c r="BE3" s="823"/>
      <c r="BF3" s="823"/>
      <c r="BG3" s="823"/>
      <c r="BH3" s="823"/>
      <c r="BI3" s="823"/>
      <c r="BJ3" s="823"/>
      <c r="BK3" s="823"/>
      <c r="BL3" s="823"/>
      <c r="BM3" s="823"/>
      <c r="BN3" s="823"/>
      <c r="BO3" s="823"/>
      <c r="BP3" s="823"/>
      <c r="BQ3" s="823"/>
      <c r="BR3" s="823"/>
      <c r="BS3" s="823"/>
      <c r="BT3" s="823"/>
      <c r="BU3" s="823"/>
      <c r="BV3" s="823"/>
      <c r="BW3" s="823"/>
      <c r="BX3" s="823"/>
      <c r="BY3" s="823"/>
      <c r="BZ3" s="823"/>
      <c r="CA3" s="823"/>
      <c r="CB3" s="823"/>
      <c r="CC3" s="823"/>
      <c r="CD3" s="823"/>
      <c r="CE3" s="823"/>
      <c r="CF3" s="823"/>
      <c r="CG3" s="823"/>
      <c r="CH3" s="824"/>
      <c r="CI3" s="824"/>
      <c r="IR3"/>
      <c r="IS3"/>
    </row>
    <row r="4" customHeight="1" spans="1:253">
      <c r="B4" s="199"/>
      <c r="C4" s="199" t="s">
        <v>189</v>
      </c>
      <c r="D4" s="199" t="s">
        <v>190</v>
      </c>
      <c r="E4" s="199" t="s">
        <v>191</v>
      </c>
      <c r="F4" s="199" t="s">
        <v>192</v>
      </c>
      <c r="G4" s="199"/>
      <c r="H4" s="822" t="s">
        <v>193</v>
      </c>
      <c r="I4" s="822" t="s">
        <v>194</v>
      </c>
      <c r="J4" s="199"/>
      <c r="K4" s="825"/>
      <c r="L4" s="822"/>
      <c r="M4" s="199"/>
      <c r="N4" s="199" t="s">
        <v>195</v>
      </c>
      <c r="O4" s="199" t="s">
        <v>196</v>
      </c>
      <c r="P4" s="199" t="s">
        <v>197</v>
      </c>
      <c r="Q4" s="822"/>
      <c r="R4" s="199"/>
      <c r="T4" s="199"/>
      <c r="U4" s="826" t="s">
        <v>191</v>
      </c>
      <c r="V4" s="827" t="s">
        <v>192</v>
      </c>
      <c r="W4" s="827" t="s">
        <v>189</v>
      </c>
      <c r="X4" s="828" t="s">
        <v>198</v>
      </c>
      <c r="Y4" s="822" t="s">
        <v>199</v>
      </c>
      <c r="Z4" s="822" t="s">
        <v>200</v>
      </c>
      <c r="AA4" s="822" t="s">
        <v>201</v>
      </c>
      <c r="AB4" s="822" t="s">
        <v>194</v>
      </c>
      <c r="AC4" s="822" t="s">
        <v>202</v>
      </c>
      <c r="AD4" s="822" t="s">
        <v>203</v>
      </c>
      <c r="AE4" s="822" t="s">
        <v>204</v>
      </c>
      <c r="AF4" s="823"/>
      <c r="AG4" s="823"/>
      <c r="AH4" s="823"/>
      <c r="AI4" s="823"/>
      <c r="AJ4" s="823"/>
      <c r="AK4" s="823"/>
      <c r="AL4" s="823"/>
      <c r="AM4" s="823"/>
      <c r="AN4" s="823"/>
      <c r="AO4" s="823"/>
      <c r="AP4" s="823"/>
      <c r="AQ4" s="823"/>
      <c r="AR4" s="823"/>
      <c r="AS4" s="823"/>
      <c r="AT4" s="823"/>
      <c r="AU4" s="823"/>
      <c r="AV4" s="823"/>
      <c r="AW4" s="823"/>
      <c r="AX4" s="823"/>
      <c r="AY4" s="823"/>
      <c r="AZ4" s="823"/>
      <c r="BA4" s="823"/>
      <c r="BB4" s="823"/>
      <c r="BC4" s="823"/>
      <c r="BD4" s="823"/>
      <c r="BE4" s="823"/>
      <c r="BF4" s="823"/>
      <c r="BG4" s="823"/>
      <c r="BH4" s="823"/>
      <c r="BI4" s="823"/>
      <c r="BJ4" s="823"/>
      <c r="BK4" s="823"/>
      <c r="BL4" s="823"/>
      <c r="BM4" s="823"/>
      <c r="BN4" s="823"/>
      <c r="BO4" s="823"/>
      <c r="BP4" s="823"/>
      <c r="BQ4" s="823"/>
      <c r="BR4" s="823"/>
      <c r="BS4" s="823"/>
      <c r="BT4" s="823"/>
      <c r="BU4" s="823"/>
      <c r="BV4" s="823"/>
      <c r="BW4" s="823"/>
      <c r="BX4" s="823"/>
      <c r="BY4" s="823"/>
      <c r="BZ4" s="823"/>
      <c r="CA4" s="823"/>
      <c r="CB4" s="823"/>
      <c r="CC4" s="823"/>
      <c r="CD4" s="823"/>
      <c r="CE4" s="823"/>
      <c r="CF4" s="823"/>
      <c r="CG4" s="823"/>
      <c r="CH4" s="824"/>
      <c r="CI4" s="824"/>
      <c r="IR4"/>
      <c r="IS4"/>
    </row>
    <row r="5" customHeight="1" spans="1:253">
      <c r="B5" s="199">
        <v>0</v>
      </c>
      <c r="C5" s="199">
        <v>240</v>
      </c>
      <c r="D5" s="199"/>
      <c r="E5" s="199"/>
      <c r="F5" s="199"/>
      <c r="G5" s="199" t="s">
        <v>205</v>
      </c>
      <c r="H5" s="199"/>
      <c r="I5" s="199"/>
      <c r="J5" s="199">
        <v>2.5</v>
      </c>
      <c r="K5" s="201">
        <v>2</v>
      </c>
      <c r="L5" s="199">
        <v>100</v>
      </c>
      <c r="M5" s="199">
        <v>100</v>
      </c>
      <c r="N5" s="199">
        <v>1</v>
      </c>
      <c r="O5" s="199">
        <v>1</v>
      </c>
      <c r="P5" s="199">
        <v>1</v>
      </c>
      <c r="Q5" s="199">
        <v>40</v>
      </c>
      <c r="R5" s="199">
        <v>40</v>
      </c>
      <c r="T5" s="199">
        <v>0</v>
      </c>
      <c r="U5" s="829">
        <v>0.1</v>
      </c>
      <c r="V5" s="830"/>
      <c r="W5" s="830"/>
      <c r="X5" s="202"/>
      <c r="Y5" s="199">
        <v>0</v>
      </c>
      <c r="Z5" s="831" t="s">
        <v>206</v>
      </c>
      <c r="AA5" s="199"/>
      <c r="AB5" s="199"/>
      <c r="AC5" s="199"/>
      <c r="AD5" s="831" t="s">
        <v>207</v>
      </c>
      <c r="AE5" s="199">
        <v>50</v>
      </c>
      <c r="AF5" s="823"/>
      <c r="AG5" s="823"/>
      <c r="AH5" s="823"/>
      <c r="AI5" s="823"/>
      <c r="AJ5" s="823"/>
      <c r="AK5" s="823"/>
      <c r="AL5" s="823"/>
      <c r="AM5" s="823"/>
      <c r="AN5" s="823"/>
      <c r="AO5" s="823"/>
      <c r="AP5" s="823"/>
      <c r="AQ5" s="823"/>
      <c r="AR5" s="823"/>
      <c r="AS5" s="823"/>
      <c r="AT5" s="823"/>
      <c r="AU5" s="823"/>
      <c r="AV5" s="823"/>
      <c r="AW5" s="823"/>
      <c r="AX5" s="823"/>
      <c r="AY5" s="823"/>
      <c r="AZ5" s="823"/>
      <c r="BA5" s="823"/>
      <c r="BB5" s="823"/>
      <c r="BC5" s="823"/>
      <c r="BD5" s="823"/>
      <c r="BE5" s="823"/>
      <c r="BF5" s="823"/>
      <c r="BG5" s="823"/>
      <c r="BH5" s="823"/>
      <c r="BI5" s="823"/>
      <c r="BJ5" s="823"/>
      <c r="BK5" s="823"/>
      <c r="BL5" s="823"/>
      <c r="BM5" s="823"/>
      <c r="BN5" s="823"/>
      <c r="BO5" s="823"/>
      <c r="BP5" s="823"/>
      <c r="BQ5" s="823"/>
      <c r="BR5" s="823"/>
      <c r="BS5" s="823"/>
      <c r="BT5" s="823"/>
      <c r="BU5" s="823"/>
      <c r="BV5" s="823"/>
      <c r="BW5" s="823"/>
      <c r="BX5" s="823"/>
      <c r="BY5" s="823"/>
      <c r="BZ5" s="823"/>
      <c r="CA5" s="823"/>
      <c r="CB5" s="823"/>
      <c r="CC5" s="823"/>
      <c r="CD5" s="823"/>
      <c r="CE5" s="823"/>
      <c r="CF5" s="823"/>
      <c r="CG5" s="823"/>
      <c r="CH5" s="824"/>
      <c r="CI5" s="824"/>
      <c r="IR5"/>
      <c r="IS5"/>
    </row>
    <row r="6" customHeight="1" spans="1:253">
      <c r="B6" s="199">
        <v>1</v>
      </c>
      <c r="C6" s="199">
        <v>320</v>
      </c>
      <c r="D6" s="199"/>
      <c r="E6" s="199"/>
      <c r="F6" s="199"/>
      <c r="G6" s="199" t="s">
        <v>208</v>
      </c>
      <c r="H6" s="199">
        <v>20</v>
      </c>
      <c r="I6" s="199">
        <v>100</v>
      </c>
      <c r="J6" s="199">
        <v>3.6</v>
      </c>
      <c r="K6" s="201">
        <v>3</v>
      </c>
      <c r="L6" s="199">
        <v>150</v>
      </c>
      <c r="M6" s="199">
        <f>M5+L6</f>
        <v>250</v>
      </c>
      <c r="N6" s="199">
        <v>2</v>
      </c>
      <c r="O6" s="199">
        <v>2</v>
      </c>
      <c r="P6" s="199">
        <v>2</v>
      </c>
      <c r="Q6" s="199">
        <v>50</v>
      </c>
      <c r="R6" s="199">
        <v>90</v>
      </c>
      <c r="T6" s="199">
        <v>1</v>
      </c>
      <c r="U6" s="829">
        <v>0.21</v>
      </c>
      <c r="V6" s="830"/>
      <c r="W6" s="830"/>
      <c r="X6" s="202"/>
      <c r="Y6" s="199">
        <v>72000</v>
      </c>
      <c r="Z6" s="831" t="s">
        <v>207</v>
      </c>
      <c r="AA6" s="199">
        <v>20</v>
      </c>
      <c r="AB6" s="199">
        <v>100</v>
      </c>
      <c r="AC6" s="199">
        <v>2000</v>
      </c>
      <c r="AD6" s="831" t="s">
        <v>209</v>
      </c>
      <c r="AE6" s="199">
        <v>60</v>
      </c>
      <c r="AF6" s="823"/>
      <c r="AG6" s="823"/>
      <c r="AH6" s="823"/>
      <c r="AI6" s="823"/>
      <c r="AJ6" s="823"/>
      <c r="AK6" s="823"/>
      <c r="AL6" s="823"/>
      <c r="AM6" s="823"/>
      <c r="AN6" s="823"/>
      <c r="AO6" s="823"/>
      <c r="AP6" s="823"/>
      <c r="AQ6" s="823"/>
      <c r="AR6" s="823"/>
      <c r="AS6" s="823"/>
      <c r="AT6" s="823"/>
      <c r="AU6" s="823"/>
      <c r="AV6" s="823"/>
      <c r="AW6" s="823"/>
      <c r="AX6" s="823"/>
      <c r="AY6" s="823"/>
      <c r="AZ6" s="823"/>
      <c r="BA6" s="823"/>
      <c r="BB6" s="823"/>
      <c r="BC6" s="823"/>
      <c r="BD6" s="823"/>
      <c r="BE6" s="823"/>
      <c r="BF6" s="823"/>
      <c r="BG6" s="823"/>
      <c r="BH6" s="823"/>
      <c r="BI6" s="823"/>
      <c r="BJ6" s="823"/>
      <c r="BK6" s="823"/>
      <c r="BL6" s="823"/>
      <c r="BM6" s="823"/>
      <c r="BN6" s="823"/>
      <c r="BO6" s="823"/>
      <c r="BP6" s="823"/>
      <c r="BQ6" s="823"/>
      <c r="BR6" s="823"/>
      <c r="BS6" s="823"/>
      <c r="BT6" s="823"/>
      <c r="BU6" s="823"/>
      <c r="BV6" s="823"/>
      <c r="BW6" s="823"/>
      <c r="BX6" s="823"/>
      <c r="BY6" s="823"/>
      <c r="BZ6" s="823"/>
      <c r="CA6" s="823"/>
      <c r="CB6" s="823"/>
      <c r="CC6" s="823"/>
      <c r="CD6" s="823"/>
      <c r="CE6" s="823"/>
      <c r="CF6" s="823"/>
      <c r="CG6" s="823"/>
      <c r="CH6" s="824"/>
      <c r="CI6" s="824"/>
      <c r="IR6"/>
      <c r="IS6"/>
    </row>
    <row r="7" customHeight="1" spans="1:253">
      <c r="B7" s="199">
        <v>2</v>
      </c>
      <c r="C7" s="199">
        <v>480</v>
      </c>
      <c r="D7" s="199">
        <v>90</v>
      </c>
      <c r="E7" s="199"/>
      <c r="F7" s="199"/>
      <c r="G7" s="199" t="s">
        <v>210</v>
      </c>
      <c r="H7" s="199">
        <v>30</v>
      </c>
      <c r="I7" s="199">
        <v>200</v>
      </c>
      <c r="J7" s="199">
        <v>4.8</v>
      </c>
      <c r="K7" s="201">
        <v>5</v>
      </c>
      <c r="L7" s="199">
        <v>550</v>
      </c>
      <c r="M7" s="199">
        <f t="shared" ref="M7:M14" si="0">M6+L7</f>
        <v>800</v>
      </c>
      <c r="N7" s="199">
        <v>3</v>
      </c>
      <c r="O7" s="199">
        <v>3</v>
      </c>
      <c r="P7" s="199">
        <v>3</v>
      </c>
      <c r="Q7" s="199">
        <v>60</v>
      </c>
      <c r="R7" s="199">
        <v>150</v>
      </c>
      <c r="T7" s="199">
        <v>2</v>
      </c>
      <c r="U7" s="829">
        <v>0.32</v>
      </c>
      <c r="V7" s="830"/>
      <c r="W7" s="830"/>
      <c r="X7" s="202"/>
      <c r="Y7" s="199">
        <v>157000</v>
      </c>
      <c r="Z7" s="831" t="s">
        <v>209</v>
      </c>
      <c r="AA7" s="199">
        <v>30</v>
      </c>
      <c r="AB7" s="199">
        <v>200</v>
      </c>
      <c r="AC7" s="199">
        <v>2500</v>
      </c>
      <c r="AD7" s="831" t="s">
        <v>211</v>
      </c>
      <c r="AE7" s="199">
        <v>70</v>
      </c>
      <c r="AF7" s="823"/>
      <c r="AG7" s="823"/>
      <c r="AH7" s="823"/>
      <c r="AI7" s="823"/>
      <c r="AJ7" s="823"/>
      <c r="AK7" s="823"/>
      <c r="AL7" s="823"/>
      <c r="AM7" s="823"/>
      <c r="AN7" s="823"/>
      <c r="AO7" s="823"/>
      <c r="AP7" s="823"/>
      <c r="AQ7" s="823"/>
      <c r="AR7" s="823"/>
      <c r="AS7" s="823"/>
      <c r="AT7" s="823"/>
      <c r="AU7" s="823"/>
      <c r="AV7" s="823"/>
      <c r="AW7" s="823"/>
      <c r="AX7" s="823"/>
      <c r="AY7" s="823"/>
      <c r="AZ7" s="823"/>
      <c r="BA7" s="823"/>
      <c r="BB7" s="823"/>
      <c r="BC7" s="823"/>
      <c r="BD7" s="823"/>
      <c r="BE7" s="823"/>
      <c r="BF7" s="823"/>
      <c r="BG7" s="823"/>
      <c r="BH7" s="823"/>
      <c r="BI7" s="823"/>
      <c r="BJ7" s="823"/>
      <c r="BK7" s="823"/>
      <c r="BL7" s="823"/>
      <c r="BM7" s="823"/>
      <c r="BN7" s="823"/>
      <c r="BO7" s="823"/>
      <c r="BP7" s="823"/>
      <c r="BQ7" s="823"/>
      <c r="BR7" s="823"/>
      <c r="BS7" s="823"/>
      <c r="BT7" s="823"/>
      <c r="BU7" s="823"/>
      <c r="BV7" s="823"/>
      <c r="BW7" s="823"/>
      <c r="BX7" s="823"/>
      <c r="BY7" s="823"/>
      <c r="BZ7" s="823"/>
      <c r="CA7" s="823"/>
      <c r="CB7" s="823"/>
      <c r="CC7" s="823"/>
      <c r="CD7" s="823"/>
      <c r="CE7" s="823"/>
      <c r="CF7" s="823"/>
      <c r="CG7" s="823"/>
      <c r="CH7" s="824"/>
      <c r="CI7" s="824"/>
      <c r="IR7"/>
      <c r="IS7"/>
    </row>
    <row r="8" customHeight="1" spans="1:253">
      <c r="B8" s="199">
        <v>3</v>
      </c>
      <c r="C8" s="199">
        <v>720</v>
      </c>
      <c r="D8" s="199">
        <v>135</v>
      </c>
      <c r="E8" s="199"/>
      <c r="F8" s="199"/>
      <c r="G8" s="199" t="s">
        <v>212</v>
      </c>
      <c r="H8" s="199">
        <v>40</v>
      </c>
      <c r="I8" s="199">
        <v>300</v>
      </c>
      <c r="J8" s="199">
        <v>6.1</v>
      </c>
      <c r="K8" s="201">
        <v>6</v>
      </c>
      <c r="L8" s="199">
        <v>750</v>
      </c>
      <c r="M8" s="199">
        <f t="shared" si="0"/>
        <v>1550</v>
      </c>
      <c r="N8" s="199">
        <v>4</v>
      </c>
      <c r="O8" s="199">
        <v>4</v>
      </c>
      <c r="P8" s="199">
        <v>4</v>
      </c>
      <c r="Q8" s="199">
        <v>70</v>
      </c>
      <c r="R8" s="199">
        <v>220</v>
      </c>
      <c r="T8" s="199">
        <v>3</v>
      </c>
      <c r="U8" s="829">
        <v>0.43</v>
      </c>
      <c r="V8" s="830"/>
      <c r="W8" s="830"/>
      <c r="X8" s="202"/>
      <c r="Y8" s="199">
        <v>256000</v>
      </c>
      <c r="Z8" s="831" t="s">
        <v>211</v>
      </c>
      <c r="AA8" s="199">
        <v>40</v>
      </c>
      <c r="AB8" s="199">
        <v>300</v>
      </c>
      <c r="AC8" s="199">
        <v>3000</v>
      </c>
      <c r="AD8" s="831" t="s">
        <v>213</v>
      </c>
      <c r="AE8" s="199">
        <v>80</v>
      </c>
      <c r="AF8" s="823"/>
      <c r="AG8" s="823"/>
      <c r="AH8" s="823"/>
      <c r="AI8" s="823"/>
      <c r="AJ8" s="823"/>
      <c r="AK8" s="823"/>
      <c r="AL8" s="823"/>
      <c r="AM8" s="823"/>
      <c r="AN8" s="823"/>
      <c r="AO8" s="823"/>
      <c r="AP8" s="823"/>
      <c r="AQ8" s="823"/>
      <c r="AR8" s="823"/>
      <c r="AS8" s="823"/>
      <c r="AT8" s="823"/>
      <c r="AU8" s="823"/>
      <c r="AV8" s="823"/>
      <c r="AW8" s="823"/>
      <c r="AX8" s="823"/>
      <c r="AY8" s="823"/>
      <c r="AZ8" s="823"/>
      <c r="BA8" s="823"/>
      <c r="BB8" s="823"/>
      <c r="BC8" s="823"/>
      <c r="BD8" s="823"/>
      <c r="BE8" s="823"/>
      <c r="BF8" s="823"/>
      <c r="BG8" s="823"/>
      <c r="BH8" s="823"/>
      <c r="BI8" s="823"/>
      <c r="BJ8" s="823"/>
      <c r="BK8" s="823"/>
      <c r="BL8" s="823"/>
      <c r="BM8" s="823"/>
      <c r="BN8" s="823"/>
      <c r="BO8" s="823"/>
      <c r="BP8" s="823"/>
      <c r="BQ8" s="823"/>
      <c r="BR8" s="823"/>
      <c r="BS8" s="823"/>
      <c r="BT8" s="823"/>
      <c r="BU8" s="823"/>
      <c r="BV8" s="823"/>
      <c r="BW8" s="823"/>
      <c r="BX8" s="823"/>
      <c r="BY8" s="823"/>
      <c r="BZ8" s="823"/>
      <c r="CA8" s="823"/>
      <c r="CB8" s="823"/>
      <c r="CC8" s="823"/>
      <c r="CD8" s="823"/>
      <c r="CE8" s="823"/>
      <c r="CF8" s="823"/>
      <c r="CG8" s="823"/>
      <c r="CH8" s="824"/>
      <c r="CI8" s="824"/>
      <c r="IR8"/>
      <c r="IS8"/>
    </row>
    <row r="9" customHeight="1" spans="1:253">
      <c r="B9" s="199">
        <v>4</v>
      </c>
      <c r="C9" s="199">
        <v>1040</v>
      </c>
      <c r="D9" s="199">
        <v>195</v>
      </c>
      <c r="E9" s="199"/>
      <c r="F9" s="199"/>
      <c r="G9" s="199" t="s">
        <v>214</v>
      </c>
      <c r="H9" s="199">
        <v>60</v>
      </c>
      <c r="I9" s="199">
        <v>400</v>
      </c>
      <c r="J9" s="199">
        <v>7.5</v>
      </c>
      <c r="K9" s="201">
        <v>7</v>
      </c>
      <c r="L9" s="199">
        <v>950</v>
      </c>
      <c r="M9" s="199">
        <f t="shared" si="0"/>
        <v>2500</v>
      </c>
      <c r="N9" s="199">
        <v>5</v>
      </c>
      <c r="O9" s="199">
        <v>5</v>
      </c>
      <c r="P9" s="199">
        <v>5</v>
      </c>
      <c r="Q9" s="199">
        <v>80</v>
      </c>
      <c r="R9" s="199">
        <v>300</v>
      </c>
      <c r="T9" s="199">
        <v>4</v>
      </c>
      <c r="U9" s="829">
        <v>0.54</v>
      </c>
      <c r="V9" s="830"/>
      <c r="W9" s="830"/>
      <c r="X9" s="202"/>
      <c r="Y9" s="199">
        <v>370000</v>
      </c>
      <c r="Z9" s="831" t="s">
        <v>213</v>
      </c>
      <c r="AA9" s="199">
        <v>60</v>
      </c>
      <c r="AB9" s="199">
        <v>400</v>
      </c>
      <c r="AC9" s="199">
        <v>3500</v>
      </c>
      <c r="AD9" s="831" t="s">
        <v>215</v>
      </c>
      <c r="AE9" s="199">
        <v>90</v>
      </c>
      <c r="AF9" s="823"/>
      <c r="AG9" s="823"/>
      <c r="AH9" s="823"/>
      <c r="AI9" s="823"/>
      <c r="AJ9" s="823"/>
      <c r="AK9" s="823"/>
      <c r="AL9" s="823"/>
      <c r="AM9" s="823"/>
      <c r="AN9" s="823"/>
      <c r="AO9" s="823"/>
      <c r="AP9" s="823"/>
      <c r="AQ9" s="823"/>
      <c r="AR9" s="823"/>
      <c r="AS9" s="823"/>
      <c r="AT9" s="823"/>
      <c r="AU9" s="823"/>
      <c r="AV9" s="823"/>
      <c r="AW9" s="823"/>
      <c r="AX9" s="823"/>
      <c r="AY9" s="823"/>
      <c r="AZ9" s="823"/>
      <c r="BA9" s="823"/>
      <c r="BB9" s="823"/>
      <c r="BC9" s="823"/>
      <c r="BD9" s="823"/>
      <c r="BE9" s="823"/>
      <c r="BF9" s="823"/>
      <c r="BG9" s="823"/>
      <c r="BH9" s="823"/>
      <c r="BI9" s="823"/>
      <c r="BJ9" s="823"/>
      <c r="BK9" s="823"/>
      <c r="BL9" s="823"/>
      <c r="BM9" s="823"/>
      <c r="BN9" s="823"/>
      <c r="BO9" s="823"/>
      <c r="BP9" s="823"/>
      <c r="BQ9" s="823"/>
      <c r="BR9" s="823"/>
      <c r="BS9" s="823"/>
      <c r="BT9" s="823"/>
      <c r="BU9" s="823"/>
      <c r="BV9" s="823"/>
      <c r="BW9" s="823"/>
      <c r="BX9" s="823"/>
      <c r="BY9" s="823"/>
      <c r="BZ9" s="823"/>
      <c r="CA9" s="823"/>
      <c r="CB9" s="823"/>
      <c r="CC9" s="823"/>
      <c r="CD9" s="823"/>
      <c r="CE9" s="823"/>
      <c r="CF9" s="823"/>
      <c r="CG9" s="823"/>
      <c r="CH9" s="824"/>
      <c r="CI9" s="824"/>
      <c r="IR9"/>
      <c r="IS9"/>
    </row>
    <row r="10" customHeight="1" spans="1:253">
      <c r="B10" s="199">
        <v>5</v>
      </c>
      <c r="C10" s="199">
        <v>1440</v>
      </c>
      <c r="D10" s="199">
        <v>270</v>
      </c>
      <c r="E10" s="199">
        <v>180</v>
      </c>
      <c r="F10" s="199"/>
      <c r="G10" s="199" t="s">
        <v>216</v>
      </c>
      <c r="H10" s="199">
        <v>100</v>
      </c>
      <c r="I10" s="199">
        <v>700</v>
      </c>
      <c r="J10" s="199">
        <v>9</v>
      </c>
      <c r="K10" s="201">
        <v>10</v>
      </c>
      <c r="L10" s="199">
        <v>1800</v>
      </c>
      <c r="M10" s="199">
        <f t="shared" si="0"/>
        <v>4300</v>
      </c>
      <c r="N10" s="199">
        <v>6</v>
      </c>
      <c r="O10" s="199">
        <v>6</v>
      </c>
      <c r="P10" s="199">
        <v>6</v>
      </c>
      <c r="Q10" s="199">
        <v>90</v>
      </c>
      <c r="R10" s="199">
        <v>390</v>
      </c>
      <c r="T10" s="199">
        <v>5</v>
      </c>
      <c r="U10" s="829">
        <v>0.65</v>
      </c>
      <c r="V10" s="830"/>
      <c r="W10" s="830"/>
      <c r="X10" s="202"/>
      <c r="Y10" s="199">
        <v>500000</v>
      </c>
      <c r="Z10" s="831" t="s">
        <v>215</v>
      </c>
      <c r="AA10" s="199">
        <v>100</v>
      </c>
      <c r="AB10" s="199">
        <v>700</v>
      </c>
      <c r="AC10" s="199">
        <v>4000</v>
      </c>
      <c r="AD10" s="831" t="s">
        <v>217</v>
      </c>
      <c r="AE10" s="199">
        <v>100</v>
      </c>
      <c r="AF10" s="823"/>
      <c r="AG10" s="823"/>
      <c r="AH10" s="823"/>
      <c r="AI10" s="823"/>
      <c r="AJ10" s="823"/>
      <c r="AK10" s="823"/>
      <c r="AL10" s="823"/>
      <c r="AM10" s="823"/>
      <c r="AN10" s="823"/>
      <c r="AO10" s="823"/>
      <c r="AP10" s="823"/>
      <c r="AQ10" s="823"/>
      <c r="AR10" s="823"/>
      <c r="AS10" s="823"/>
      <c r="AT10" s="823"/>
      <c r="AU10" s="823"/>
      <c r="AV10" s="823"/>
      <c r="AW10" s="823"/>
      <c r="AX10" s="823"/>
      <c r="AY10" s="823"/>
      <c r="AZ10" s="823"/>
      <c r="BA10" s="823"/>
      <c r="BB10" s="823"/>
      <c r="BC10" s="823"/>
      <c r="BD10" s="823"/>
      <c r="BE10" s="823"/>
      <c r="BF10" s="823"/>
      <c r="BG10" s="823"/>
      <c r="BH10" s="823"/>
      <c r="BI10" s="823"/>
      <c r="BJ10" s="823"/>
      <c r="BK10" s="823"/>
      <c r="BL10" s="823"/>
      <c r="BM10" s="823"/>
      <c r="BN10" s="823"/>
      <c r="BO10" s="823"/>
      <c r="BP10" s="823"/>
      <c r="BQ10" s="823"/>
      <c r="BR10" s="823"/>
      <c r="BS10" s="823"/>
      <c r="BT10" s="823"/>
      <c r="BU10" s="823"/>
      <c r="BV10" s="823"/>
      <c r="BW10" s="823"/>
      <c r="BX10" s="823"/>
      <c r="BY10" s="823"/>
      <c r="BZ10" s="823"/>
      <c r="CA10" s="823"/>
      <c r="CB10" s="823"/>
      <c r="CC10" s="823"/>
      <c r="CD10" s="823"/>
      <c r="CE10" s="823"/>
      <c r="CF10" s="823"/>
      <c r="CG10" s="823"/>
      <c r="CH10" s="824"/>
      <c r="CI10" s="824"/>
      <c r="IR10"/>
      <c r="IS10"/>
    </row>
    <row r="11" customHeight="1" spans="1:253">
      <c r="B11" s="199">
        <v>6</v>
      </c>
      <c r="C11" s="199">
        <v>1920</v>
      </c>
      <c r="D11" s="199">
        <v>360</v>
      </c>
      <c r="E11" s="199">
        <v>240</v>
      </c>
      <c r="F11" s="199"/>
      <c r="G11" s="199" t="s">
        <v>218</v>
      </c>
      <c r="H11" s="199">
        <v>150</v>
      </c>
      <c r="I11" s="199">
        <v>1100</v>
      </c>
      <c r="J11" s="199">
        <v>10.6</v>
      </c>
      <c r="K11" s="201">
        <v>11</v>
      </c>
      <c r="L11" s="199">
        <v>2100</v>
      </c>
      <c r="M11" s="199">
        <f t="shared" si="0"/>
        <v>6400</v>
      </c>
      <c r="N11" s="199">
        <v>7</v>
      </c>
      <c r="O11" s="199">
        <v>7</v>
      </c>
      <c r="P11" s="199">
        <v>7</v>
      </c>
      <c r="Q11" s="199">
        <v>100</v>
      </c>
      <c r="R11" s="199">
        <v>490</v>
      </c>
      <c r="T11" s="199">
        <v>6</v>
      </c>
      <c r="U11" s="829">
        <v>0.76</v>
      </c>
      <c r="V11" s="830"/>
      <c r="W11" s="830"/>
      <c r="X11" s="202"/>
      <c r="Y11" s="199">
        <v>647000</v>
      </c>
      <c r="Z11" s="831" t="s">
        <v>217</v>
      </c>
      <c r="AA11" s="199">
        <v>150</v>
      </c>
      <c r="AB11" s="199">
        <v>1100</v>
      </c>
      <c r="AC11" s="199">
        <v>4500</v>
      </c>
      <c r="AD11" s="831" t="s">
        <v>219</v>
      </c>
      <c r="AE11" s="199">
        <v>110</v>
      </c>
      <c r="AF11" s="823"/>
      <c r="AG11" s="823"/>
      <c r="AH11" s="823"/>
      <c r="AI11" s="823"/>
      <c r="AJ11" s="823"/>
      <c r="AK11" s="823"/>
      <c r="AL11" s="823"/>
      <c r="AM11" s="823"/>
      <c r="AN11" s="823"/>
      <c r="AO11" s="823"/>
      <c r="AP11" s="823"/>
      <c r="AQ11" s="823"/>
      <c r="AR11" s="823"/>
      <c r="AS11" s="823"/>
      <c r="AT11" s="823"/>
      <c r="AU11" s="823"/>
      <c r="AV11" s="823"/>
      <c r="AW11" s="823"/>
      <c r="AX11" s="823"/>
      <c r="AY11" s="823"/>
      <c r="AZ11" s="823"/>
      <c r="BA11" s="823"/>
      <c r="BB11" s="823"/>
      <c r="BC11" s="823"/>
      <c r="BD11" s="823"/>
      <c r="BE11" s="823"/>
      <c r="BF11" s="823"/>
      <c r="BG11" s="823"/>
      <c r="BH11" s="823"/>
      <c r="BI11" s="823"/>
      <c r="BJ11" s="823"/>
      <c r="BK11" s="823"/>
      <c r="BL11" s="823"/>
      <c r="BM11" s="823"/>
      <c r="BN11" s="823"/>
      <c r="BO11" s="823"/>
      <c r="BP11" s="823"/>
      <c r="BQ11" s="823"/>
      <c r="BR11" s="823"/>
      <c r="BS11" s="823"/>
      <c r="BT11" s="823"/>
      <c r="BU11" s="823"/>
      <c r="BV11" s="823"/>
      <c r="BW11" s="823"/>
      <c r="BX11" s="823"/>
      <c r="BY11" s="823"/>
      <c r="BZ11" s="823"/>
      <c r="CA11" s="823"/>
      <c r="CB11" s="823"/>
      <c r="CC11" s="823"/>
      <c r="CD11" s="823"/>
      <c r="CE11" s="823"/>
      <c r="CF11" s="823"/>
      <c r="CG11" s="823"/>
      <c r="CH11" s="824"/>
      <c r="CI11" s="824"/>
      <c r="IR11"/>
      <c r="IS11"/>
    </row>
    <row r="12" customHeight="1" spans="1:253">
      <c r="B12" s="199">
        <v>7</v>
      </c>
      <c r="C12" s="199">
        <v>2480</v>
      </c>
      <c r="D12" s="199">
        <v>465</v>
      </c>
      <c r="E12" s="199">
        <v>310</v>
      </c>
      <c r="F12" s="199"/>
      <c r="G12" s="199" t="s">
        <v>220</v>
      </c>
      <c r="H12" s="199">
        <v>220</v>
      </c>
      <c r="I12" s="199">
        <v>1600</v>
      </c>
      <c r="J12" s="199">
        <v>12.3</v>
      </c>
      <c r="K12" s="201">
        <v>12</v>
      </c>
      <c r="L12" s="199">
        <v>2400</v>
      </c>
      <c r="M12" s="199">
        <f t="shared" si="0"/>
        <v>8800</v>
      </c>
      <c r="N12" s="199">
        <v>8</v>
      </c>
      <c r="O12" s="199">
        <v>8</v>
      </c>
      <c r="P12" s="199">
        <v>8</v>
      </c>
      <c r="Q12" s="199">
        <v>115</v>
      </c>
      <c r="R12" s="199">
        <v>605</v>
      </c>
      <c r="T12" s="199">
        <v>7</v>
      </c>
      <c r="U12" s="829">
        <v>0.87</v>
      </c>
      <c r="V12" s="830"/>
      <c r="W12" s="830"/>
      <c r="X12" s="202"/>
      <c r="Y12" s="198">
        <v>812000</v>
      </c>
      <c r="Z12" s="831" t="s">
        <v>219</v>
      </c>
      <c r="AA12" s="199">
        <v>220</v>
      </c>
      <c r="AB12" s="199">
        <v>1600</v>
      </c>
      <c r="AC12" s="199">
        <v>5000</v>
      </c>
      <c r="AD12" s="831" t="s">
        <v>221</v>
      </c>
      <c r="AE12" s="199">
        <v>120</v>
      </c>
      <c r="AF12" s="823"/>
      <c r="AG12" s="823"/>
      <c r="AH12" s="823"/>
      <c r="AI12" s="823"/>
      <c r="AJ12" s="823"/>
      <c r="AK12" s="823"/>
      <c r="AL12" s="823"/>
      <c r="AM12" s="823"/>
      <c r="AN12" s="823"/>
      <c r="AO12" s="823"/>
      <c r="AP12" s="823"/>
      <c r="AQ12" s="823"/>
      <c r="AR12" s="823"/>
      <c r="AS12" s="823"/>
      <c r="AT12" s="823"/>
      <c r="AU12" s="823"/>
      <c r="AV12" s="823"/>
      <c r="AW12" s="823"/>
      <c r="AX12" s="823"/>
      <c r="AY12" s="823"/>
      <c r="AZ12" s="823"/>
      <c r="BA12" s="823"/>
      <c r="BB12" s="823"/>
      <c r="BC12" s="823"/>
      <c r="BD12" s="823"/>
      <c r="BE12" s="823"/>
      <c r="BF12" s="823"/>
      <c r="BG12" s="823"/>
      <c r="BH12" s="823"/>
      <c r="BI12" s="823"/>
      <c r="BJ12" s="823"/>
      <c r="BK12" s="823"/>
      <c r="BL12" s="823"/>
      <c r="BM12" s="823"/>
      <c r="BN12" s="823"/>
      <c r="BO12" s="823"/>
      <c r="BP12" s="823"/>
      <c r="BQ12" s="823"/>
      <c r="BR12" s="823"/>
      <c r="BS12" s="823"/>
      <c r="BT12" s="823"/>
      <c r="BU12" s="823"/>
      <c r="BV12" s="823"/>
      <c r="BW12" s="823"/>
      <c r="BX12" s="823"/>
      <c r="BY12" s="823"/>
      <c r="BZ12" s="823"/>
      <c r="CA12" s="823"/>
      <c r="CB12" s="823"/>
      <c r="CC12" s="823"/>
      <c r="CD12" s="823"/>
      <c r="CE12" s="823"/>
      <c r="CF12" s="823"/>
      <c r="CG12" s="823"/>
      <c r="CH12" s="824"/>
      <c r="CI12" s="824"/>
      <c r="IR12"/>
      <c r="IS12"/>
    </row>
    <row r="13" customHeight="1" spans="1:253">
      <c r="B13" s="199">
        <v>8</v>
      </c>
      <c r="C13" s="199">
        <v>3120</v>
      </c>
      <c r="D13" s="199">
        <v>585</v>
      </c>
      <c r="E13" s="199">
        <v>390</v>
      </c>
      <c r="F13" s="199">
        <v>390</v>
      </c>
      <c r="G13" s="199" t="s">
        <v>222</v>
      </c>
      <c r="H13" s="199">
        <v>400</v>
      </c>
      <c r="I13" s="199">
        <v>2800</v>
      </c>
      <c r="J13" s="199">
        <v>14.1</v>
      </c>
      <c r="K13" s="201">
        <v>18</v>
      </c>
      <c r="L13" s="199">
        <v>4500</v>
      </c>
      <c r="M13" s="199">
        <f t="shared" si="0"/>
        <v>13300</v>
      </c>
      <c r="N13" s="199">
        <v>9</v>
      </c>
      <c r="O13" s="199">
        <v>9</v>
      </c>
      <c r="P13" s="199">
        <v>9</v>
      </c>
      <c r="Q13" s="199">
        <v>130</v>
      </c>
      <c r="R13" s="199">
        <v>735</v>
      </c>
      <c r="T13" s="199">
        <v>8</v>
      </c>
      <c r="U13" s="829">
        <v>0.98</v>
      </c>
      <c r="V13" s="830"/>
      <c r="W13" s="830"/>
      <c r="X13" s="202"/>
      <c r="Y13" s="199">
        <v>996000</v>
      </c>
      <c r="Z13" s="831" t="s">
        <v>221</v>
      </c>
      <c r="AA13" s="199">
        <v>400</v>
      </c>
      <c r="AB13" s="199">
        <v>2800</v>
      </c>
      <c r="AC13" s="199">
        <v>5500</v>
      </c>
      <c r="AD13" s="831" t="s">
        <v>223</v>
      </c>
      <c r="AE13" s="199">
        <v>130</v>
      </c>
      <c r="AF13" s="823"/>
      <c r="AG13" s="823"/>
      <c r="AH13" s="823"/>
      <c r="AI13" s="823"/>
      <c r="AJ13" s="823"/>
      <c r="AK13" s="823"/>
      <c r="AL13" s="823"/>
      <c r="AM13" s="823"/>
      <c r="AN13" s="823"/>
      <c r="AO13" s="823"/>
      <c r="AP13" s="823"/>
      <c r="AQ13" s="823"/>
      <c r="AR13" s="823"/>
      <c r="AS13" s="823"/>
      <c r="AT13" s="823"/>
      <c r="AU13" s="823"/>
      <c r="AV13" s="823"/>
      <c r="AW13" s="823"/>
      <c r="AX13" s="823"/>
      <c r="AY13" s="823"/>
      <c r="AZ13" s="823"/>
      <c r="BA13" s="823"/>
      <c r="BB13" s="823"/>
      <c r="BC13" s="823"/>
      <c r="BD13" s="823"/>
      <c r="BE13" s="823"/>
      <c r="BF13" s="823"/>
      <c r="BG13" s="823"/>
      <c r="BH13" s="823"/>
      <c r="BI13" s="823"/>
      <c r="BJ13" s="823"/>
      <c r="BK13" s="823"/>
      <c r="BL13" s="823"/>
      <c r="BM13" s="823"/>
      <c r="BN13" s="823"/>
      <c r="BO13" s="823"/>
      <c r="BP13" s="823"/>
      <c r="BQ13" s="823"/>
      <c r="BR13" s="823"/>
      <c r="BS13" s="823"/>
      <c r="BT13" s="823"/>
      <c r="BU13" s="823"/>
      <c r="BV13" s="823"/>
      <c r="BW13" s="823"/>
      <c r="BX13" s="823"/>
      <c r="BY13" s="823"/>
      <c r="BZ13" s="823"/>
      <c r="CA13" s="823"/>
      <c r="CB13" s="823"/>
      <c r="CC13" s="823"/>
      <c r="CD13" s="823"/>
      <c r="CE13" s="823"/>
      <c r="CF13" s="823"/>
      <c r="CG13" s="823"/>
      <c r="CH13" s="824"/>
      <c r="CI13" s="824"/>
      <c r="IR13"/>
      <c r="IS13"/>
    </row>
    <row r="14" customHeight="1" spans="1:253">
      <c r="B14" s="199">
        <v>9</v>
      </c>
      <c r="C14" s="822">
        <v>3840</v>
      </c>
      <c r="D14" s="822">
        <v>720</v>
      </c>
      <c r="E14" s="822">
        <v>480</v>
      </c>
      <c r="F14" s="822">
        <v>480</v>
      </c>
      <c r="G14" s="199" t="s">
        <v>224</v>
      </c>
      <c r="H14" s="199">
        <v>700</v>
      </c>
      <c r="I14" s="199">
        <v>4800</v>
      </c>
      <c r="J14" s="199">
        <v>16</v>
      </c>
      <c r="K14" s="201">
        <v>20</v>
      </c>
      <c r="L14" s="199">
        <v>5500</v>
      </c>
      <c r="M14" s="199">
        <f t="shared" si="0"/>
        <v>18800</v>
      </c>
      <c r="N14" s="199">
        <v>10</v>
      </c>
      <c r="O14" s="199">
        <v>10</v>
      </c>
      <c r="P14" s="199">
        <v>10</v>
      </c>
      <c r="Q14" s="199">
        <v>150</v>
      </c>
      <c r="R14" s="199">
        <v>885</v>
      </c>
      <c r="T14" s="199">
        <v>9</v>
      </c>
      <c r="U14" s="829">
        <v>1.09</v>
      </c>
      <c r="V14" s="830"/>
      <c r="W14" s="830"/>
      <c r="X14" s="202"/>
      <c r="Y14" s="199">
        <v>1200000</v>
      </c>
      <c r="Z14" s="831" t="s">
        <v>223</v>
      </c>
      <c r="AA14" s="199">
        <v>700</v>
      </c>
      <c r="AB14" s="199">
        <v>4800</v>
      </c>
      <c r="AC14" s="199">
        <v>6000</v>
      </c>
      <c r="AD14" s="831" t="s">
        <v>225</v>
      </c>
      <c r="AE14" s="199">
        <v>140</v>
      </c>
      <c r="AF14" s="823"/>
      <c r="AG14" s="823"/>
      <c r="AH14" s="823"/>
      <c r="AI14" s="823"/>
      <c r="AJ14" s="823"/>
      <c r="AK14" s="823"/>
      <c r="AL14" s="823"/>
      <c r="AM14" s="823"/>
      <c r="AN14" s="823"/>
      <c r="AO14" s="823"/>
      <c r="AP14" s="823"/>
      <c r="AQ14" s="823"/>
      <c r="AR14" s="823"/>
      <c r="AS14" s="823"/>
      <c r="AT14" s="823"/>
      <c r="AU14" s="823"/>
      <c r="AV14" s="823"/>
      <c r="AW14" s="823"/>
      <c r="AX14" s="823"/>
      <c r="AY14" s="823"/>
      <c r="AZ14" s="823"/>
      <c r="BA14" s="823"/>
      <c r="BB14" s="823"/>
      <c r="BC14" s="823"/>
      <c r="BD14" s="823"/>
      <c r="BE14" s="823"/>
      <c r="BF14" s="823"/>
      <c r="BG14" s="823"/>
      <c r="BH14" s="823"/>
      <c r="BI14" s="823"/>
      <c r="BJ14" s="823"/>
      <c r="BK14" s="823"/>
      <c r="BL14" s="823"/>
      <c r="BM14" s="823"/>
      <c r="BN14" s="823"/>
      <c r="BO14" s="823"/>
      <c r="BP14" s="823"/>
      <c r="BQ14" s="823"/>
      <c r="BR14" s="823"/>
      <c r="BS14" s="823"/>
      <c r="BT14" s="823"/>
      <c r="BU14" s="823"/>
      <c r="BV14" s="823"/>
      <c r="BW14" s="823"/>
      <c r="BX14" s="823"/>
      <c r="BY14" s="823"/>
      <c r="BZ14" s="823"/>
      <c r="CA14" s="823"/>
      <c r="CB14" s="823"/>
      <c r="CC14" s="823"/>
      <c r="CD14" s="823"/>
      <c r="CE14" s="823"/>
      <c r="CF14" s="823"/>
      <c r="CG14" s="823"/>
      <c r="CH14" s="824"/>
      <c r="CI14" s="824"/>
      <c r="IR14"/>
      <c r="IS14"/>
    </row>
    <row r="15" customHeight="1" spans="1:253">
      <c r="B15" s="199" t="s">
        <v>226</v>
      </c>
      <c r="C15" s="199"/>
      <c r="D15" s="199"/>
      <c r="E15" s="199"/>
      <c r="F15" s="199"/>
      <c r="G15" s="199"/>
      <c r="H15" s="822">
        <v>1720</v>
      </c>
      <c r="I15" s="822">
        <v>12000</v>
      </c>
      <c r="J15" s="199"/>
      <c r="K15" s="201"/>
      <c r="L15" s="822">
        <v>18800</v>
      </c>
      <c r="M15" s="199"/>
      <c r="N15" s="199"/>
      <c r="O15" s="199"/>
      <c r="P15" s="199"/>
      <c r="Q15" s="822">
        <v>885</v>
      </c>
      <c r="R15" s="199"/>
      <c r="T15" s="199">
        <v>10</v>
      </c>
      <c r="U15" s="829">
        <v>1.2</v>
      </c>
      <c r="V15" s="830"/>
      <c r="W15" s="830"/>
      <c r="X15" s="202"/>
      <c r="Y15" s="199">
        <v>1425000</v>
      </c>
      <c r="Z15" s="831" t="s">
        <v>225</v>
      </c>
      <c r="AA15" s="199">
        <v>1000</v>
      </c>
      <c r="AB15" s="199">
        <v>6500</v>
      </c>
      <c r="AC15" s="199">
        <v>6500</v>
      </c>
      <c r="AD15" s="831" t="s">
        <v>227</v>
      </c>
      <c r="AE15" s="199">
        <v>150</v>
      </c>
      <c r="AF15" s="823"/>
      <c r="AG15" s="823"/>
      <c r="AH15" s="823"/>
      <c r="AI15" s="823"/>
      <c r="AJ15" s="823"/>
      <c r="AK15" s="823"/>
      <c r="AL15" s="823"/>
      <c r="AM15" s="823"/>
      <c r="AN15" s="823"/>
      <c r="AO15" s="823"/>
      <c r="AP15" s="823"/>
      <c r="AQ15" s="823"/>
      <c r="AR15" s="823"/>
      <c r="AS15" s="823"/>
      <c r="AT15" s="823"/>
      <c r="AU15" s="823"/>
      <c r="AV15" s="823"/>
      <c r="AW15" s="823"/>
      <c r="AX15" s="823"/>
      <c r="AY15" s="823"/>
      <c r="AZ15" s="823"/>
      <c r="BA15" s="823"/>
      <c r="BB15" s="823"/>
      <c r="BC15" s="823"/>
      <c r="BD15" s="823"/>
      <c r="BE15" s="823"/>
      <c r="BF15" s="823"/>
      <c r="BG15" s="823"/>
      <c r="BH15" s="823"/>
      <c r="BI15" s="823"/>
      <c r="BJ15" s="823"/>
      <c r="BK15" s="823"/>
      <c r="BL15" s="823"/>
      <c r="BM15" s="823"/>
      <c r="BN15" s="823"/>
      <c r="BO15" s="823"/>
      <c r="BP15" s="823"/>
      <c r="BQ15" s="823"/>
      <c r="BR15" s="823"/>
      <c r="BS15" s="823"/>
      <c r="BT15" s="823"/>
      <c r="BU15" s="823"/>
      <c r="BV15" s="823"/>
      <c r="BW15" s="823"/>
      <c r="BX15" s="823"/>
      <c r="BY15" s="823"/>
      <c r="BZ15" s="823"/>
      <c r="CA15" s="823"/>
      <c r="CB15" s="823"/>
      <c r="CC15" s="823"/>
      <c r="CD15" s="823"/>
      <c r="CE15" s="823"/>
      <c r="CF15" s="823"/>
      <c r="CG15" s="823"/>
      <c r="CH15" s="824"/>
      <c r="CI15" s="824"/>
      <c r="IR15"/>
      <c r="IS15"/>
    </row>
    <row r="16" customHeight="1" spans="1:253">
      <c r="T16" s="199">
        <v>11</v>
      </c>
      <c r="U16" s="829">
        <v>1.31</v>
      </c>
      <c r="V16" s="830"/>
      <c r="W16" s="830"/>
      <c r="X16" s="202"/>
      <c r="Y16" s="199">
        <v>1672000</v>
      </c>
      <c r="Z16" s="831" t="s">
        <v>227</v>
      </c>
      <c r="AA16" s="199">
        <v>1300</v>
      </c>
      <c r="AB16" s="199">
        <v>8000</v>
      </c>
      <c r="AC16" s="199">
        <v>7000</v>
      </c>
      <c r="AD16" s="831" t="s">
        <v>228</v>
      </c>
      <c r="AE16" s="199">
        <v>160</v>
      </c>
      <c r="AF16" s="823"/>
      <c r="AG16" s="823"/>
      <c r="AH16" s="823"/>
      <c r="AI16" s="823"/>
      <c r="AJ16" s="823"/>
      <c r="AK16" s="823"/>
      <c r="AL16" s="823"/>
      <c r="AM16" s="823"/>
      <c r="AN16" s="823"/>
      <c r="AO16" s="823"/>
      <c r="AP16" s="823"/>
      <c r="AQ16" s="823"/>
      <c r="AR16" s="823"/>
      <c r="AS16" s="823"/>
      <c r="AT16" s="823"/>
      <c r="AU16" s="823"/>
      <c r="AV16" s="823"/>
      <c r="AW16" s="823"/>
      <c r="AX16" s="823"/>
      <c r="AY16" s="823"/>
      <c r="AZ16" s="823"/>
      <c r="BA16" s="823"/>
      <c r="BB16" s="823"/>
      <c r="BC16" s="823"/>
      <c r="BD16" s="823"/>
      <c r="BE16" s="823"/>
      <c r="BF16" s="823"/>
      <c r="BG16" s="823"/>
      <c r="BH16" s="823"/>
      <c r="BI16" s="823"/>
      <c r="BJ16" s="823"/>
      <c r="BK16" s="823"/>
      <c r="BL16" s="823"/>
      <c r="BM16" s="823"/>
      <c r="BN16" s="823"/>
      <c r="BO16" s="823"/>
      <c r="BP16" s="823"/>
      <c r="BQ16" s="823"/>
      <c r="BR16" s="823"/>
      <c r="BS16" s="823"/>
      <c r="BT16" s="823"/>
      <c r="BU16" s="823"/>
      <c r="BV16" s="823"/>
      <c r="BW16" s="823"/>
      <c r="BX16" s="823"/>
      <c r="BY16" s="823"/>
      <c r="BZ16" s="823"/>
      <c r="CA16" s="823"/>
      <c r="CB16" s="823"/>
      <c r="CC16" s="823"/>
      <c r="CD16" s="823"/>
      <c r="CE16" s="823"/>
      <c r="CF16" s="823"/>
      <c r="CG16" s="823"/>
      <c r="CH16" s="824"/>
      <c r="CI16" s="824"/>
      <c r="IR16"/>
      <c r="IS16"/>
    </row>
    <row r="17" customHeight="1" spans="1:253">
      <c r="B17" s="199" t="s">
        <v>177</v>
      </c>
      <c r="C17" s="199" t="s">
        <v>189</v>
      </c>
      <c r="D17" s="199" t="s">
        <v>190</v>
      </c>
      <c r="E17" s="199" t="s">
        <v>191</v>
      </c>
      <c r="F17" s="199" t="s">
        <v>192</v>
      </c>
      <c r="G17" s="199" t="s">
        <v>179</v>
      </c>
      <c r="H17" s="822" t="s">
        <v>193</v>
      </c>
      <c r="I17" s="822" t="s">
        <v>194</v>
      </c>
      <c r="J17" s="199" t="s">
        <v>181</v>
      </c>
      <c r="K17" s="199" t="s">
        <v>229</v>
      </c>
      <c r="L17" s="822" t="s">
        <v>202</v>
      </c>
      <c r="M17" s="199" t="s">
        <v>230</v>
      </c>
      <c r="Q17" s="822" t="s">
        <v>231</v>
      </c>
      <c r="R17" s="199" t="s">
        <v>232</v>
      </c>
      <c r="T17" s="199">
        <v>12</v>
      </c>
      <c r="U17" s="829">
        <v>1.42</v>
      </c>
      <c r="V17" s="830"/>
      <c r="W17" s="830"/>
      <c r="X17" s="202"/>
      <c r="Y17" s="199">
        <v>1942000</v>
      </c>
      <c r="Z17" s="831" t="s">
        <v>228</v>
      </c>
      <c r="AA17" s="199">
        <v>1600</v>
      </c>
      <c r="AB17" s="199">
        <v>9500</v>
      </c>
      <c r="AC17" s="199">
        <v>7500</v>
      </c>
      <c r="AD17" s="831" t="s">
        <v>233</v>
      </c>
      <c r="AE17" s="199">
        <v>170</v>
      </c>
      <c r="AF17" s="823"/>
      <c r="AG17" s="823"/>
      <c r="AH17" s="823"/>
      <c r="AI17" s="823"/>
      <c r="AJ17" s="823"/>
      <c r="AK17" s="823"/>
      <c r="AL17" s="823"/>
      <c r="AM17" s="823"/>
      <c r="AN17" s="823"/>
      <c r="AO17" s="823"/>
      <c r="AP17" s="823"/>
      <c r="AQ17" s="823"/>
      <c r="AR17" s="823"/>
      <c r="AS17" s="823"/>
      <c r="AT17" s="823"/>
      <c r="AU17" s="823"/>
      <c r="AV17" s="823"/>
      <c r="AW17" s="823"/>
      <c r="AX17" s="823"/>
      <c r="AY17" s="823"/>
      <c r="AZ17" s="823"/>
      <c r="BA17" s="823"/>
      <c r="BB17" s="823"/>
      <c r="BC17" s="823"/>
      <c r="BD17" s="823"/>
      <c r="BE17" s="823"/>
      <c r="BF17" s="823"/>
      <c r="BG17" s="823"/>
      <c r="BH17" s="823"/>
      <c r="BI17" s="823"/>
      <c r="BJ17" s="823"/>
      <c r="BK17" s="823"/>
      <c r="BL17" s="823"/>
      <c r="BM17" s="823"/>
      <c r="BN17" s="823"/>
      <c r="BO17" s="823"/>
      <c r="BP17" s="823"/>
      <c r="BQ17" s="823"/>
      <c r="BR17" s="823"/>
      <c r="BS17" s="823"/>
      <c r="BT17" s="823"/>
      <c r="BU17" s="823"/>
      <c r="BV17" s="823"/>
      <c r="BW17" s="823"/>
      <c r="BX17" s="823"/>
      <c r="BY17" s="823"/>
      <c r="BZ17" s="823"/>
      <c r="CA17" s="823"/>
      <c r="CB17" s="823"/>
      <c r="CC17" s="823"/>
      <c r="CD17" s="823"/>
      <c r="CE17" s="823"/>
      <c r="CF17" s="823"/>
      <c r="CG17" s="823"/>
      <c r="CH17" s="824"/>
      <c r="CI17" s="824"/>
      <c r="IR17"/>
      <c r="IS17"/>
    </row>
    <row r="18" customHeight="1" spans="1:253">
      <c r="B18" s="199">
        <v>10</v>
      </c>
      <c r="C18" s="199">
        <v>4640</v>
      </c>
      <c r="D18" s="199">
        <v>870</v>
      </c>
      <c r="E18" s="199">
        <v>580</v>
      </c>
      <c r="F18" s="199">
        <v>580</v>
      </c>
      <c r="G18" s="199" t="s">
        <v>234</v>
      </c>
      <c r="H18" s="199">
        <v>1000</v>
      </c>
      <c r="I18" s="199">
        <v>6500</v>
      </c>
      <c r="J18" s="832">
        <v>18</v>
      </c>
      <c r="K18" s="199">
        <v>25</v>
      </c>
      <c r="L18" s="199">
        <v>6800</v>
      </c>
      <c r="M18" s="199">
        <f>M14+L18</f>
        <v>25600</v>
      </c>
      <c r="O18" s="833"/>
      <c r="Q18" s="199">
        <v>50</v>
      </c>
      <c r="R18" s="199">
        <v>50</v>
      </c>
      <c r="T18" s="199">
        <v>13</v>
      </c>
      <c r="U18" s="829">
        <v>1.53</v>
      </c>
      <c r="V18" s="830"/>
      <c r="W18" s="830"/>
      <c r="X18" s="202"/>
      <c r="Y18" s="199">
        <v>2236000</v>
      </c>
      <c r="Z18" s="831" t="s">
        <v>233</v>
      </c>
      <c r="AA18" s="199">
        <v>1900</v>
      </c>
      <c r="AB18" s="199">
        <v>11000</v>
      </c>
      <c r="AC18" s="199">
        <v>8000</v>
      </c>
      <c r="AD18" s="831" t="s">
        <v>235</v>
      </c>
      <c r="AE18" s="199">
        <v>180</v>
      </c>
      <c r="AF18" s="823"/>
      <c r="AG18" s="823"/>
      <c r="AH18" s="823"/>
      <c r="AI18" s="823"/>
      <c r="AJ18" s="823"/>
      <c r="AK18" s="823"/>
      <c r="AL18" s="823"/>
      <c r="AM18" s="823"/>
      <c r="AN18" s="823"/>
      <c r="AO18" s="823"/>
      <c r="AP18" s="823"/>
      <c r="AQ18" s="823"/>
      <c r="AR18" s="823"/>
      <c r="AS18" s="823"/>
      <c r="AT18" s="823"/>
      <c r="AU18" s="823"/>
      <c r="AV18" s="823"/>
      <c r="AW18" s="823"/>
      <c r="AX18" s="823"/>
      <c r="AY18" s="823"/>
      <c r="AZ18" s="823"/>
      <c r="BA18" s="823"/>
      <c r="BB18" s="823"/>
      <c r="BC18" s="823"/>
      <c r="BD18" s="823"/>
      <c r="BE18" s="823"/>
      <c r="BF18" s="823"/>
      <c r="BG18" s="823"/>
      <c r="BH18" s="823"/>
      <c r="BI18" s="823"/>
      <c r="BJ18" s="823"/>
      <c r="BK18" s="823"/>
      <c r="BL18" s="823"/>
      <c r="BM18" s="823"/>
      <c r="BN18" s="823"/>
      <c r="BO18" s="823"/>
      <c r="BP18" s="823"/>
      <c r="BQ18" s="823"/>
      <c r="BR18" s="823"/>
      <c r="BS18" s="823"/>
      <c r="BT18" s="823"/>
      <c r="BU18" s="823"/>
      <c r="BV18" s="823"/>
      <c r="BW18" s="823"/>
      <c r="BX18" s="823"/>
      <c r="BY18" s="823"/>
      <c r="BZ18" s="823"/>
      <c r="CA18" s="823"/>
      <c r="CB18" s="823"/>
      <c r="CC18" s="823"/>
      <c r="CD18" s="823"/>
      <c r="CE18" s="823"/>
      <c r="CF18" s="823"/>
      <c r="CG18" s="823"/>
      <c r="CH18" s="824"/>
      <c r="CI18" s="824"/>
      <c r="IR18"/>
      <c r="IS18"/>
    </row>
    <row r="19" customHeight="1" spans="1:253">
      <c r="B19" s="199">
        <v>11</v>
      </c>
      <c r="C19" s="199">
        <f>C18+B19*80</f>
        <v>5520</v>
      </c>
      <c r="D19" s="199">
        <f>D18+B19*15</f>
        <v>1035</v>
      </c>
      <c r="E19" s="199">
        <f>E18+B19*10</f>
        <v>690</v>
      </c>
      <c r="F19" s="199">
        <f>F18+B19*10</f>
        <v>690</v>
      </c>
      <c r="G19" s="199" t="s">
        <v>236</v>
      </c>
      <c r="H19" s="199">
        <v>1300</v>
      </c>
      <c r="I19" s="199">
        <v>8000</v>
      </c>
      <c r="J19" s="832">
        <v>20.1</v>
      </c>
      <c r="K19" s="199">
        <v>30</v>
      </c>
      <c r="L19" s="199">
        <v>8520</v>
      </c>
      <c r="M19" s="199">
        <f>M18+L19</f>
        <v>34120</v>
      </c>
      <c r="O19" s="833"/>
      <c r="Q19" s="199">
        <v>70</v>
      </c>
      <c r="R19" s="199">
        <f>R18+Q19</f>
        <v>120</v>
      </c>
      <c r="T19" s="199">
        <v>14</v>
      </c>
      <c r="U19" s="829">
        <v>1.64</v>
      </c>
      <c r="V19" s="830"/>
      <c r="W19" s="830"/>
      <c r="X19" s="202"/>
      <c r="Y19" s="199">
        <v>2555000</v>
      </c>
      <c r="Z19" s="831" t="s">
        <v>235</v>
      </c>
      <c r="AA19" s="199">
        <v>2200</v>
      </c>
      <c r="AB19" s="199">
        <v>12500</v>
      </c>
      <c r="AC19" s="199">
        <v>8500</v>
      </c>
      <c r="AD19" s="831" t="s">
        <v>237</v>
      </c>
      <c r="AE19" s="199">
        <v>190</v>
      </c>
      <c r="AF19" s="823"/>
      <c r="AG19" s="823"/>
      <c r="AH19" s="823"/>
      <c r="AI19" s="823"/>
      <c r="AJ19" s="823"/>
      <c r="AK19" s="823"/>
      <c r="AL19" s="823"/>
      <c r="AM19" s="823"/>
      <c r="AN19" s="823"/>
      <c r="AO19" s="823"/>
      <c r="AP19" s="823"/>
      <c r="AQ19" s="823"/>
      <c r="AR19" s="823"/>
      <c r="AS19" s="823"/>
      <c r="AT19" s="823"/>
      <c r="AU19" s="823"/>
      <c r="AV19" s="823"/>
      <c r="AW19" s="823"/>
      <c r="AX19" s="823"/>
      <c r="AY19" s="823"/>
      <c r="AZ19" s="823"/>
      <c r="BA19" s="823"/>
      <c r="BB19" s="823"/>
      <c r="BC19" s="823"/>
      <c r="BD19" s="823"/>
      <c r="BE19" s="823"/>
      <c r="BF19" s="823"/>
      <c r="BG19" s="823"/>
      <c r="BH19" s="823"/>
      <c r="BI19" s="823"/>
      <c r="BJ19" s="823"/>
      <c r="BK19" s="823"/>
      <c r="BL19" s="823"/>
      <c r="BM19" s="823"/>
      <c r="BN19" s="823"/>
      <c r="BO19" s="823"/>
      <c r="BP19" s="823"/>
      <c r="BQ19" s="823"/>
      <c r="BR19" s="823"/>
      <c r="BS19" s="823"/>
      <c r="BT19" s="823"/>
      <c r="BU19" s="823"/>
      <c r="BV19" s="823"/>
      <c r="BW19" s="823"/>
      <c r="BX19" s="823"/>
      <c r="BY19" s="823"/>
      <c r="BZ19" s="823"/>
      <c r="CA19" s="823"/>
      <c r="CB19" s="823"/>
      <c r="CC19" s="823"/>
      <c r="CD19" s="823"/>
      <c r="CE19" s="823"/>
      <c r="CF19" s="823"/>
      <c r="CG19" s="823"/>
      <c r="CH19" s="824"/>
      <c r="CI19" s="824"/>
      <c r="IR19"/>
      <c r="IS19"/>
    </row>
    <row r="20" customHeight="1" spans="1:253">
      <c r="B20" s="199">
        <v>12</v>
      </c>
      <c r="C20" s="199">
        <f>C19+B20*80</f>
        <v>6480</v>
      </c>
      <c r="D20" s="199">
        <f t="shared" ref="D20:D23" si="1">D19+B20*15</f>
        <v>1215</v>
      </c>
      <c r="E20" s="199">
        <f t="shared" ref="E20:E23" si="2">E19+B20*10</f>
        <v>810</v>
      </c>
      <c r="F20" s="199">
        <f t="shared" ref="F20:F23" si="3">F19+B20*10</f>
        <v>810</v>
      </c>
      <c r="G20" s="199" t="s">
        <v>238</v>
      </c>
      <c r="H20" s="199">
        <v>1600</v>
      </c>
      <c r="I20" s="199">
        <v>9500</v>
      </c>
      <c r="J20" s="832">
        <v>22.3</v>
      </c>
      <c r="K20" s="199">
        <v>35</v>
      </c>
      <c r="L20" s="199">
        <v>9835</v>
      </c>
      <c r="M20" s="199">
        <f t="shared" ref="M20:M23" si="4">M19+L20</f>
        <v>43955</v>
      </c>
      <c r="O20" s="833"/>
      <c r="Q20" s="199">
        <v>100</v>
      </c>
      <c r="R20" s="199">
        <f t="shared" ref="R20:R23" si="5">R19+Q20</f>
        <v>220</v>
      </c>
      <c r="T20" s="199">
        <v>15</v>
      </c>
      <c r="U20" s="834">
        <v>1.75</v>
      </c>
      <c r="V20" s="820"/>
      <c r="W20" s="820"/>
      <c r="X20" s="821"/>
      <c r="Y20" s="822">
        <v>2900000</v>
      </c>
      <c r="Z20" s="835" t="s">
        <v>237</v>
      </c>
      <c r="AA20" s="199">
        <v>2500</v>
      </c>
      <c r="AB20" s="199">
        <v>14000</v>
      </c>
      <c r="AC20" s="199">
        <v>9000</v>
      </c>
      <c r="AD20" s="835" t="s">
        <v>239</v>
      </c>
      <c r="AE20" s="199">
        <v>200</v>
      </c>
      <c r="AF20" s="823"/>
      <c r="AG20" s="823"/>
      <c r="AH20" s="823"/>
      <c r="AI20" s="823"/>
      <c r="AJ20" s="823"/>
      <c r="AK20" s="823"/>
      <c r="AL20" s="823"/>
      <c r="AM20" s="823"/>
      <c r="AN20" s="823"/>
      <c r="AO20" s="823"/>
      <c r="AP20" s="823"/>
      <c r="AQ20" s="823"/>
      <c r="AR20" s="823"/>
      <c r="AS20" s="823"/>
      <c r="AT20" s="823"/>
      <c r="AU20" s="823"/>
      <c r="AV20" s="823"/>
      <c r="AW20" s="823"/>
      <c r="AX20" s="823"/>
      <c r="AY20" s="823"/>
      <c r="AZ20" s="823"/>
      <c r="BA20" s="823"/>
      <c r="BB20" s="823"/>
      <c r="BC20" s="823"/>
      <c r="BD20" s="823"/>
      <c r="BE20" s="823"/>
      <c r="BF20" s="823"/>
      <c r="BG20" s="823"/>
      <c r="BH20" s="823"/>
      <c r="BI20" s="823"/>
      <c r="BJ20" s="823"/>
      <c r="BK20" s="823"/>
      <c r="BL20" s="823"/>
      <c r="BM20" s="823"/>
      <c r="BN20" s="823"/>
      <c r="BO20" s="823"/>
      <c r="BP20" s="823"/>
      <c r="BQ20" s="823"/>
      <c r="BR20" s="823"/>
      <c r="BS20" s="823"/>
      <c r="BT20" s="823"/>
      <c r="BU20" s="823"/>
      <c r="BV20" s="823"/>
      <c r="BW20" s="823"/>
      <c r="BX20" s="823"/>
      <c r="BY20" s="823"/>
      <c r="BZ20" s="823"/>
      <c r="CA20" s="823"/>
      <c r="CB20" s="823"/>
      <c r="CC20" s="823"/>
      <c r="CD20" s="823"/>
      <c r="CE20" s="823"/>
      <c r="CF20" s="823"/>
      <c r="CG20" s="823"/>
      <c r="CH20" s="824"/>
      <c r="CI20" s="824"/>
      <c r="IR20"/>
      <c r="IS20"/>
    </row>
    <row r="21" customHeight="1" spans="1:253">
      <c r="B21" s="199">
        <v>13</v>
      </c>
      <c r="C21" s="199">
        <f t="shared" ref="C21:C23" si="6">C20+B21*80</f>
        <v>7520</v>
      </c>
      <c r="D21" s="199">
        <f t="shared" si="1"/>
        <v>1410</v>
      </c>
      <c r="E21" s="199">
        <f t="shared" si="2"/>
        <v>940</v>
      </c>
      <c r="F21" s="199">
        <f t="shared" si="3"/>
        <v>940</v>
      </c>
      <c r="G21" s="199" t="s">
        <v>240</v>
      </c>
      <c r="H21" s="199">
        <v>1900</v>
      </c>
      <c r="I21" s="199">
        <v>11000</v>
      </c>
      <c r="J21" s="832">
        <v>24.7</v>
      </c>
      <c r="K21" s="199">
        <v>40</v>
      </c>
      <c r="L21" s="199">
        <v>10920</v>
      </c>
      <c r="M21" s="199">
        <f t="shared" si="4"/>
        <v>54875</v>
      </c>
      <c r="O21" s="833"/>
      <c r="Q21" s="199">
        <v>140</v>
      </c>
      <c r="R21" s="199">
        <f t="shared" si="5"/>
        <v>360</v>
      </c>
      <c r="T21" s="199" t="s">
        <v>226</v>
      </c>
      <c r="U21" s="829"/>
      <c r="V21" s="830"/>
      <c r="W21" s="830"/>
      <c r="X21" s="202"/>
      <c r="Y21" s="199"/>
      <c r="Z21" s="199"/>
      <c r="AA21" s="822">
        <f t="shared" ref="AA21:AC21" si="7">SUM(AA6:AA20)</f>
        <v>12220</v>
      </c>
      <c r="AB21" s="822">
        <f t="shared" si="7"/>
        <v>73500</v>
      </c>
      <c r="AC21" s="822">
        <f t="shared" si="7"/>
        <v>82500</v>
      </c>
      <c r="AD21" s="199"/>
      <c r="AE21" s="822">
        <f>SUM(AE5:AE20)</f>
        <v>2000</v>
      </c>
      <c r="AF21" s="823"/>
      <c r="AG21" s="823"/>
      <c r="AH21" s="823"/>
      <c r="AI21" s="823"/>
      <c r="AJ21" s="823"/>
      <c r="AK21" s="823"/>
      <c r="AL21" s="823"/>
      <c r="AM21" s="823"/>
      <c r="AN21" s="823"/>
      <c r="AO21" s="823"/>
      <c r="AP21" s="823"/>
      <c r="AQ21" s="823"/>
      <c r="AR21" s="823"/>
      <c r="AS21" s="823"/>
      <c r="AT21" s="823"/>
      <c r="AU21" s="823"/>
      <c r="AV21" s="823"/>
      <c r="AW21" s="823"/>
      <c r="AX21" s="823"/>
      <c r="AY21" s="823"/>
      <c r="AZ21" s="823"/>
      <c r="BA21" s="823"/>
      <c r="BB21" s="823"/>
      <c r="BC21" s="823"/>
      <c r="BD21" s="823"/>
      <c r="BE21" s="823"/>
      <c r="BF21" s="823"/>
      <c r="BG21" s="823"/>
      <c r="BH21" s="823"/>
      <c r="BI21" s="823"/>
      <c r="BJ21" s="823"/>
      <c r="BK21" s="823"/>
      <c r="BL21" s="823"/>
      <c r="BM21" s="823"/>
      <c r="BN21" s="823"/>
      <c r="BO21" s="823"/>
      <c r="BP21" s="823"/>
      <c r="BQ21" s="823"/>
      <c r="BR21" s="823"/>
      <c r="BS21" s="823"/>
      <c r="BT21" s="823"/>
      <c r="BU21" s="823"/>
      <c r="BV21" s="823"/>
      <c r="BW21" s="823"/>
      <c r="BX21" s="823"/>
      <c r="BY21" s="823"/>
      <c r="BZ21" s="823"/>
      <c r="CA21" s="823"/>
      <c r="CB21" s="823"/>
      <c r="CC21" s="823"/>
      <c r="CD21" s="823"/>
      <c r="CE21" s="823"/>
      <c r="CF21" s="823"/>
      <c r="CG21" s="823"/>
      <c r="CH21" s="824"/>
      <c r="CI21" s="824"/>
      <c r="IR21"/>
      <c r="IS21"/>
    </row>
    <row r="22" customHeight="1" spans="1:253">
      <c r="B22" s="199">
        <v>14</v>
      </c>
      <c r="C22" s="199">
        <f t="shared" si="6"/>
        <v>8640</v>
      </c>
      <c r="D22" s="199">
        <f t="shared" si="1"/>
        <v>1620</v>
      </c>
      <c r="E22" s="199">
        <f t="shared" si="2"/>
        <v>1080</v>
      </c>
      <c r="F22" s="199">
        <f t="shared" si="3"/>
        <v>1080</v>
      </c>
      <c r="G22" s="199" t="s">
        <v>241</v>
      </c>
      <c r="H22" s="199">
        <v>2200</v>
      </c>
      <c r="I22" s="199">
        <v>12500</v>
      </c>
      <c r="J22" s="832">
        <v>27.3</v>
      </c>
      <c r="K22" s="199">
        <v>45</v>
      </c>
      <c r="L22" s="199">
        <v>12240</v>
      </c>
      <c r="M22" s="199">
        <f t="shared" si="4"/>
        <v>67115</v>
      </c>
      <c r="O22" s="833"/>
      <c r="Q22" s="199">
        <v>190</v>
      </c>
      <c r="R22" s="199">
        <f t="shared" si="5"/>
        <v>550</v>
      </c>
      <c r="AF22" s="823"/>
      <c r="AG22" s="823"/>
      <c r="AH22" s="823"/>
      <c r="AI22" s="823"/>
      <c r="AJ22" s="823"/>
      <c r="AK22" s="823"/>
      <c r="AL22" s="823"/>
      <c r="AM22" s="823"/>
      <c r="AN22" s="823"/>
      <c r="AO22" s="823"/>
      <c r="AP22" s="823"/>
      <c r="AQ22" s="823"/>
      <c r="AR22" s="823"/>
      <c r="AS22" s="823"/>
      <c r="AT22" s="823"/>
      <c r="AU22" s="823"/>
      <c r="AV22" s="823"/>
      <c r="AW22" s="823"/>
      <c r="AX22" s="823"/>
      <c r="AY22" s="823"/>
      <c r="AZ22" s="823"/>
      <c r="BA22" s="823"/>
      <c r="BB22" s="823"/>
      <c r="BC22" s="823"/>
      <c r="BD22" s="823"/>
      <c r="BE22" s="823"/>
      <c r="BF22" s="823"/>
      <c r="BG22" s="823"/>
      <c r="BH22" s="823"/>
      <c r="BI22" s="823"/>
      <c r="BJ22" s="823"/>
      <c r="BK22" s="823"/>
      <c r="BL22" s="823"/>
      <c r="BM22" s="823"/>
      <c r="BN22" s="823"/>
      <c r="BO22" s="823"/>
      <c r="BP22" s="823"/>
      <c r="BQ22" s="823"/>
      <c r="BR22" s="823"/>
      <c r="BS22" s="823"/>
      <c r="BT22" s="823"/>
      <c r="BU22" s="823"/>
      <c r="BV22" s="823"/>
      <c r="BW22" s="823"/>
      <c r="BX22" s="823"/>
      <c r="BY22" s="823"/>
      <c r="BZ22" s="823"/>
      <c r="CA22" s="823"/>
      <c r="CB22" s="823"/>
      <c r="CC22" s="823"/>
      <c r="CD22" s="823"/>
      <c r="CE22" s="823"/>
      <c r="CF22" s="823"/>
      <c r="CG22" s="823"/>
      <c r="CH22" s="824"/>
      <c r="CI22" s="824"/>
      <c r="IR22"/>
      <c r="IS22"/>
    </row>
    <row r="23" customHeight="1" spans="1:253">
      <c r="B23" s="199">
        <v>15</v>
      </c>
      <c r="C23" s="822">
        <f t="shared" si="6"/>
        <v>9840</v>
      </c>
      <c r="D23" s="822">
        <f t="shared" si="1"/>
        <v>1845</v>
      </c>
      <c r="E23" s="822">
        <f t="shared" si="2"/>
        <v>1230</v>
      </c>
      <c r="F23" s="822">
        <f t="shared" si="3"/>
        <v>1230</v>
      </c>
      <c r="G23" s="199" t="s">
        <v>242</v>
      </c>
      <c r="H23" s="199">
        <v>2500</v>
      </c>
      <c r="I23" s="199">
        <v>14000</v>
      </c>
      <c r="J23" s="832">
        <v>30</v>
      </c>
      <c r="K23" s="199">
        <v>50</v>
      </c>
      <c r="L23" s="199">
        <v>13950</v>
      </c>
      <c r="M23" s="199">
        <f t="shared" si="4"/>
        <v>81065</v>
      </c>
      <c r="Q23" s="199">
        <v>250</v>
      </c>
      <c r="R23" s="199">
        <f t="shared" si="5"/>
        <v>800</v>
      </c>
      <c r="AF23" s="823"/>
      <c r="AG23" s="823"/>
      <c r="AH23" s="823"/>
      <c r="AI23" s="823"/>
      <c r="AJ23" s="823"/>
      <c r="AK23" s="823"/>
      <c r="AL23" s="823"/>
      <c r="AM23" s="823"/>
      <c r="AN23" s="823"/>
      <c r="AO23" s="823"/>
      <c r="AP23" s="823"/>
      <c r="AQ23" s="823"/>
      <c r="AR23" s="823"/>
      <c r="AS23" s="823"/>
      <c r="AT23" s="823"/>
      <c r="AU23" s="823"/>
      <c r="AV23" s="823"/>
      <c r="AW23" s="823"/>
      <c r="AX23" s="823"/>
      <c r="AY23" s="823"/>
      <c r="AZ23" s="823"/>
      <c r="BA23" s="823"/>
      <c r="BB23" s="823"/>
      <c r="BC23" s="823"/>
      <c r="BD23" s="823"/>
      <c r="BE23" s="823"/>
      <c r="BF23" s="823"/>
      <c r="BG23" s="823"/>
      <c r="BH23" s="823"/>
      <c r="BI23" s="823"/>
      <c r="BJ23" s="823"/>
      <c r="BK23" s="823"/>
      <c r="BL23" s="823"/>
      <c r="BM23" s="823"/>
      <c r="BN23" s="823"/>
      <c r="BO23" s="823"/>
      <c r="BP23" s="823"/>
      <c r="BQ23" s="823"/>
      <c r="BR23" s="823"/>
      <c r="BS23" s="823"/>
      <c r="BT23" s="823"/>
      <c r="BU23" s="823"/>
      <c r="BV23" s="823"/>
      <c r="BW23" s="823"/>
      <c r="BX23" s="823"/>
      <c r="BY23" s="823"/>
      <c r="BZ23" s="823"/>
      <c r="CA23" s="823"/>
      <c r="CB23" s="823"/>
      <c r="CC23" s="823"/>
      <c r="CD23" s="823"/>
      <c r="CE23" s="823"/>
      <c r="CF23" s="823"/>
      <c r="CG23" s="823"/>
      <c r="CH23" s="824"/>
      <c r="CI23" s="824"/>
      <c r="IR23"/>
      <c r="IS23"/>
    </row>
    <row r="24" customHeight="1" spans="1:253">
      <c r="B24" s="199" t="s">
        <v>226</v>
      </c>
      <c r="C24" s="199"/>
      <c r="D24" s="199"/>
      <c r="E24" s="199"/>
      <c r="F24" s="199"/>
      <c r="G24" s="199"/>
      <c r="H24" s="822">
        <f>SUM(H18:H23)</f>
        <v>10500</v>
      </c>
      <c r="I24" s="822">
        <f>SUM(I18:I23)</f>
        <v>61500</v>
      </c>
      <c r="J24" s="199"/>
      <c r="K24" s="199"/>
      <c r="L24" s="822">
        <f>SUM(L18:L23)</f>
        <v>62265</v>
      </c>
      <c r="M24" s="199"/>
      <c r="Q24" s="822">
        <f>SUM(Q18:Q23)</f>
        <v>800</v>
      </c>
      <c r="R24" s="199"/>
      <c r="AF24" s="823"/>
      <c r="AG24" s="823"/>
      <c r="AH24" s="823"/>
      <c r="AI24" s="823"/>
      <c r="AJ24" s="823"/>
      <c r="AK24" s="823"/>
      <c r="AL24" s="823"/>
      <c r="AM24" s="823"/>
      <c r="AN24" s="823"/>
      <c r="AO24" s="823"/>
      <c r="AP24" s="823"/>
      <c r="AQ24" s="823"/>
      <c r="AR24" s="823"/>
      <c r="AS24" s="823"/>
      <c r="AT24" s="823"/>
      <c r="AU24" s="823"/>
      <c r="AV24" s="823"/>
      <c r="AW24" s="823"/>
      <c r="AX24" s="823"/>
      <c r="AY24" s="823"/>
      <c r="AZ24" s="823"/>
      <c r="BA24" s="823"/>
      <c r="BB24" s="823"/>
      <c r="BC24" s="823"/>
      <c r="BD24" s="823"/>
      <c r="BE24" s="823"/>
      <c r="BF24" s="823"/>
      <c r="BG24" s="823"/>
      <c r="BH24" s="823"/>
      <c r="BI24" s="823"/>
      <c r="BJ24" s="823"/>
      <c r="BK24" s="823"/>
      <c r="BL24" s="823"/>
      <c r="BM24" s="823"/>
      <c r="BN24" s="823"/>
      <c r="BO24" s="823"/>
      <c r="BP24" s="823"/>
      <c r="BQ24" s="823"/>
      <c r="BR24" s="823"/>
      <c r="BS24" s="823"/>
      <c r="BT24" s="823"/>
      <c r="BU24" s="823"/>
      <c r="BV24" s="823"/>
      <c r="BW24" s="823"/>
      <c r="BX24" s="823"/>
      <c r="BY24" s="823"/>
      <c r="BZ24" s="823"/>
      <c r="CA24" s="823"/>
      <c r="CB24" s="823"/>
      <c r="CC24" s="823"/>
      <c r="CD24" s="823"/>
      <c r="CE24" s="823"/>
      <c r="CF24" s="823"/>
      <c r="CG24" s="823"/>
      <c r="CH24" s="824"/>
      <c r="CI24" s="824"/>
      <c r="IR24"/>
      <c r="IS24"/>
    </row>
    <row r="25" customHeight="1" spans="1:253">
      <c r="H25" s="198">
        <f>H15+H24</f>
        <v>12220</v>
      </c>
      <c r="I25" s="198">
        <f>I15+I24</f>
        <v>73500</v>
      </c>
      <c r="L25" s="198">
        <f>L15+L24</f>
        <v>81065</v>
      </c>
      <c r="AF25" s="823"/>
      <c r="AG25" s="823"/>
      <c r="AH25" s="823"/>
      <c r="AI25" s="823"/>
      <c r="AJ25" s="823"/>
      <c r="AK25" s="823"/>
      <c r="AL25" s="823"/>
      <c r="AM25" s="823"/>
      <c r="AN25" s="823"/>
      <c r="AO25" s="823"/>
      <c r="AP25" s="823"/>
      <c r="AQ25" s="823"/>
      <c r="AR25" s="823"/>
      <c r="AS25" s="823"/>
      <c r="AT25" s="823"/>
      <c r="AU25" s="823"/>
      <c r="AV25" s="823"/>
      <c r="AW25" s="823"/>
      <c r="AX25" s="823"/>
      <c r="AY25" s="823"/>
      <c r="AZ25" s="823"/>
      <c r="BA25" s="823"/>
      <c r="BB25" s="823"/>
      <c r="BC25" s="823"/>
      <c r="BD25" s="823"/>
      <c r="BE25" s="823"/>
      <c r="BF25" s="823"/>
      <c r="BG25" s="823"/>
      <c r="BH25" s="823"/>
      <c r="BI25" s="823"/>
      <c r="BJ25" s="823"/>
      <c r="BK25" s="823"/>
      <c r="BL25" s="823"/>
      <c r="BM25" s="823"/>
      <c r="BN25" s="823"/>
      <c r="BO25" s="823"/>
      <c r="BP25" s="823"/>
      <c r="BQ25" s="823"/>
      <c r="BR25" s="823"/>
      <c r="BS25" s="823"/>
      <c r="BT25" s="823"/>
      <c r="BU25" s="823"/>
      <c r="BV25" s="823"/>
      <c r="BW25" s="823"/>
      <c r="BX25" s="823"/>
      <c r="BY25" s="823"/>
      <c r="BZ25" s="823"/>
      <c r="CA25" s="823"/>
      <c r="CB25" s="823"/>
      <c r="CC25" s="823"/>
      <c r="CD25" s="823"/>
      <c r="CE25" s="823"/>
      <c r="CF25" s="823"/>
      <c r="CG25" s="823"/>
      <c r="CH25" s="824"/>
      <c r="CI25" s="824"/>
      <c r="IR25"/>
      <c r="IS25"/>
    </row>
    <row r="26" customHeight="1" spans="1:253">
      <c r="AF26" s="823"/>
      <c r="AG26" s="823"/>
      <c r="AH26" s="823"/>
      <c r="AI26" s="823"/>
      <c r="AJ26" s="823"/>
      <c r="AK26" s="823"/>
      <c r="AL26" s="823"/>
      <c r="AM26" s="823"/>
      <c r="AN26" s="823"/>
      <c r="AO26" s="823"/>
      <c r="AP26" s="823"/>
      <c r="AQ26" s="823"/>
      <c r="AR26" s="823"/>
      <c r="AS26" s="823"/>
      <c r="AT26" s="823"/>
      <c r="AU26" s="823"/>
      <c r="AV26" s="823"/>
      <c r="AW26" s="823"/>
      <c r="AX26" s="823"/>
      <c r="AY26" s="823"/>
      <c r="AZ26" s="823"/>
      <c r="BA26" s="823"/>
      <c r="BB26" s="823"/>
      <c r="BC26" s="823"/>
      <c r="BD26" s="823"/>
      <c r="BE26" s="823"/>
      <c r="BF26" s="823"/>
      <c r="BG26" s="823"/>
      <c r="BH26" s="823"/>
      <c r="BI26" s="823"/>
      <c r="BJ26" s="823"/>
      <c r="BK26" s="823"/>
      <c r="BL26" s="823"/>
      <c r="BM26" s="823"/>
      <c r="BN26" s="823"/>
      <c r="BO26" s="823"/>
      <c r="BP26" s="823"/>
      <c r="BQ26" s="823"/>
      <c r="BR26" s="823"/>
      <c r="BS26" s="823"/>
      <c r="BT26" s="823"/>
      <c r="BU26" s="823"/>
      <c r="BV26" s="823"/>
      <c r="BW26" s="823"/>
      <c r="BX26" s="823"/>
      <c r="BY26" s="823"/>
      <c r="BZ26" s="823"/>
      <c r="CA26" s="823"/>
      <c r="CB26" s="823"/>
      <c r="CC26" s="823"/>
      <c r="CD26" s="823"/>
      <c r="CE26" s="823"/>
      <c r="CF26" s="823"/>
      <c r="CG26" s="823"/>
      <c r="IR26"/>
      <c r="IS26"/>
    </row>
    <row r="27" customHeight="1" spans="1:253">
      <c r="AF27" s="823"/>
      <c r="AG27" s="823"/>
      <c r="AH27" s="823"/>
      <c r="AI27" s="823"/>
      <c r="AJ27" s="823"/>
      <c r="AK27" s="823"/>
      <c r="AL27" s="823"/>
      <c r="AM27" s="823"/>
      <c r="AN27" s="823"/>
      <c r="AO27" s="823"/>
      <c r="AP27" s="823"/>
      <c r="AQ27" s="823"/>
      <c r="AR27" s="823"/>
      <c r="AS27" s="823"/>
      <c r="AT27" s="823"/>
      <c r="AU27" s="823"/>
      <c r="AV27" s="823"/>
      <c r="AW27" s="823"/>
      <c r="AX27" s="823"/>
      <c r="AY27" s="823"/>
      <c r="AZ27" s="823"/>
      <c r="BA27" s="823"/>
      <c r="BB27" s="823"/>
      <c r="BC27" s="823"/>
      <c r="BD27" s="823"/>
      <c r="BE27" s="823"/>
      <c r="BF27" s="823"/>
      <c r="BG27" s="823"/>
      <c r="BH27" s="823"/>
      <c r="BI27" s="823"/>
      <c r="BJ27" s="823"/>
      <c r="BK27" s="823"/>
      <c r="BL27" s="823"/>
      <c r="BM27" s="823"/>
      <c r="BN27" s="823"/>
      <c r="BO27" s="823"/>
      <c r="BP27" s="823"/>
      <c r="BQ27" s="823"/>
      <c r="BR27" s="823"/>
      <c r="BS27" s="823"/>
      <c r="BT27" s="823"/>
      <c r="BU27" s="823"/>
      <c r="BV27" s="823"/>
      <c r="BW27" s="823"/>
      <c r="BX27" s="823"/>
      <c r="BY27" s="823"/>
      <c r="BZ27" s="823"/>
      <c r="CA27" s="823"/>
      <c r="CB27" s="823"/>
      <c r="CC27" s="823"/>
      <c r="CD27" s="823"/>
      <c r="CE27" s="823"/>
      <c r="CF27" s="823"/>
      <c r="CG27" s="823"/>
      <c r="IR27"/>
      <c r="IS27"/>
    </row>
    <row r="28" ht="20.1" customHeight="1" spans="1:253">
      <c r="A28" s="14"/>
      <c r="B28" s="814" t="s">
        <v>243</v>
      </c>
      <c r="C28" s="815"/>
      <c r="D28" s="815"/>
      <c r="E28" s="815"/>
      <c r="F28" s="815"/>
      <c r="G28" s="815"/>
      <c r="H28" s="815"/>
      <c r="I28" s="815"/>
      <c r="J28" s="815"/>
      <c r="K28" s="815"/>
      <c r="L28" s="815"/>
      <c r="M28" s="815"/>
      <c r="N28" s="815"/>
      <c r="O28" s="815"/>
      <c r="P28" s="815"/>
      <c r="Q28" s="815"/>
      <c r="R28" s="815"/>
      <c r="T28" s="836" t="s">
        <v>244</v>
      </c>
      <c r="U28" s="836"/>
      <c r="V28" s="836"/>
      <c r="W28" s="836"/>
      <c r="X28" s="836"/>
      <c r="Y28" s="836"/>
      <c r="Z28" s="836"/>
      <c r="AA28" s="836"/>
      <c r="AB28" s="836"/>
      <c r="AC28" s="836"/>
      <c r="AD28" s="836"/>
      <c r="AE28" s="836"/>
      <c r="IR28"/>
      <c r="IS28"/>
    </row>
    <row r="29" customHeight="1" spans="1:253">
      <c r="B29" s="199" t="s">
        <v>177</v>
      </c>
      <c r="C29" s="199" t="s">
        <v>178</v>
      </c>
      <c r="D29" s="199"/>
      <c r="E29" s="199"/>
      <c r="F29" s="199"/>
      <c r="G29" s="199" t="s">
        <v>179</v>
      </c>
      <c r="H29" s="199" t="s">
        <v>180</v>
      </c>
      <c r="I29" s="199"/>
      <c r="J29" s="199" t="s">
        <v>181</v>
      </c>
      <c r="K29" s="837" t="s">
        <v>182</v>
      </c>
      <c r="L29" s="818" t="s">
        <v>183</v>
      </c>
      <c r="M29" s="200" t="s">
        <v>184</v>
      </c>
      <c r="N29" s="199" t="s">
        <v>185</v>
      </c>
      <c r="O29" s="199"/>
      <c r="P29" s="199"/>
      <c r="Q29" s="818" t="s">
        <v>186</v>
      </c>
      <c r="R29" s="200" t="s">
        <v>187</v>
      </c>
      <c r="T29" s="838" t="s">
        <v>177</v>
      </c>
      <c r="U29" s="819" t="s">
        <v>178</v>
      </c>
      <c r="V29" s="820"/>
      <c r="W29" s="820"/>
      <c r="X29" s="821"/>
      <c r="Y29" s="819" t="s">
        <v>188</v>
      </c>
      <c r="Z29" s="821"/>
      <c r="AA29" s="819" t="s">
        <v>180</v>
      </c>
      <c r="AB29" s="820"/>
      <c r="AC29" s="821"/>
      <c r="AD29" s="819" t="s">
        <v>185</v>
      </c>
      <c r="AE29" s="821"/>
      <c r="AF29" s="823"/>
      <c r="AG29" s="823"/>
      <c r="AH29" s="823"/>
      <c r="AI29" s="823"/>
      <c r="AJ29" s="823"/>
      <c r="AK29" s="823"/>
      <c r="AL29" s="823"/>
      <c r="AM29" s="823"/>
      <c r="AN29" s="823"/>
      <c r="AO29" s="823"/>
      <c r="AP29" s="823"/>
      <c r="AQ29" s="823"/>
      <c r="AR29" s="823"/>
      <c r="AS29" s="823"/>
      <c r="AT29" s="823"/>
      <c r="AU29" s="823"/>
      <c r="AV29" s="823"/>
      <c r="AW29" s="823"/>
      <c r="AX29" s="823"/>
      <c r="AY29" s="823"/>
      <c r="AZ29" s="823"/>
      <c r="BA29" s="823"/>
      <c r="BB29" s="823"/>
      <c r="BC29" s="823"/>
      <c r="BD29" s="823"/>
      <c r="BE29" s="823"/>
      <c r="BF29" s="823"/>
      <c r="BG29" s="823"/>
      <c r="BH29" s="823"/>
      <c r="BI29" s="823"/>
      <c r="BJ29" s="823"/>
      <c r="BK29" s="823"/>
      <c r="BL29" s="823"/>
      <c r="BM29" s="823"/>
      <c r="BN29" s="823"/>
      <c r="BO29" s="823"/>
      <c r="BP29" s="823"/>
      <c r="BQ29" s="823"/>
      <c r="BR29" s="823"/>
      <c r="BS29" s="823"/>
      <c r="BT29" s="823"/>
      <c r="BU29" s="823"/>
      <c r="BV29" s="823"/>
      <c r="BW29" s="823"/>
      <c r="BX29" s="823"/>
      <c r="BY29" s="823"/>
      <c r="BZ29" s="823"/>
      <c r="CA29" s="823"/>
      <c r="CB29" s="823"/>
      <c r="CC29" s="823"/>
      <c r="CD29" s="823"/>
      <c r="CE29" s="823"/>
      <c r="CF29" s="823"/>
      <c r="CG29" s="823"/>
      <c r="IR29"/>
      <c r="IS29"/>
    </row>
    <row r="30" customHeight="1" spans="1:253">
      <c r="B30" s="199"/>
      <c r="C30" s="199" t="s">
        <v>190</v>
      </c>
      <c r="D30" s="199" t="s">
        <v>192</v>
      </c>
      <c r="E30" s="199" t="s">
        <v>198</v>
      </c>
      <c r="F30" s="199" t="s">
        <v>189</v>
      </c>
      <c r="G30" s="199"/>
      <c r="H30" s="822" t="s">
        <v>245</v>
      </c>
      <c r="I30" s="822" t="s">
        <v>194</v>
      </c>
      <c r="J30" s="199"/>
      <c r="K30" s="839"/>
      <c r="L30" s="822"/>
      <c r="M30" s="199"/>
      <c r="N30" s="199" t="s">
        <v>246</v>
      </c>
      <c r="O30" s="199" t="s">
        <v>247</v>
      </c>
      <c r="P30" s="199" t="s">
        <v>248</v>
      </c>
      <c r="Q30" s="822"/>
      <c r="R30" s="199"/>
      <c r="T30" s="839"/>
      <c r="U30" s="819" t="s">
        <v>191</v>
      </c>
      <c r="V30" s="820" t="s">
        <v>192</v>
      </c>
      <c r="W30" s="820" t="s">
        <v>189</v>
      </c>
      <c r="X30" s="821" t="s">
        <v>190</v>
      </c>
      <c r="Y30" s="822" t="s">
        <v>199</v>
      </c>
      <c r="Z30" s="822" t="s">
        <v>249</v>
      </c>
      <c r="AA30" s="822" t="s">
        <v>250</v>
      </c>
      <c r="AB30" s="822" t="s">
        <v>194</v>
      </c>
      <c r="AC30" s="822" t="s">
        <v>202</v>
      </c>
      <c r="AD30" s="822" t="s">
        <v>251</v>
      </c>
      <c r="AE30" s="822" t="s">
        <v>252</v>
      </c>
      <c r="AF30" s="823"/>
      <c r="AG30" s="823"/>
      <c r="AH30" s="823"/>
      <c r="AI30" s="823"/>
      <c r="AJ30" s="823"/>
      <c r="AK30" s="823"/>
      <c r="AL30" s="823"/>
      <c r="AM30" s="823"/>
      <c r="AN30" s="823"/>
      <c r="AO30" s="823"/>
      <c r="AP30" s="823"/>
      <c r="AQ30" s="823"/>
      <c r="AR30" s="823"/>
      <c r="AS30" s="823"/>
      <c r="AT30" s="823"/>
      <c r="AU30" s="823"/>
      <c r="AV30" s="823"/>
      <c r="AW30" s="823"/>
      <c r="AX30" s="823"/>
      <c r="AY30" s="823"/>
      <c r="AZ30" s="823"/>
      <c r="BA30" s="823"/>
      <c r="BB30" s="823"/>
      <c r="BC30" s="823"/>
      <c r="BD30" s="823"/>
      <c r="BE30" s="823"/>
      <c r="BF30" s="823"/>
      <c r="BG30" s="823"/>
      <c r="BH30" s="823"/>
      <c r="BI30" s="823"/>
      <c r="BJ30" s="823"/>
      <c r="BK30" s="823"/>
      <c r="BL30" s="823"/>
      <c r="BM30" s="823"/>
      <c r="BN30" s="823"/>
      <c r="BO30" s="823"/>
      <c r="BP30" s="823"/>
      <c r="BQ30" s="823"/>
      <c r="BR30" s="823"/>
      <c r="BS30" s="823"/>
      <c r="BT30" s="823"/>
      <c r="BU30" s="823"/>
      <c r="BV30" s="823"/>
      <c r="BW30" s="823"/>
      <c r="BX30" s="823"/>
      <c r="BY30" s="823"/>
      <c r="BZ30" s="823"/>
      <c r="CA30" s="823"/>
      <c r="CB30" s="823"/>
      <c r="CC30" s="823"/>
      <c r="CD30" s="823"/>
      <c r="CE30" s="823"/>
      <c r="CF30" s="823"/>
      <c r="CG30" s="823"/>
      <c r="IR30"/>
      <c r="IS30"/>
    </row>
    <row r="31" customHeight="1" spans="1:253">
      <c r="B31" s="199">
        <v>0</v>
      </c>
      <c r="C31" s="199">
        <v>45</v>
      </c>
      <c r="D31" s="199"/>
      <c r="E31" s="199"/>
      <c r="F31" s="199"/>
      <c r="G31" s="199" t="s">
        <v>205</v>
      </c>
      <c r="H31" s="199"/>
      <c r="I31" s="199"/>
      <c r="J31" s="199">
        <v>2.5</v>
      </c>
      <c r="K31" s="201">
        <v>2</v>
      </c>
      <c r="L31" s="199">
        <v>100</v>
      </c>
      <c r="M31" s="199">
        <v>100</v>
      </c>
      <c r="N31" s="199">
        <v>0.5</v>
      </c>
      <c r="O31" s="199">
        <v>0.5</v>
      </c>
      <c r="P31" s="199">
        <v>1</v>
      </c>
      <c r="Q31" s="199">
        <v>40</v>
      </c>
      <c r="R31" s="199">
        <v>40</v>
      </c>
      <c r="T31" s="199">
        <v>0</v>
      </c>
      <c r="U31" s="829">
        <v>0.1</v>
      </c>
      <c r="V31" s="840"/>
      <c r="W31" s="840"/>
      <c r="X31" s="841"/>
      <c r="Y31" s="199">
        <v>0</v>
      </c>
      <c r="Z31" s="199" t="s">
        <v>206</v>
      </c>
      <c r="AA31" s="199"/>
      <c r="AB31" s="199"/>
      <c r="AC31" s="199"/>
      <c r="AD31" s="199" t="s">
        <v>207</v>
      </c>
      <c r="AE31" s="199">
        <v>50</v>
      </c>
      <c r="AF31" s="823"/>
      <c r="AG31" s="823"/>
      <c r="AH31" s="823"/>
      <c r="AI31" s="823"/>
      <c r="AJ31" s="823"/>
      <c r="AK31" s="823"/>
      <c r="AL31" s="823"/>
      <c r="AM31" s="823"/>
      <c r="AN31" s="823"/>
      <c r="AO31" s="823"/>
      <c r="AP31" s="823"/>
      <c r="AQ31" s="823"/>
      <c r="AR31" s="823"/>
      <c r="AS31" s="823"/>
      <c r="AT31" s="823"/>
      <c r="AU31" s="823"/>
      <c r="AV31" s="823"/>
      <c r="AW31" s="823"/>
      <c r="AX31" s="823"/>
      <c r="AY31" s="823"/>
      <c r="AZ31" s="823"/>
      <c r="BA31" s="823"/>
      <c r="BB31" s="823"/>
      <c r="BC31" s="823"/>
      <c r="BD31" s="823"/>
      <c r="BE31" s="823"/>
      <c r="BF31" s="823"/>
      <c r="BG31" s="823"/>
      <c r="BH31" s="823"/>
      <c r="BI31" s="823"/>
      <c r="BJ31" s="823"/>
      <c r="BK31" s="823"/>
      <c r="BL31" s="823"/>
      <c r="BM31" s="823"/>
      <c r="BN31" s="823"/>
      <c r="BO31" s="823"/>
      <c r="BP31" s="823"/>
      <c r="BQ31" s="823"/>
      <c r="BR31" s="823"/>
      <c r="BS31" s="823"/>
      <c r="BT31" s="823"/>
      <c r="BU31" s="823"/>
      <c r="BV31" s="823"/>
      <c r="BW31" s="823"/>
      <c r="BX31" s="823"/>
      <c r="BY31" s="823"/>
      <c r="BZ31" s="823"/>
      <c r="CA31" s="823"/>
      <c r="CB31" s="823"/>
      <c r="CC31" s="823"/>
      <c r="CD31" s="823"/>
      <c r="CE31" s="823"/>
      <c r="CF31" s="823"/>
      <c r="CG31" s="823"/>
      <c r="IR31"/>
      <c r="IS31"/>
    </row>
    <row r="32" customHeight="1" spans="1:253">
      <c r="B32" s="199">
        <v>1</v>
      </c>
      <c r="C32" s="199">
        <v>60</v>
      </c>
      <c r="D32" s="199"/>
      <c r="E32" s="199"/>
      <c r="F32" s="199"/>
      <c r="G32" s="199" t="s">
        <v>208</v>
      </c>
      <c r="H32" s="199">
        <v>20</v>
      </c>
      <c r="I32" s="199">
        <v>100</v>
      </c>
      <c r="J32" s="199">
        <v>3.6</v>
      </c>
      <c r="K32" s="201">
        <v>3</v>
      </c>
      <c r="L32" s="199">
        <v>150</v>
      </c>
      <c r="M32" s="199">
        <v>250</v>
      </c>
      <c r="N32" s="199">
        <v>1</v>
      </c>
      <c r="O32" s="199">
        <v>1</v>
      </c>
      <c r="P32" s="199">
        <v>2</v>
      </c>
      <c r="Q32" s="199">
        <v>50</v>
      </c>
      <c r="R32" s="199">
        <v>90</v>
      </c>
      <c r="T32" s="199">
        <v>1</v>
      </c>
      <c r="U32" s="829">
        <v>0.21</v>
      </c>
      <c r="V32" s="840"/>
      <c r="W32" s="840"/>
      <c r="X32" s="841"/>
      <c r="Y32" s="199">
        <v>72000</v>
      </c>
      <c r="Z32" s="831" t="s">
        <v>207</v>
      </c>
      <c r="AA32" s="199">
        <v>20</v>
      </c>
      <c r="AB32" s="199">
        <v>100</v>
      </c>
      <c r="AC32" s="199">
        <v>2000</v>
      </c>
      <c r="AD32" s="831" t="s">
        <v>209</v>
      </c>
      <c r="AE32" s="199">
        <v>60</v>
      </c>
      <c r="IR32"/>
      <c r="IS32"/>
    </row>
    <row r="33" customHeight="1" spans="2:253">
      <c r="B33" s="199">
        <v>2</v>
      </c>
      <c r="C33" s="199">
        <v>90</v>
      </c>
      <c r="D33" s="199">
        <v>60</v>
      </c>
      <c r="E33" s="199"/>
      <c r="F33" s="199"/>
      <c r="G33" s="199" t="s">
        <v>210</v>
      </c>
      <c r="H33" s="199">
        <v>30</v>
      </c>
      <c r="I33" s="199">
        <v>200</v>
      </c>
      <c r="J33" s="199">
        <v>4.8</v>
      </c>
      <c r="K33" s="201">
        <v>5</v>
      </c>
      <c r="L33" s="199">
        <v>550</v>
      </c>
      <c r="M33" s="199">
        <v>800</v>
      </c>
      <c r="N33" s="199">
        <v>1.5</v>
      </c>
      <c r="O33" s="199">
        <v>1.5</v>
      </c>
      <c r="P33" s="199">
        <v>3</v>
      </c>
      <c r="Q33" s="199">
        <v>60</v>
      </c>
      <c r="R33" s="199">
        <v>150</v>
      </c>
      <c r="T33" s="199">
        <v>2</v>
      </c>
      <c r="U33" s="829">
        <v>0.32</v>
      </c>
      <c r="V33" s="840"/>
      <c r="W33" s="840"/>
      <c r="X33" s="841"/>
      <c r="Y33" s="199">
        <v>157000</v>
      </c>
      <c r="Z33" s="831" t="s">
        <v>209</v>
      </c>
      <c r="AA33" s="199">
        <v>30</v>
      </c>
      <c r="AB33" s="199">
        <v>200</v>
      </c>
      <c r="AC33" s="199">
        <v>2500</v>
      </c>
      <c r="AD33" s="831" t="s">
        <v>211</v>
      </c>
      <c r="AE33" s="199">
        <v>70</v>
      </c>
      <c r="IR33"/>
      <c r="IS33"/>
    </row>
    <row r="34" customHeight="1" spans="2:253">
      <c r="B34" s="199">
        <v>3</v>
      </c>
      <c r="C34" s="199">
        <v>135</v>
      </c>
      <c r="D34" s="199">
        <v>90</v>
      </c>
      <c r="E34" s="199"/>
      <c r="F34" s="199"/>
      <c r="G34" s="199" t="s">
        <v>212</v>
      </c>
      <c r="H34" s="199">
        <v>40</v>
      </c>
      <c r="I34" s="199">
        <v>300</v>
      </c>
      <c r="J34" s="199">
        <v>6.1</v>
      </c>
      <c r="K34" s="201">
        <v>6</v>
      </c>
      <c r="L34" s="199">
        <v>750</v>
      </c>
      <c r="M34" s="199">
        <v>1550</v>
      </c>
      <c r="N34" s="199">
        <v>2</v>
      </c>
      <c r="O34" s="199">
        <v>2</v>
      </c>
      <c r="P34" s="199">
        <v>4</v>
      </c>
      <c r="Q34" s="199">
        <v>70</v>
      </c>
      <c r="R34" s="199">
        <v>220</v>
      </c>
      <c r="T34" s="199">
        <v>3</v>
      </c>
      <c r="U34" s="829">
        <v>0.43</v>
      </c>
      <c r="V34" s="840"/>
      <c r="W34" s="840"/>
      <c r="X34" s="841"/>
      <c r="Y34" s="199">
        <v>256000</v>
      </c>
      <c r="Z34" s="831" t="s">
        <v>211</v>
      </c>
      <c r="AA34" s="199">
        <v>40</v>
      </c>
      <c r="AB34" s="199">
        <v>300</v>
      </c>
      <c r="AC34" s="199">
        <v>3000</v>
      </c>
      <c r="AD34" s="831" t="s">
        <v>213</v>
      </c>
      <c r="AE34" s="199">
        <v>80</v>
      </c>
      <c r="IR34"/>
      <c r="IS34"/>
    </row>
    <row r="35" customHeight="1" spans="2:253">
      <c r="B35" s="199">
        <v>4</v>
      </c>
      <c r="C35" s="199">
        <v>195</v>
      </c>
      <c r="D35" s="199">
        <v>130</v>
      </c>
      <c r="E35" s="199"/>
      <c r="F35" s="199"/>
      <c r="G35" s="199" t="s">
        <v>214</v>
      </c>
      <c r="H35" s="199">
        <v>60</v>
      </c>
      <c r="I35" s="199">
        <v>400</v>
      </c>
      <c r="J35" s="199">
        <v>7.5</v>
      </c>
      <c r="K35" s="201">
        <v>7</v>
      </c>
      <c r="L35" s="199">
        <v>950</v>
      </c>
      <c r="M35" s="199">
        <v>2500</v>
      </c>
      <c r="N35" s="199">
        <v>2.5</v>
      </c>
      <c r="O35" s="199">
        <v>2.5</v>
      </c>
      <c r="P35" s="199">
        <v>5</v>
      </c>
      <c r="Q35" s="199">
        <v>80</v>
      </c>
      <c r="R35" s="199">
        <v>300</v>
      </c>
      <c r="T35" s="199">
        <v>4</v>
      </c>
      <c r="U35" s="829">
        <v>0.54</v>
      </c>
      <c r="V35" s="840"/>
      <c r="W35" s="840"/>
      <c r="X35" s="841"/>
      <c r="Y35" s="199">
        <v>370000</v>
      </c>
      <c r="Z35" s="831" t="s">
        <v>213</v>
      </c>
      <c r="AA35" s="199">
        <v>60</v>
      </c>
      <c r="AB35" s="199">
        <v>400</v>
      </c>
      <c r="AC35" s="199">
        <v>3500</v>
      </c>
      <c r="AD35" s="831" t="s">
        <v>215</v>
      </c>
      <c r="AE35" s="199">
        <v>90</v>
      </c>
      <c r="IR35"/>
      <c r="IS35"/>
    </row>
    <row r="36" customHeight="1" spans="2:253">
      <c r="B36" s="199">
        <v>5</v>
      </c>
      <c r="C36" s="199">
        <v>270</v>
      </c>
      <c r="D36" s="199">
        <v>180</v>
      </c>
      <c r="E36" s="199">
        <v>270</v>
      </c>
      <c r="F36" s="199"/>
      <c r="G36" s="199" t="s">
        <v>216</v>
      </c>
      <c r="H36" s="199">
        <v>100</v>
      </c>
      <c r="I36" s="199">
        <v>700</v>
      </c>
      <c r="J36" s="199">
        <v>9</v>
      </c>
      <c r="K36" s="201">
        <v>10</v>
      </c>
      <c r="L36" s="199">
        <v>1800</v>
      </c>
      <c r="M36" s="199">
        <v>4300</v>
      </c>
      <c r="N36" s="199">
        <v>3</v>
      </c>
      <c r="O36" s="199">
        <v>3</v>
      </c>
      <c r="P36" s="199">
        <v>6</v>
      </c>
      <c r="Q36" s="199">
        <v>90</v>
      </c>
      <c r="R36" s="199">
        <v>390</v>
      </c>
      <c r="T36" s="199">
        <v>5</v>
      </c>
      <c r="U36" s="829">
        <v>0.65</v>
      </c>
      <c r="V36" s="840"/>
      <c r="W36" s="840"/>
      <c r="X36" s="841"/>
      <c r="Y36" s="199">
        <v>500000</v>
      </c>
      <c r="Z36" s="831" t="s">
        <v>215</v>
      </c>
      <c r="AA36" s="199">
        <v>100</v>
      </c>
      <c r="AB36" s="199">
        <v>700</v>
      </c>
      <c r="AC36" s="199">
        <v>4000</v>
      </c>
      <c r="AD36" s="831" t="s">
        <v>217</v>
      </c>
      <c r="AE36" s="199">
        <v>100</v>
      </c>
      <c r="IR36"/>
      <c r="IS36"/>
    </row>
    <row r="37" customHeight="1" spans="2:253">
      <c r="B37" s="199">
        <v>6</v>
      </c>
      <c r="C37" s="199">
        <v>360</v>
      </c>
      <c r="D37" s="199">
        <v>240</v>
      </c>
      <c r="E37" s="199">
        <v>360</v>
      </c>
      <c r="F37" s="199"/>
      <c r="G37" s="199" t="s">
        <v>218</v>
      </c>
      <c r="H37" s="199">
        <v>150</v>
      </c>
      <c r="I37" s="199">
        <v>1100</v>
      </c>
      <c r="J37" s="199">
        <v>10.6</v>
      </c>
      <c r="K37" s="201">
        <v>11</v>
      </c>
      <c r="L37" s="199">
        <v>2100</v>
      </c>
      <c r="M37" s="199">
        <v>6400</v>
      </c>
      <c r="N37" s="199">
        <v>3.5</v>
      </c>
      <c r="O37" s="199">
        <v>3.5</v>
      </c>
      <c r="P37" s="199">
        <v>7</v>
      </c>
      <c r="Q37" s="199">
        <v>100</v>
      </c>
      <c r="R37" s="199">
        <v>490</v>
      </c>
      <c r="T37" s="199">
        <v>6</v>
      </c>
      <c r="U37" s="829">
        <v>0.76</v>
      </c>
      <c r="V37" s="840"/>
      <c r="W37" s="840"/>
      <c r="X37" s="841"/>
      <c r="Y37" s="199">
        <v>647000</v>
      </c>
      <c r="Z37" s="831" t="s">
        <v>217</v>
      </c>
      <c r="AA37" s="199">
        <v>150</v>
      </c>
      <c r="AB37" s="199">
        <v>1100</v>
      </c>
      <c r="AC37" s="199">
        <v>4500</v>
      </c>
      <c r="AD37" s="831" t="s">
        <v>219</v>
      </c>
      <c r="AE37" s="199">
        <v>110</v>
      </c>
      <c r="IR37"/>
      <c r="IS37"/>
    </row>
    <row r="38" customHeight="1" spans="2:253">
      <c r="B38" s="199">
        <v>7</v>
      </c>
      <c r="C38" s="199">
        <v>465</v>
      </c>
      <c r="D38" s="199">
        <v>310</v>
      </c>
      <c r="E38" s="199">
        <v>465</v>
      </c>
      <c r="F38" s="199"/>
      <c r="G38" s="199" t="s">
        <v>220</v>
      </c>
      <c r="H38" s="199">
        <v>220</v>
      </c>
      <c r="I38" s="199">
        <v>1600</v>
      </c>
      <c r="J38" s="199">
        <v>12.3</v>
      </c>
      <c r="K38" s="201">
        <v>12</v>
      </c>
      <c r="L38" s="199">
        <v>2400</v>
      </c>
      <c r="M38" s="199">
        <v>8800</v>
      </c>
      <c r="N38" s="199">
        <v>4</v>
      </c>
      <c r="O38" s="199">
        <v>4</v>
      </c>
      <c r="P38" s="199">
        <v>8</v>
      </c>
      <c r="Q38" s="199">
        <v>115</v>
      </c>
      <c r="R38" s="199">
        <v>605</v>
      </c>
      <c r="T38" s="199">
        <v>7</v>
      </c>
      <c r="U38" s="829">
        <v>0.87</v>
      </c>
      <c r="V38" s="840"/>
      <c r="W38" s="840"/>
      <c r="X38" s="841"/>
      <c r="Y38" s="198">
        <v>812000</v>
      </c>
      <c r="Z38" s="831" t="s">
        <v>219</v>
      </c>
      <c r="AA38" s="199">
        <v>220</v>
      </c>
      <c r="AB38" s="199">
        <v>1600</v>
      </c>
      <c r="AC38" s="199">
        <v>5000</v>
      </c>
      <c r="AD38" s="831" t="s">
        <v>221</v>
      </c>
      <c r="AE38" s="199">
        <v>120</v>
      </c>
      <c r="IR38"/>
      <c r="IS38"/>
    </row>
    <row r="39" customHeight="1" spans="2:253">
      <c r="B39" s="199">
        <v>8</v>
      </c>
      <c r="C39" s="199">
        <v>585</v>
      </c>
      <c r="D39" s="199">
        <v>390</v>
      </c>
      <c r="E39" s="199">
        <v>585</v>
      </c>
      <c r="F39" s="199">
        <v>3120</v>
      </c>
      <c r="G39" s="199" t="s">
        <v>222</v>
      </c>
      <c r="H39" s="199">
        <v>400</v>
      </c>
      <c r="I39" s="199">
        <v>2800</v>
      </c>
      <c r="J39" s="199">
        <v>14.1</v>
      </c>
      <c r="K39" s="201">
        <v>18</v>
      </c>
      <c r="L39" s="199">
        <v>4500</v>
      </c>
      <c r="M39" s="199">
        <v>13300</v>
      </c>
      <c r="N39" s="199">
        <v>4.5</v>
      </c>
      <c r="O39" s="199">
        <v>4.5</v>
      </c>
      <c r="P39" s="199">
        <v>9</v>
      </c>
      <c r="Q39" s="199">
        <v>130</v>
      </c>
      <c r="R39" s="199">
        <v>735</v>
      </c>
      <c r="T39" s="199">
        <v>8</v>
      </c>
      <c r="U39" s="829">
        <v>0.98</v>
      </c>
      <c r="V39" s="840"/>
      <c r="W39" s="840"/>
      <c r="X39" s="841"/>
      <c r="Y39" s="199">
        <v>996000</v>
      </c>
      <c r="Z39" s="831" t="s">
        <v>221</v>
      </c>
      <c r="AA39" s="199">
        <v>400</v>
      </c>
      <c r="AB39" s="199">
        <v>2800</v>
      </c>
      <c r="AC39" s="199">
        <v>5500</v>
      </c>
      <c r="AD39" s="831" t="s">
        <v>223</v>
      </c>
      <c r="AE39" s="199">
        <v>130</v>
      </c>
      <c r="IR39"/>
      <c r="IS39"/>
    </row>
    <row r="40" customHeight="1" spans="2:253">
      <c r="B40" s="199">
        <v>9</v>
      </c>
      <c r="C40" s="822">
        <v>720</v>
      </c>
      <c r="D40" s="822">
        <v>480</v>
      </c>
      <c r="E40" s="822">
        <v>720</v>
      </c>
      <c r="F40" s="822">
        <v>3840</v>
      </c>
      <c r="G40" s="199" t="s">
        <v>224</v>
      </c>
      <c r="H40" s="199">
        <v>700</v>
      </c>
      <c r="I40" s="199">
        <v>4800</v>
      </c>
      <c r="J40" s="199">
        <v>16</v>
      </c>
      <c r="K40" s="201">
        <v>20</v>
      </c>
      <c r="L40" s="199">
        <v>5500</v>
      </c>
      <c r="M40" s="199">
        <v>18800</v>
      </c>
      <c r="N40" s="199">
        <v>5</v>
      </c>
      <c r="O40" s="199">
        <v>5</v>
      </c>
      <c r="P40" s="199">
        <v>10</v>
      </c>
      <c r="Q40" s="199">
        <v>150</v>
      </c>
      <c r="R40" s="199">
        <v>885</v>
      </c>
      <c r="T40" s="199">
        <v>9</v>
      </c>
      <c r="U40" s="829">
        <v>1.09</v>
      </c>
      <c r="V40" s="840"/>
      <c r="W40" s="840"/>
      <c r="X40" s="841"/>
      <c r="Y40" s="199">
        <v>1200000</v>
      </c>
      <c r="Z40" s="831" t="s">
        <v>223</v>
      </c>
      <c r="AA40" s="199">
        <v>700</v>
      </c>
      <c r="AB40" s="199">
        <v>4800</v>
      </c>
      <c r="AC40" s="199">
        <v>6000</v>
      </c>
      <c r="AD40" s="831" t="s">
        <v>225</v>
      </c>
      <c r="AE40" s="199">
        <v>140</v>
      </c>
      <c r="IR40"/>
      <c r="IS40"/>
    </row>
    <row r="41" customHeight="1" spans="2:253">
      <c r="B41" s="199" t="s">
        <v>226</v>
      </c>
      <c r="C41" s="199"/>
      <c r="D41" s="199"/>
      <c r="E41" s="199"/>
      <c r="F41" s="199"/>
      <c r="G41" s="199"/>
      <c r="H41" s="822">
        <v>1720</v>
      </c>
      <c r="I41" s="822">
        <v>12000</v>
      </c>
      <c r="J41" s="199"/>
      <c r="K41" s="842"/>
      <c r="L41" s="822">
        <v>18800</v>
      </c>
      <c r="M41" s="199"/>
      <c r="N41" s="199"/>
      <c r="O41" s="199"/>
      <c r="P41" s="199"/>
      <c r="Q41" s="822">
        <v>885</v>
      </c>
      <c r="R41" s="201"/>
      <c r="T41" s="199">
        <v>10</v>
      </c>
      <c r="U41" s="829">
        <v>1.2</v>
      </c>
      <c r="V41" s="840"/>
      <c r="W41" s="840"/>
      <c r="X41" s="841"/>
      <c r="Y41" s="199">
        <v>1425000</v>
      </c>
      <c r="Z41" s="831" t="s">
        <v>225</v>
      </c>
      <c r="AA41" s="199">
        <v>1000</v>
      </c>
      <c r="AB41" s="199">
        <v>6500</v>
      </c>
      <c r="AC41" s="199">
        <v>6500</v>
      </c>
      <c r="AD41" s="831" t="s">
        <v>227</v>
      </c>
      <c r="AE41" s="199">
        <v>150</v>
      </c>
      <c r="IR41"/>
      <c r="IS41"/>
    </row>
    <row r="42" customHeight="1" spans="2:253">
      <c r="T42" s="199">
        <v>11</v>
      </c>
      <c r="U42" s="829">
        <v>1.31</v>
      </c>
      <c r="V42" s="840"/>
      <c r="W42" s="840"/>
      <c r="X42" s="841"/>
      <c r="Y42" s="199">
        <v>1672000</v>
      </c>
      <c r="Z42" s="831" t="s">
        <v>227</v>
      </c>
      <c r="AA42" s="199">
        <v>1300</v>
      </c>
      <c r="AB42" s="199">
        <v>8000</v>
      </c>
      <c r="AC42" s="199">
        <v>7000</v>
      </c>
      <c r="AD42" s="831" t="s">
        <v>228</v>
      </c>
      <c r="AE42" s="199">
        <v>160</v>
      </c>
      <c r="IR42"/>
      <c r="IS42"/>
    </row>
    <row r="43" customHeight="1" spans="2:253">
      <c r="B43" s="199" t="s">
        <v>177</v>
      </c>
      <c r="C43" s="199" t="s">
        <v>190</v>
      </c>
      <c r="D43" s="199" t="s">
        <v>192</v>
      </c>
      <c r="E43" s="199" t="s">
        <v>198</v>
      </c>
      <c r="F43" s="199" t="s">
        <v>189</v>
      </c>
      <c r="G43" s="199" t="s">
        <v>179</v>
      </c>
      <c r="H43" s="822" t="s">
        <v>245</v>
      </c>
      <c r="I43" s="822" t="s">
        <v>194</v>
      </c>
      <c r="J43" s="199" t="s">
        <v>181</v>
      </c>
      <c r="K43" s="199" t="s">
        <v>229</v>
      </c>
      <c r="L43" s="822" t="s">
        <v>202</v>
      </c>
      <c r="M43" s="199" t="s">
        <v>230</v>
      </c>
      <c r="Q43" s="822" t="s">
        <v>231</v>
      </c>
      <c r="R43" s="199" t="s">
        <v>232</v>
      </c>
      <c r="T43" s="199">
        <v>12</v>
      </c>
      <c r="U43" s="829">
        <v>1.42</v>
      </c>
      <c r="V43" s="840"/>
      <c r="W43" s="840"/>
      <c r="X43" s="841"/>
      <c r="Y43" s="199">
        <v>1942000</v>
      </c>
      <c r="Z43" s="831" t="s">
        <v>228</v>
      </c>
      <c r="AA43" s="199">
        <v>1600</v>
      </c>
      <c r="AB43" s="199">
        <v>9500</v>
      </c>
      <c r="AC43" s="199">
        <v>7500</v>
      </c>
      <c r="AD43" s="831" t="s">
        <v>233</v>
      </c>
      <c r="AE43" s="199">
        <v>170</v>
      </c>
      <c r="IR43"/>
      <c r="IS43"/>
    </row>
    <row r="44" customHeight="1" spans="2:253">
      <c r="B44" s="199">
        <v>10</v>
      </c>
      <c r="C44" s="199">
        <v>870</v>
      </c>
      <c r="D44" s="199">
        <v>580</v>
      </c>
      <c r="E44" s="199">
        <v>870</v>
      </c>
      <c r="F44" s="199">
        <v>4640</v>
      </c>
      <c r="G44" s="199" t="s">
        <v>234</v>
      </c>
      <c r="H44" s="199">
        <v>1000</v>
      </c>
      <c r="I44" s="199">
        <v>6500</v>
      </c>
      <c r="J44" s="199">
        <v>18</v>
      </c>
      <c r="K44" s="199">
        <v>25</v>
      </c>
      <c r="L44" s="199">
        <v>6800</v>
      </c>
      <c r="M44" s="199">
        <v>25600</v>
      </c>
      <c r="Q44" s="199">
        <v>50</v>
      </c>
      <c r="R44" s="199">
        <v>50</v>
      </c>
      <c r="T44" s="199">
        <v>13</v>
      </c>
      <c r="U44" s="829">
        <v>1.53</v>
      </c>
      <c r="V44" s="840"/>
      <c r="W44" s="840"/>
      <c r="X44" s="841"/>
      <c r="Y44" s="199">
        <v>2236000</v>
      </c>
      <c r="Z44" s="831" t="s">
        <v>233</v>
      </c>
      <c r="AA44" s="199">
        <v>1900</v>
      </c>
      <c r="AB44" s="199">
        <v>11000</v>
      </c>
      <c r="AC44" s="199">
        <v>8000</v>
      </c>
      <c r="AD44" s="831" t="s">
        <v>235</v>
      </c>
      <c r="AE44" s="199">
        <v>180</v>
      </c>
      <c r="IR44"/>
      <c r="IS44"/>
    </row>
    <row r="45" customHeight="1" spans="2:253">
      <c r="B45" s="199">
        <v>11</v>
      </c>
      <c r="C45" s="199">
        <v>1035</v>
      </c>
      <c r="D45" s="199">
        <v>690</v>
      </c>
      <c r="E45" s="199">
        <v>1035</v>
      </c>
      <c r="F45" s="199">
        <v>5520</v>
      </c>
      <c r="G45" s="199" t="s">
        <v>236</v>
      </c>
      <c r="H45" s="199">
        <v>1300</v>
      </c>
      <c r="I45" s="199">
        <v>8000</v>
      </c>
      <c r="J45" s="199">
        <v>20.1</v>
      </c>
      <c r="K45" s="199">
        <v>30</v>
      </c>
      <c r="L45" s="199">
        <v>8520</v>
      </c>
      <c r="M45" s="199">
        <v>34120</v>
      </c>
      <c r="Q45" s="199">
        <v>70</v>
      </c>
      <c r="R45" s="199">
        <f>R44+Q45</f>
        <v>120</v>
      </c>
      <c r="T45" s="199">
        <v>14</v>
      </c>
      <c r="U45" s="829">
        <v>1.64</v>
      </c>
      <c r="V45" s="840"/>
      <c r="W45" s="840"/>
      <c r="X45" s="841"/>
      <c r="Y45" s="199">
        <v>2555000</v>
      </c>
      <c r="Z45" s="831" t="s">
        <v>235</v>
      </c>
      <c r="AA45" s="199">
        <v>2200</v>
      </c>
      <c r="AB45" s="199">
        <v>12500</v>
      </c>
      <c r="AC45" s="199">
        <v>8500</v>
      </c>
      <c r="AD45" s="831" t="s">
        <v>237</v>
      </c>
      <c r="AE45" s="199">
        <v>190</v>
      </c>
      <c r="IR45"/>
      <c r="IS45"/>
    </row>
    <row r="46" customHeight="1" spans="2:253">
      <c r="B46" s="199">
        <v>12</v>
      </c>
      <c r="C46" s="199">
        <v>1215</v>
      </c>
      <c r="D46" s="199">
        <v>810</v>
      </c>
      <c r="E46" s="199">
        <v>1215</v>
      </c>
      <c r="F46" s="199">
        <v>6480</v>
      </c>
      <c r="G46" s="199" t="s">
        <v>238</v>
      </c>
      <c r="H46" s="199">
        <v>1600</v>
      </c>
      <c r="I46" s="199">
        <v>9500</v>
      </c>
      <c r="J46" s="199">
        <v>22.3</v>
      </c>
      <c r="K46" s="199">
        <v>35</v>
      </c>
      <c r="L46" s="199">
        <v>9835</v>
      </c>
      <c r="M46" s="199">
        <v>43955</v>
      </c>
      <c r="Q46" s="199">
        <v>100</v>
      </c>
      <c r="R46" s="199">
        <f t="shared" ref="R46:R49" si="8">R45+Q46</f>
        <v>220</v>
      </c>
      <c r="T46" s="199">
        <v>15</v>
      </c>
      <c r="U46" s="834">
        <v>1.75</v>
      </c>
      <c r="V46" s="843"/>
      <c r="W46" s="843"/>
      <c r="X46" s="844"/>
      <c r="Y46" s="822">
        <v>2900000</v>
      </c>
      <c r="Z46" s="835" t="s">
        <v>237</v>
      </c>
      <c r="AA46" s="199">
        <v>2500</v>
      </c>
      <c r="AB46" s="199">
        <v>14000</v>
      </c>
      <c r="AC46" s="199">
        <v>9000</v>
      </c>
      <c r="AD46" s="835" t="s">
        <v>239</v>
      </c>
      <c r="AE46" s="199">
        <v>200</v>
      </c>
      <c r="IR46"/>
      <c r="IS46"/>
    </row>
    <row r="47" customHeight="1" spans="2:253">
      <c r="B47" s="199">
        <v>13</v>
      </c>
      <c r="C47" s="199">
        <v>1410</v>
      </c>
      <c r="D47" s="199">
        <v>940</v>
      </c>
      <c r="E47" s="199">
        <v>1410</v>
      </c>
      <c r="F47" s="199">
        <v>7520</v>
      </c>
      <c r="G47" s="199" t="s">
        <v>240</v>
      </c>
      <c r="H47" s="199">
        <v>1900</v>
      </c>
      <c r="I47" s="199">
        <v>11000</v>
      </c>
      <c r="J47" s="199">
        <v>24.7</v>
      </c>
      <c r="K47" s="199">
        <v>40</v>
      </c>
      <c r="L47" s="199">
        <v>10920</v>
      </c>
      <c r="M47" s="199">
        <v>54875</v>
      </c>
      <c r="Q47" s="199">
        <v>140</v>
      </c>
      <c r="R47" s="199">
        <f t="shared" si="8"/>
        <v>360</v>
      </c>
      <c r="T47" s="199" t="s">
        <v>226</v>
      </c>
      <c r="U47" s="829"/>
      <c r="V47" s="840"/>
      <c r="W47" s="840"/>
      <c r="X47" s="841"/>
      <c r="Y47" s="199"/>
      <c r="Z47" s="199"/>
      <c r="AA47" s="822">
        <f t="shared" ref="AA47:AC47" si="9">SUM(AA32:AA46)</f>
        <v>12220</v>
      </c>
      <c r="AB47" s="822">
        <f t="shared" si="9"/>
        <v>73500</v>
      </c>
      <c r="AC47" s="822">
        <f t="shared" si="9"/>
        <v>82500</v>
      </c>
      <c r="AD47" s="199"/>
      <c r="AE47" s="822">
        <f>SUM(AE31:AE46)</f>
        <v>2000</v>
      </c>
      <c r="IR47"/>
      <c r="IS47"/>
    </row>
    <row r="48" customHeight="1" spans="2:253">
      <c r="B48" s="199">
        <v>14</v>
      </c>
      <c r="C48" s="199">
        <v>1620</v>
      </c>
      <c r="D48" s="199">
        <v>1080</v>
      </c>
      <c r="E48" s="199">
        <v>1620</v>
      </c>
      <c r="F48" s="199">
        <v>8640</v>
      </c>
      <c r="G48" s="199" t="s">
        <v>241</v>
      </c>
      <c r="H48" s="199">
        <v>2200</v>
      </c>
      <c r="I48" s="199">
        <v>12500</v>
      </c>
      <c r="J48" s="199">
        <v>27.3</v>
      </c>
      <c r="K48" s="199">
        <v>45</v>
      </c>
      <c r="L48" s="199">
        <v>12240</v>
      </c>
      <c r="M48" s="199">
        <v>67115</v>
      </c>
      <c r="Q48" s="199">
        <v>190</v>
      </c>
      <c r="R48" s="199">
        <f t="shared" si="8"/>
        <v>550</v>
      </c>
      <c r="IR48"/>
      <c r="IS48"/>
    </row>
    <row r="49" customHeight="1" spans="1:253">
      <c r="B49" s="199">
        <v>15</v>
      </c>
      <c r="C49" s="822">
        <v>1845</v>
      </c>
      <c r="D49" s="822">
        <v>1230</v>
      </c>
      <c r="E49" s="822">
        <v>1845</v>
      </c>
      <c r="F49" s="822">
        <v>9840</v>
      </c>
      <c r="G49" s="199" t="s">
        <v>242</v>
      </c>
      <c r="H49" s="199">
        <v>2500</v>
      </c>
      <c r="I49" s="199">
        <v>14000</v>
      </c>
      <c r="J49" s="199">
        <v>30</v>
      </c>
      <c r="K49" s="199">
        <v>50</v>
      </c>
      <c r="L49" s="199">
        <v>13950</v>
      </c>
      <c r="M49" s="199">
        <v>81065</v>
      </c>
      <c r="Q49" s="199">
        <v>250</v>
      </c>
      <c r="R49" s="199">
        <f t="shared" si="8"/>
        <v>800</v>
      </c>
      <c r="IR49"/>
      <c r="IS49"/>
    </row>
    <row r="50" customHeight="1" spans="1:253">
      <c r="B50" s="199" t="s">
        <v>226</v>
      </c>
      <c r="C50" s="199"/>
      <c r="D50" s="199"/>
      <c r="E50" s="199"/>
      <c r="F50" s="199"/>
      <c r="G50" s="199"/>
      <c r="H50" s="822">
        <v>10500</v>
      </c>
      <c r="I50" s="822">
        <v>61500</v>
      </c>
      <c r="J50" s="199"/>
      <c r="K50" s="199"/>
      <c r="L50" s="822">
        <v>62265</v>
      </c>
      <c r="M50" s="199"/>
      <c r="Q50" s="822">
        <f>SUM(Q44:Q49)</f>
        <v>800</v>
      </c>
      <c r="R50" s="199"/>
      <c r="IR50"/>
      <c r="IS50"/>
    </row>
    <row r="51" customHeight="1" spans="1:253">
      <c r="H51" s="198">
        <v>12220</v>
      </c>
      <c r="I51" s="198">
        <v>73500</v>
      </c>
      <c r="L51" s="198">
        <v>81065</v>
      </c>
      <c r="IR51"/>
      <c r="IS51"/>
    </row>
    <row r="52" customHeight="1" spans="1:253">
      <c r="IR52"/>
      <c r="IS52"/>
    </row>
    <row r="53" customHeight="1" spans="1:253">
      <c r="B53" s="824"/>
      <c r="C53" s="824"/>
      <c r="D53" s="824"/>
      <c r="E53" s="824"/>
      <c r="F53" s="824"/>
      <c r="G53" s="824"/>
      <c r="H53" s="824"/>
      <c r="I53" s="824"/>
      <c r="J53" s="824"/>
      <c r="K53" s="824"/>
      <c r="L53" s="824"/>
      <c r="M53" s="824"/>
      <c r="N53" s="824"/>
      <c r="O53" s="824"/>
      <c r="P53" s="824"/>
      <c r="Q53" s="824"/>
      <c r="R53" s="824"/>
      <c r="IR53"/>
      <c r="IS53"/>
    </row>
    <row r="54" ht="20.1" customHeight="1" spans="1:253">
      <c r="A54" s="14"/>
      <c r="B54" s="814" t="s">
        <v>253</v>
      </c>
      <c r="C54" s="815"/>
      <c r="D54" s="815"/>
      <c r="E54" s="815"/>
      <c r="F54" s="815"/>
      <c r="G54" s="815"/>
      <c r="H54" s="815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IR54"/>
      <c r="IS54"/>
    </row>
    <row r="55" customHeight="1" spans="1:253">
      <c r="B55" s="199" t="s">
        <v>177</v>
      </c>
      <c r="C55" s="199" t="s">
        <v>178</v>
      </c>
      <c r="D55" s="199"/>
      <c r="E55" s="199"/>
      <c r="F55" s="199"/>
      <c r="G55" s="199" t="s">
        <v>179</v>
      </c>
      <c r="H55" s="199" t="s">
        <v>180</v>
      </c>
      <c r="I55" s="199"/>
      <c r="J55" s="199" t="s">
        <v>181</v>
      </c>
      <c r="K55" s="837" t="s">
        <v>182</v>
      </c>
      <c r="L55" s="818" t="s">
        <v>183</v>
      </c>
      <c r="M55" s="200" t="s">
        <v>184</v>
      </c>
      <c r="N55" s="199" t="s">
        <v>185</v>
      </c>
      <c r="O55" s="199"/>
      <c r="P55" s="199"/>
      <c r="Q55" s="818" t="s">
        <v>186</v>
      </c>
      <c r="R55" s="200" t="s">
        <v>187</v>
      </c>
      <c r="IR55"/>
      <c r="IS55"/>
    </row>
    <row r="56" customHeight="1" spans="1:253">
      <c r="B56" s="199"/>
      <c r="C56" s="199" t="s">
        <v>190</v>
      </c>
      <c r="D56" s="199" t="s">
        <v>191</v>
      </c>
      <c r="E56" s="199" t="s">
        <v>192</v>
      </c>
      <c r="F56" s="199" t="s">
        <v>198</v>
      </c>
      <c r="G56" s="199"/>
      <c r="H56" s="822" t="s">
        <v>254</v>
      </c>
      <c r="I56" s="822" t="s">
        <v>194</v>
      </c>
      <c r="J56" s="199"/>
      <c r="K56" s="839"/>
      <c r="L56" s="822"/>
      <c r="M56" s="199"/>
      <c r="N56" s="199" t="s">
        <v>255</v>
      </c>
      <c r="O56" s="199" t="s">
        <v>256</v>
      </c>
      <c r="P56" s="199" t="s">
        <v>248</v>
      </c>
      <c r="Q56" s="822"/>
      <c r="R56" s="199"/>
      <c r="IR56"/>
      <c r="IS56"/>
    </row>
    <row r="57" customHeight="1" spans="1:253">
      <c r="B57" s="199">
        <v>0</v>
      </c>
      <c r="C57" s="199">
        <v>45</v>
      </c>
      <c r="D57" s="199"/>
      <c r="E57" s="199"/>
      <c r="F57" s="199"/>
      <c r="G57" s="199" t="s">
        <v>205</v>
      </c>
      <c r="H57" s="199"/>
      <c r="I57" s="199"/>
      <c r="J57" s="199">
        <v>2.5</v>
      </c>
      <c r="K57" s="201">
        <v>2</v>
      </c>
      <c r="L57" s="199">
        <v>100</v>
      </c>
      <c r="M57" s="199">
        <v>100</v>
      </c>
      <c r="N57" s="199">
        <v>1</v>
      </c>
      <c r="O57" s="199">
        <v>1</v>
      </c>
      <c r="P57" s="199">
        <v>1</v>
      </c>
      <c r="Q57" s="199">
        <v>40</v>
      </c>
      <c r="R57" s="199">
        <v>40</v>
      </c>
      <c r="IR57"/>
      <c r="IS57"/>
    </row>
    <row r="58" customHeight="1" spans="1:253">
      <c r="B58" s="199">
        <v>1</v>
      </c>
      <c r="C58" s="199">
        <v>60</v>
      </c>
      <c r="D58" s="199"/>
      <c r="E58" s="199"/>
      <c r="F58" s="199"/>
      <c r="G58" s="199" t="s">
        <v>208</v>
      </c>
      <c r="H58" s="199">
        <v>20</v>
      </c>
      <c r="I58" s="199">
        <v>100</v>
      </c>
      <c r="J58" s="199">
        <v>3.6</v>
      </c>
      <c r="K58" s="201">
        <v>3</v>
      </c>
      <c r="L58" s="199">
        <v>150</v>
      </c>
      <c r="M58" s="199">
        <v>250</v>
      </c>
      <c r="N58" s="199">
        <v>2</v>
      </c>
      <c r="O58" s="199">
        <v>2</v>
      </c>
      <c r="P58" s="199">
        <v>2</v>
      </c>
      <c r="Q58" s="199">
        <v>50</v>
      </c>
      <c r="R58" s="199">
        <v>90</v>
      </c>
    </row>
    <row r="59" customHeight="1" spans="1:253">
      <c r="B59" s="199">
        <v>2</v>
      </c>
      <c r="C59" s="199">
        <v>90</v>
      </c>
      <c r="D59" s="199">
        <v>60</v>
      </c>
      <c r="E59" s="199"/>
      <c r="F59" s="199"/>
      <c r="G59" s="199" t="s">
        <v>210</v>
      </c>
      <c r="H59" s="199">
        <v>30</v>
      </c>
      <c r="I59" s="199">
        <v>200</v>
      </c>
      <c r="J59" s="199">
        <v>4.8</v>
      </c>
      <c r="K59" s="201">
        <v>5</v>
      </c>
      <c r="L59" s="199">
        <v>550</v>
      </c>
      <c r="M59" s="199">
        <v>800</v>
      </c>
      <c r="N59" s="199">
        <v>3</v>
      </c>
      <c r="O59" s="199">
        <v>3</v>
      </c>
      <c r="P59" s="199">
        <v>3</v>
      </c>
      <c r="Q59" s="199">
        <v>60</v>
      </c>
      <c r="R59" s="199">
        <v>150</v>
      </c>
    </row>
    <row r="60" customHeight="1" spans="1:253">
      <c r="B60" s="199">
        <v>3</v>
      </c>
      <c r="C60" s="199">
        <v>135</v>
      </c>
      <c r="D60" s="199">
        <v>90</v>
      </c>
      <c r="E60" s="199"/>
      <c r="F60" s="199"/>
      <c r="G60" s="199" t="s">
        <v>212</v>
      </c>
      <c r="H60" s="199">
        <v>40</v>
      </c>
      <c r="I60" s="199">
        <v>300</v>
      </c>
      <c r="J60" s="199">
        <v>6.1</v>
      </c>
      <c r="K60" s="201">
        <v>6</v>
      </c>
      <c r="L60" s="199">
        <v>750</v>
      </c>
      <c r="M60" s="199">
        <v>1550</v>
      </c>
      <c r="N60" s="199">
        <v>4</v>
      </c>
      <c r="O60" s="199">
        <v>4</v>
      </c>
      <c r="P60" s="199">
        <v>4</v>
      </c>
      <c r="Q60" s="199">
        <v>70</v>
      </c>
      <c r="R60" s="199">
        <v>220</v>
      </c>
    </row>
    <row r="61" customHeight="1" spans="1:253">
      <c r="B61" s="199">
        <v>4</v>
      </c>
      <c r="C61" s="199">
        <v>195</v>
      </c>
      <c r="D61" s="199">
        <v>130</v>
      </c>
      <c r="E61" s="199"/>
      <c r="F61" s="199"/>
      <c r="G61" s="199" t="s">
        <v>214</v>
      </c>
      <c r="H61" s="199">
        <v>60</v>
      </c>
      <c r="I61" s="199">
        <v>400</v>
      </c>
      <c r="J61" s="199">
        <v>7.5</v>
      </c>
      <c r="K61" s="201">
        <v>7</v>
      </c>
      <c r="L61" s="199">
        <v>950</v>
      </c>
      <c r="M61" s="199">
        <v>2500</v>
      </c>
      <c r="N61" s="199">
        <v>5</v>
      </c>
      <c r="O61" s="199">
        <v>5</v>
      </c>
      <c r="P61" s="199">
        <v>5</v>
      </c>
      <c r="Q61" s="199">
        <v>80</v>
      </c>
      <c r="R61" s="199">
        <v>300</v>
      </c>
    </row>
    <row r="62" customHeight="1" spans="1:253">
      <c r="B62" s="199">
        <v>5</v>
      </c>
      <c r="C62" s="199">
        <v>270</v>
      </c>
      <c r="D62" s="199">
        <v>180</v>
      </c>
      <c r="E62" s="199">
        <v>180</v>
      </c>
      <c r="F62" s="199"/>
      <c r="G62" s="199" t="s">
        <v>216</v>
      </c>
      <c r="H62" s="199">
        <v>100</v>
      </c>
      <c r="I62" s="199">
        <v>700</v>
      </c>
      <c r="J62" s="199">
        <v>9</v>
      </c>
      <c r="K62" s="201">
        <v>10</v>
      </c>
      <c r="L62" s="199">
        <v>1800</v>
      </c>
      <c r="M62" s="199">
        <v>4300</v>
      </c>
      <c r="N62" s="199">
        <v>6</v>
      </c>
      <c r="O62" s="199">
        <v>6</v>
      </c>
      <c r="P62" s="199">
        <v>6</v>
      </c>
      <c r="Q62" s="199">
        <v>90</v>
      </c>
      <c r="R62" s="199">
        <v>390</v>
      </c>
    </row>
    <row r="63" customHeight="1" spans="1:253">
      <c r="B63" s="199">
        <v>6</v>
      </c>
      <c r="C63" s="199">
        <v>360</v>
      </c>
      <c r="D63" s="199">
        <v>240</v>
      </c>
      <c r="E63" s="199">
        <v>249</v>
      </c>
      <c r="F63" s="199"/>
      <c r="G63" s="199" t="s">
        <v>218</v>
      </c>
      <c r="H63" s="199">
        <v>150</v>
      </c>
      <c r="I63" s="199">
        <v>1100</v>
      </c>
      <c r="J63" s="199">
        <v>10.6</v>
      </c>
      <c r="K63" s="201">
        <v>11</v>
      </c>
      <c r="L63" s="199">
        <v>2100</v>
      </c>
      <c r="M63" s="199">
        <v>6400</v>
      </c>
      <c r="N63" s="199">
        <v>7</v>
      </c>
      <c r="O63" s="199">
        <v>7</v>
      </c>
      <c r="P63" s="199">
        <v>7</v>
      </c>
      <c r="Q63" s="199">
        <v>100</v>
      </c>
      <c r="R63" s="199">
        <v>490</v>
      </c>
      <c r="Y63" s="198">
        <v>72000</v>
      </c>
      <c r="Z63" s="198">
        <f>Y64-Y63</f>
        <v>85000</v>
      </c>
      <c r="AA63" s="198">
        <f>Z64-Z63</f>
        <v>14000</v>
      </c>
    </row>
    <row r="64" customHeight="1" spans="1:253">
      <c r="B64" s="199">
        <v>7</v>
      </c>
      <c r="C64" s="199">
        <v>465</v>
      </c>
      <c r="D64" s="199">
        <v>310</v>
      </c>
      <c r="E64" s="199">
        <v>310</v>
      </c>
      <c r="F64" s="199"/>
      <c r="G64" s="199" t="s">
        <v>220</v>
      </c>
      <c r="H64" s="199">
        <v>220</v>
      </c>
      <c r="I64" s="199">
        <v>1600</v>
      </c>
      <c r="J64" s="199">
        <v>12.3</v>
      </c>
      <c r="K64" s="201">
        <v>12</v>
      </c>
      <c r="L64" s="199">
        <v>2400</v>
      </c>
      <c r="M64" s="199">
        <v>8800</v>
      </c>
      <c r="N64" s="199">
        <v>8</v>
      </c>
      <c r="O64" s="199">
        <v>8</v>
      </c>
      <c r="P64" s="199">
        <v>8</v>
      </c>
      <c r="Q64" s="199">
        <v>115</v>
      </c>
      <c r="R64" s="199">
        <v>605</v>
      </c>
      <c r="Y64" s="198">
        <v>157000</v>
      </c>
      <c r="Z64" s="198">
        <f t="shared" ref="Z64:AA75" si="10">Y65-Y64</f>
        <v>99000</v>
      </c>
      <c r="AA64" s="198">
        <f t="shared" si="10"/>
        <v>15000</v>
      </c>
    </row>
    <row r="65" customHeight="1" spans="1:253">
      <c r="B65" s="199">
        <v>8</v>
      </c>
      <c r="C65" s="199">
        <v>585</v>
      </c>
      <c r="D65" s="199">
        <v>390</v>
      </c>
      <c r="E65" s="199">
        <v>390</v>
      </c>
      <c r="F65" s="199">
        <v>585</v>
      </c>
      <c r="G65" s="199" t="s">
        <v>222</v>
      </c>
      <c r="H65" s="199">
        <v>400</v>
      </c>
      <c r="I65" s="199">
        <v>2800</v>
      </c>
      <c r="J65" s="199">
        <v>14.1</v>
      </c>
      <c r="K65" s="201">
        <v>18</v>
      </c>
      <c r="L65" s="199">
        <v>4500</v>
      </c>
      <c r="M65" s="199">
        <v>13300</v>
      </c>
      <c r="N65" s="199">
        <v>9</v>
      </c>
      <c r="O65" s="199">
        <v>9</v>
      </c>
      <c r="P65" s="199">
        <v>9</v>
      </c>
      <c r="Q65" s="199">
        <v>130</v>
      </c>
      <c r="R65" s="199">
        <v>735</v>
      </c>
      <c r="Y65" s="198">
        <v>256000</v>
      </c>
      <c r="Z65" s="198">
        <f t="shared" si="10"/>
        <v>114000</v>
      </c>
      <c r="AA65" s="198">
        <f t="shared" si="10"/>
        <v>16000</v>
      </c>
    </row>
    <row r="66" customHeight="1" spans="1:253">
      <c r="B66" s="199">
        <v>9</v>
      </c>
      <c r="C66" s="822">
        <v>720</v>
      </c>
      <c r="D66" s="822">
        <v>480</v>
      </c>
      <c r="E66" s="822">
        <v>480</v>
      </c>
      <c r="F66" s="822">
        <v>720</v>
      </c>
      <c r="G66" s="199" t="s">
        <v>224</v>
      </c>
      <c r="H66" s="199">
        <v>700</v>
      </c>
      <c r="I66" s="199">
        <v>4800</v>
      </c>
      <c r="J66" s="199">
        <v>16</v>
      </c>
      <c r="K66" s="201">
        <v>20</v>
      </c>
      <c r="L66" s="199">
        <v>5500</v>
      </c>
      <c r="M66" s="199">
        <v>18800</v>
      </c>
      <c r="N66" s="199">
        <v>10</v>
      </c>
      <c r="O66" s="199">
        <v>10</v>
      </c>
      <c r="P66" s="199">
        <v>10</v>
      </c>
      <c r="Q66" s="199">
        <v>150</v>
      </c>
      <c r="R66" s="199">
        <v>885</v>
      </c>
      <c r="Y66" s="198">
        <v>370000</v>
      </c>
      <c r="Z66" s="198">
        <f t="shared" si="10"/>
        <v>130000</v>
      </c>
      <c r="AA66" s="198">
        <f t="shared" si="10"/>
        <v>17000</v>
      </c>
    </row>
    <row r="67" customHeight="1" spans="1:253">
      <c r="B67" s="199" t="s">
        <v>226</v>
      </c>
      <c r="C67" s="199"/>
      <c r="D67" s="199"/>
      <c r="E67" s="199"/>
      <c r="F67" s="199"/>
      <c r="G67" s="199"/>
      <c r="H67" s="822">
        <v>1720</v>
      </c>
      <c r="I67" s="822">
        <v>12000</v>
      </c>
      <c r="J67" s="199"/>
      <c r="K67" s="201"/>
      <c r="L67" s="822">
        <v>18800</v>
      </c>
      <c r="M67" s="199"/>
      <c r="N67" s="199"/>
      <c r="O67" s="199"/>
      <c r="P67" s="199"/>
      <c r="Q67" s="822">
        <v>885</v>
      </c>
      <c r="R67" s="199"/>
      <c r="Y67" s="198">
        <v>500000</v>
      </c>
      <c r="Z67" s="198">
        <f t="shared" si="10"/>
        <v>147000</v>
      </c>
      <c r="AA67" s="198">
        <v>18000</v>
      </c>
    </row>
    <row r="68" customHeight="1" spans="1:253">
      <c r="Y68" s="198">
        <v>647000</v>
      </c>
      <c r="Z68" s="198">
        <f>Z67+AA67</f>
        <v>165000</v>
      </c>
      <c r="AA68" s="198">
        <v>19000</v>
      </c>
    </row>
    <row r="69" customHeight="1" spans="1:253">
      <c r="B69" s="199" t="s">
        <v>177</v>
      </c>
      <c r="C69" s="199" t="s">
        <v>190</v>
      </c>
      <c r="D69" s="199" t="s">
        <v>191</v>
      </c>
      <c r="E69" s="199" t="s">
        <v>192</v>
      </c>
      <c r="F69" s="199" t="s">
        <v>198</v>
      </c>
      <c r="G69" s="199" t="s">
        <v>179</v>
      </c>
      <c r="H69" s="822" t="s">
        <v>254</v>
      </c>
      <c r="I69" s="822" t="s">
        <v>194</v>
      </c>
      <c r="J69" s="199" t="s">
        <v>181</v>
      </c>
      <c r="K69" s="199" t="s">
        <v>229</v>
      </c>
      <c r="L69" s="822" t="s">
        <v>202</v>
      </c>
      <c r="M69" s="199" t="s">
        <v>230</v>
      </c>
      <c r="Q69" s="822" t="s">
        <v>231</v>
      </c>
      <c r="R69" s="199" t="s">
        <v>232</v>
      </c>
      <c r="Y69" s="198">
        <f>Y68+Z68</f>
        <v>812000</v>
      </c>
      <c r="Z69" s="198">
        <f>Z68+AA68</f>
        <v>184000</v>
      </c>
      <c r="AA69" s="198">
        <v>20000</v>
      </c>
    </row>
    <row r="70" customHeight="1" spans="1:253">
      <c r="B70" s="199">
        <v>10</v>
      </c>
      <c r="C70" s="199">
        <v>870</v>
      </c>
      <c r="D70" s="199">
        <v>580</v>
      </c>
      <c r="E70" s="199">
        <v>580</v>
      </c>
      <c r="F70" s="199">
        <v>870</v>
      </c>
      <c r="G70" s="199" t="s">
        <v>234</v>
      </c>
      <c r="H70" s="199">
        <v>1000</v>
      </c>
      <c r="I70" s="199">
        <v>6500</v>
      </c>
      <c r="J70" s="199">
        <v>18</v>
      </c>
      <c r="K70" s="199">
        <v>25</v>
      </c>
      <c r="L70" s="199">
        <v>6800</v>
      </c>
      <c r="M70" s="199">
        <v>25600</v>
      </c>
      <c r="Q70" s="199">
        <v>50</v>
      </c>
      <c r="R70" s="199">
        <v>50</v>
      </c>
      <c r="Y70" s="198">
        <v>996000</v>
      </c>
      <c r="Z70" s="198">
        <f t="shared" si="10"/>
        <v>204000</v>
      </c>
      <c r="AA70" s="198">
        <f t="shared" ref="AA70" si="11">Z71-Z70</f>
        <v>21000</v>
      </c>
    </row>
    <row r="71" customHeight="1" spans="1:253">
      <c r="B71" s="199">
        <v>11</v>
      </c>
      <c r="C71" s="199">
        <v>1035</v>
      </c>
      <c r="D71" s="199">
        <v>690</v>
      </c>
      <c r="E71" s="199">
        <v>690</v>
      </c>
      <c r="F71" s="199">
        <v>1035</v>
      </c>
      <c r="G71" s="199" t="s">
        <v>236</v>
      </c>
      <c r="H71" s="199">
        <v>1300</v>
      </c>
      <c r="I71" s="199">
        <v>8000</v>
      </c>
      <c r="J71" s="199">
        <v>20.1</v>
      </c>
      <c r="K71" s="199">
        <v>30</v>
      </c>
      <c r="L71" s="199">
        <v>8520</v>
      </c>
      <c r="M71" s="199">
        <v>34120</v>
      </c>
      <c r="Q71" s="199">
        <v>70</v>
      </c>
      <c r="R71" s="199">
        <f>R70+Q71</f>
        <v>120</v>
      </c>
      <c r="Y71" s="198">
        <v>1200000</v>
      </c>
      <c r="Z71" s="198">
        <f t="shared" si="10"/>
        <v>225000</v>
      </c>
      <c r="AA71" s="198">
        <f t="shared" ref="AA71" si="12">Z72-Z71</f>
        <v>22000</v>
      </c>
    </row>
    <row r="72" customHeight="1" spans="1:253">
      <c r="B72" s="199">
        <v>12</v>
      </c>
      <c r="C72" s="199">
        <v>1215</v>
      </c>
      <c r="D72" s="199">
        <v>810</v>
      </c>
      <c r="E72" s="199">
        <v>810</v>
      </c>
      <c r="F72" s="199">
        <v>1215</v>
      </c>
      <c r="G72" s="199" t="s">
        <v>238</v>
      </c>
      <c r="H72" s="199">
        <v>1600</v>
      </c>
      <c r="I72" s="199">
        <v>9500</v>
      </c>
      <c r="J72" s="199">
        <v>22.3</v>
      </c>
      <c r="K72" s="199">
        <v>35</v>
      </c>
      <c r="L72" s="199">
        <v>9835</v>
      </c>
      <c r="M72" s="199">
        <v>43955</v>
      </c>
      <c r="Q72" s="199">
        <v>100</v>
      </c>
      <c r="R72" s="199">
        <f t="shared" ref="R72:R75" si="13">R71+Q72</f>
        <v>220</v>
      </c>
      <c r="Y72" s="198">
        <v>1425000</v>
      </c>
      <c r="Z72" s="198">
        <f t="shared" si="10"/>
        <v>247000</v>
      </c>
      <c r="AA72" s="198">
        <f t="shared" ref="AA72" si="14">Z73-Z72</f>
        <v>23000</v>
      </c>
    </row>
    <row r="73" customHeight="1" spans="1:253">
      <c r="B73" s="199">
        <v>13</v>
      </c>
      <c r="C73" s="199">
        <v>1410</v>
      </c>
      <c r="D73" s="199">
        <v>940</v>
      </c>
      <c r="E73" s="199">
        <v>940</v>
      </c>
      <c r="F73" s="199">
        <v>1410</v>
      </c>
      <c r="G73" s="199" t="s">
        <v>240</v>
      </c>
      <c r="H73" s="199">
        <v>1900</v>
      </c>
      <c r="I73" s="199">
        <v>11000</v>
      </c>
      <c r="J73" s="199">
        <v>24.7</v>
      </c>
      <c r="K73" s="199">
        <v>40</v>
      </c>
      <c r="L73" s="199">
        <v>10920</v>
      </c>
      <c r="M73" s="199">
        <v>54875</v>
      </c>
      <c r="Q73" s="199">
        <v>140</v>
      </c>
      <c r="R73" s="199">
        <f t="shared" si="13"/>
        <v>360</v>
      </c>
      <c r="Y73" s="198">
        <v>1672000</v>
      </c>
      <c r="Z73" s="198">
        <f t="shared" si="10"/>
        <v>270000</v>
      </c>
      <c r="AA73" s="198">
        <f t="shared" ref="AA73" si="15">Z74-Z73</f>
        <v>24000</v>
      </c>
    </row>
    <row r="74" customHeight="1" spans="1:253">
      <c r="B74" s="199">
        <v>14</v>
      </c>
      <c r="C74" s="199">
        <v>1620</v>
      </c>
      <c r="D74" s="199">
        <v>1080</v>
      </c>
      <c r="E74" s="199">
        <v>1080</v>
      </c>
      <c r="F74" s="199">
        <v>1620</v>
      </c>
      <c r="G74" s="199" t="s">
        <v>241</v>
      </c>
      <c r="H74" s="199">
        <v>2200</v>
      </c>
      <c r="I74" s="199">
        <v>12500</v>
      </c>
      <c r="J74" s="199">
        <v>27.3</v>
      </c>
      <c r="K74" s="199">
        <v>45</v>
      </c>
      <c r="L74" s="199">
        <v>12240</v>
      </c>
      <c r="M74" s="199">
        <v>67115</v>
      </c>
      <c r="Q74" s="199">
        <v>190</v>
      </c>
      <c r="R74" s="199">
        <f t="shared" si="13"/>
        <v>550</v>
      </c>
      <c r="Y74" s="198">
        <v>1942000</v>
      </c>
      <c r="Z74" s="198">
        <f t="shared" si="10"/>
        <v>294000</v>
      </c>
      <c r="AA74" s="198">
        <f t="shared" ref="AA74" si="16">Z75-Z74</f>
        <v>25000</v>
      </c>
    </row>
    <row r="75" customHeight="1" spans="1:253">
      <c r="B75" s="199">
        <v>15</v>
      </c>
      <c r="C75" s="822">
        <v>1845</v>
      </c>
      <c r="D75" s="822">
        <v>1230</v>
      </c>
      <c r="E75" s="822">
        <v>1230</v>
      </c>
      <c r="F75" s="822">
        <v>1845</v>
      </c>
      <c r="G75" s="199" t="s">
        <v>242</v>
      </c>
      <c r="H75" s="199">
        <v>2500</v>
      </c>
      <c r="I75" s="199">
        <v>14000</v>
      </c>
      <c r="J75" s="199">
        <v>30</v>
      </c>
      <c r="K75" s="199">
        <v>50</v>
      </c>
      <c r="L75" s="199">
        <v>13950</v>
      </c>
      <c r="M75" s="199">
        <v>81065</v>
      </c>
      <c r="Q75" s="199">
        <v>250</v>
      </c>
      <c r="R75" s="199">
        <f t="shared" si="13"/>
        <v>800</v>
      </c>
      <c r="Y75" s="198">
        <v>2236000</v>
      </c>
      <c r="Z75" s="198">
        <f t="shared" si="10"/>
        <v>319000</v>
      </c>
    </row>
    <row r="76" customHeight="1" spans="1:253">
      <c r="B76" s="199" t="s">
        <v>226</v>
      </c>
      <c r="C76" s="199"/>
      <c r="D76" s="199"/>
      <c r="E76" s="199"/>
      <c r="F76" s="199"/>
      <c r="G76" s="199"/>
      <c r="H76" s="822">
        <v>10500</v>
      </c>
      <c r="I76" s="822">
        <v>61500</v>
      </c>
      <c r="J76" s="199"/>
      <c r="K76" s="199"/>
      <c r="L76" s="822">
        <v>62265</v>
      </c>
      <c r="M76" s="199"/>
      <c r="Q76" s="822">
        <f>SUM(Q70:Q75)</f>
        <v>800</v>
      </c>
      <c r="R76" s="199"/>
      <c r="Y76" s="198">
        <v>2555000</v>
      </c>
    </row>
    <row r="77" customHeight="1" spans="1:253">
      <c r="H77" s="198">
        <v>12220</v>
      </c>
      <c r="I77" s="198">
        <v>73500</v>
      </c>
      <c r="L77" s="198">
        <v>81065</v>
      </c>
    </row>
    <row r="80" ht="20.1" customHeight="1" spans="1:253">
      <c r="A80" s="14"/>
      <c r="B80" s="814" t="s">
        <v>257</v>
      </c>
      <c r="C80" s="815"/>
      <c r="D80" s="815"/>
      <c r="E80" s="815"/>
      <c r="F80" s="815"/>
      <c r="G80" s="815"/>
      <c r="H80" s="815"/>
      <c r="I80" s="815"/>
      <c r="J80" s="815"/>
      <c r="K80" s="815"/>
      <c r="L80" s="815"/>
      <c r="M80" s="815"/>
      <c r="N80" s="815"/>
      <c r="O80" s="815"/>
      <c r="P80" s="815"/>
      <c r="Q80" s="815"/>
      <c r="R80" s="815"/>
      <c r="IR80"/>
      <c r="IS80"/>
    </row>
    <row r="81" customHeight="1" spans="2:18">
      <c r="B81" s="199" t="s">
        <v>177</v>
      </c>
      <c r="C81" s="199" t="s">
        <v>178</v>
      </c>
      <c r="D81" s="199"/>
      <c r="E81" s="199"/>
      <c r="F81" s="199"/>
      <c r="G81" s="199" t="s">
        <v>179</v>
      </c>
      <c r="H81" s="199" t="s">
        <v>180</v>
      </c>
      <c r="I81" s="199"/>
      <c r="J81" s="199" t="s">
        <v>181</v>
      </c>
      <c r="K81" s="837" t="s">
        <v>182</v>
      </c>
      <c r="L81" s="818" t="s">
        <v>183</v>
      </c>
      <c r="M81" s="200" t="s">
        <v>184</v>
      </c>
      <c r="N81" s="199" t="s">
        <v>185</v>
      </c>
      <c r="O81" s="199"/>
      <c r="P81" s="199"/>
      <c r="Q81" s="818" t="s">
        <v>186</v>
      </c>
      <c r="R81" s="200" t="s">
        <v>187</v>
      </c>
    </row>
    <row r="82" customHeight="1" spans="2:18">
      <c r="B82" s="199"/>
      <c r="C82" s="199" t="s">
        <v>189</v>
      </c>
      <c r="D82" s="199" t="s">
        <v>198</v>
      </c>
      <c r="E82" s="199" t="s">
        <v>190</v>
      </c>
      <c r="F82" s="199" t="s">
        <v>191</v>
      </c>
      <c r="G82" s="199"/>
      <c r="H82" s="199" t="s">
        <v>193</v>
      </c>
      <c r="I82" s="199" t="s">
        <v>194</v>
      </c>
      <c r="J82" s="199"/>
      <c r="K82" s="839"/>
      <c r="L82" s="822"/>
      <c r="M82" s="199"/>
      <c r="N82" s="199" t="s">
        <v>258</v>
      </c>
      <c r="O82" s="199" t="s">
        <v>259</v>
      </c>
      <c r="P82" s="199" t="s">
        <v>248</v>
      </c>
      <c r="Q82" s="822"/>
      <c r="R82" s="199"/>
    </row>
    <row r="83" customHeight="1" spans="2:18">
      <c r="B83" s="199">
        <v>0</v>
      </c>
      <c r="C83" s="199">
        <v>240</v>
      </c>
      <c r="D83" s="199"/>
      <c r="E83" s="199"/>
      <c r="F83" s="199"/>
      <c r="G83" s="199" t="s">
        <v>205</v>
      </c>
      <c r="H83" s="199"/>
      <c r="I83" s="199"/>
      <c r="J83" s="199">
        <v>2.5</v>
      </c>
      <c r="K83" s="201">
        <v>2</v>
      </c>
      <c r="L83" s="199">
        <v>100</v>
      </c>
      <c r="M83" s="199">
        <v>100</v>
      </c>
      <c r="N83" s="199">
        <v>0.5</v>
      </c>
      <c r="O83" s="199">
        <v>0.5</v>
      </c>
      <c r="P83" s="199">
        <v>1</v>
      </c>
      <c r="Q83" s="199">
        <v>40</v>
      </c>
      <c r="R83" s="199">
        <v>40</v>
      </c>
    </row>
    <row r="84" customHeight="1" spans="2:18">
      <c r="B84" s="199">
        <v>1</v>
      </c>
      <c r="C84" s="199">
        <v>320</v>
      </c>
      <c r="D84" s="199"/>
      <c r="E84" s="199"/>
      <c r="F84" s="199"/>
      <c r="G84" s="199" t="s">
        <v>208</v>
      </c>
      <c r="H84" s="199">
        <v>20</v>
      </c>
      <c r="I84" s="199">
        <v>100</v>
      </c>
      <c r="J84" s="199">
        <v>3.6</v>
      </c>
      <c r="K84" s="201">
        <v>3</v>
      </c>
      <c r="L84" s="199">
        <v>150</v>
      </c>
      <c r="M84" s="199">
        <v>250</v>
      </c>
      <c r="N84" s="199">
        <v>1</v>
      </c>
      <c r="O84" s="199">
        <v>1</v>
      </c>
      <c r="P84" s="199">
        <v>2</v>
      </c>
      <c r="Q84" s="199">
        <v>50</v>
      </c>
      <c r="R84" s="199">
        <v>90</v>
      </c>
    </row>
    <row r="85" customHeight="1" spans="2:18">
      <c r="B85" s="199">
        <v>2</v>
      </c>
      <c r="C85" s="199">
        <v>480</v>
      </c>
      <c r="D85" s="199">
        <v>90</v>
      </c>
      <c r="E85" s="199"/>
      <c r="F85" s="199"/>
      <c r="G85" s="199" t="s">
        <v>210</v>
      </c>
      <c r="H85" s="199">
        <v>30</v>
      </c>
      <c r="I85" s="199">
        <v>200</v>
      </c>
      <c r="J85" s="199">
        <v>4.8</v>
      </c>
      <c r="K85" s="201">
        <v>5</v>
      </c>
      <c r="L85" s="199">
        <v>550</v>
      </c>
      <c r="M85" s="199">
        <v>800</v>
      </c>
      <c r="N85" s="199">
        <v>1.5</v>
      </c>
      <c r="O85" s="199">
        <v>1.5</v>
      </c>
      <c r="P85" s="199">
        <v>3</v>
      </c>
      <c r="Q85" s="199">
        <v>60</v>
      </c>
      <c r="R85" s="199">
        <v>150</v>
      </c>
    </row>
    <row r="86" customHeight="1" spans="2:18">
      <c r="B86" s="199">
        <v>3</v>
      </c>
      <c r="C86" s="199">
        <v>720</v>
      </c>
      <c r="D86" s="199">
        <v>135</v>
      </c>
      <c r="E86" s="199"/>
      <c r="F86" s="199"/>
      <c r="G86" s="199" t="s">
        <v>212</v>
      </c>
      <c r="H86" s="199">
        <v>40</v>
      </c>
      <c r="I86" s="199">
        <v>300</v>
      </c>
      <c r="J86" s="199">
        <v>6.1</v>
      </c>
      <c r="K86" s="201">
        <v>6</v>
      </c>
      <c r="L86" s="199">
        <v>750</v>
      </c>
      <c r="M86" s="199">
        <v>1550</v>
      </c>
      <c r="N86" s="199">
        <v>2</v>
      </c>
      <c r="O86" s="199">
        <v>2</v>
      </c>
      <c r="P86" s="199">
        <v>4</v>
      </c>
      <c r="Q86" s="199">
        <v>70</v>
      </c>
      <c r="R86" s="199">
        <v>220</v>
      </c>
    </row>
    <row r="87" customHeight="1" spans="2:18">
      <c r="B87" s="199">
        <v>4</v>
      </c>
      <c r="C87" s="199">
        <v>1040</v>
      </c>
      <c r="D87" s="199">
        <v>195</v>
      </c>
      <c r="E87" s="199"/>
      <c r="F87" s="199"/>
      <c r="G87" s="199" t="s">
        <v>214</v>
      </c>
      <c r="H87" s="199">
        <v>60</v>
      </c>
      <c r="I87" s="199">
        <v>400</v>
      </c>
      <c r="J87" s="199">
        <v>7.5</v>
      </c>
      <c r="K87" s="201">
        <v>7</v>
      </c>
      <c r="L87" s="199">
        <v>950</v>
      </c>
      <c r="M87" s="199">
        <v>2500</v>
      </c>
      <c r="N87" s="199">
        <v>2.5</v>
      </c>
      <c r="O87" s="199">
        <v>2.5</v>
      </c>
      <c r="P87" s="199">
        <v>5</v>
      </c>
      <c r="Q87" s="199">
        <v>80</v>
      </c>
      <c r="R87" s="199">
        <v>300</v>
      </c>
    </row>
    <row r="88" customHeight="1" spans="2:18">
      <c r="B88" s="199">
        <v>5</v>
      </c>
      <c r="C88" s="199">
        <v>1440</v>
      </c>
      <c r="D88" s="199">
        <v>270</v>
      </c>
      <c r="E88" s="199">
        <v>270</v>
      </c>
      <c r="F88" s="199"/>
      <c r="G88" s="199" t="s">
        <v>216</v>
      </c>
      <c r="H88" s="199">
        <v>100</v>
      </c>
      <c r="I88" s="199">
        <v>700</v>
      </c>
      <c r="J88" s="199">
        <v>9</v>
      </c>
      <c r="K88" s="201">
        <v>10</v>
      </c>
      <c r="L88" s="199">
        <v>1800</v>
      </c>
      <c r="M88" s="199">
        <v>4300</v>
      </c>
      <c r="N88" s="199">
        <v>3</v>
      </c>
      <c r="O88" s="199">
        <v>3</v>
      </c>
      <c r="P88" s="199">
        <v>6</v>
      </c>
      <c r="Q88" s="199">
        <v>90</v>
      </c>
      <c r="R88" s="199">
        <v>390</v>
      </c>
    </row>
    <row r="89" customHeight="1" spans="2:18">
      <c r="B89" s="199">
        <v>6</v>
      </c>
      <c r="C89" s="199">
        <v>1920</v>
      </c>
      <c r="D89" s="199">
        <v>360</v>
      </c>
      <c r="E89" s="199">
        <v>360</v>
      </c>
      <c r="F89" s="199"/>
      <c r="G89" s="199" t="s">
        <v>218</v>
      </c>
      <c r="H89" s="199">
        <v>150</v>
      </c>
      <c r="I89" s="199">
        <v>1100</v>
      </c>
      <c r="J89" s="199">
        <v>10.6</v>
      </c>
      <c r="K89" s="201">
        <v>11</v>
      </c>
      <c r="L89" s="199">
        <v>2100</v>
      </c>
      <c r="M89" s="199">
        <v>6400</v>
      </c>
      <c r="N89" s="199">
        <v>3.5</v>
      </c>
      <c r="O89" s="199">
        <v>3.5</v>
      </c>
      <c r="P89" s="199">
        <v>7</v>
      </c>
      <c r="Q89" s="199">
        <v>100</v>
      </c>
      <c r="R89" s="199">
        <v>490</v>
      </c>
    </row>
    <row r="90" customHeight="1" spans="2:18">
      <c r="B90" s="199">
        <v>7</v>
      </c>
      <c r="C90" s="199">
        <v>2480</v>
      </c>
      <c r="D90" s="199">
        <v>465</v>
      </c>
      <c r="E90" s="199">
        <v>465</v>
      </c>
      <c r="F90" s="199"/>
      <c r="G90" s="199" t="s">
        <v>220</v>
      </c>
      <c r="H90" s="199">
        <v>220</v>
      </c>
      <c r="I90" s="199">
        <v>1600</v>
      </c>
      <c r="J90" s="199">
        <v>12.3</v>
      </c>
      <c r="K90" s="201">
        <v>12</v>
      </c>
      <c r="L90" s="199">
        <v>2400</v>
      </c>
      <c r="M90" s="199">
        <v>8800</v>
      </c>
      <c r="N90" s="199">
        <v>4</v>
      </c>
      <c r="O90" s="199">
        <v>4</v>
      </c>
      <c r="P90" s="199">
        <v>8</v>
      </c>
      <c r="Q90" s="199">
        <v>115</v>
      </c>
      <c r="R90" s="199">
        <v>605</v>
      </c>
    </row>
    <row r="91" customHeight="1" spans="2:18">
      <c r="B91" s="199">
        <v>8</v>
      </c>
      <c r="C91" s="199">
        <v>3120</v>
      </c>
      <c r="D91" s="199">
        <v>585</v>
      </c>
      <c r="E91" s="199">
        <v>585</v>
      </c>
      <c r="F91" s="199">
        <v>390</v>
      </c>
      <c r="G91" s="199" t="s">
        <v>222</v>
      </c>
      <c r="H91" s="199">
        <v>400</v>
      </c>
      <c r="I91" s="199">
        <v>2800</v>
      </c>
      <c r="J91" s="199">
        <v>14.1</v>
      </c>
      <c r="K91" s="201">
        <v>18</v>
      </c>
      <c r="L91" s="199">
        <v>4500</v>
      </c>
      <c r="M91" s="199">
        <v>13300</v>
      </c>
      <c r="N91" s="199">
        <v>4.5</v>
      </c>
      <c r="O91" s="199">
        <v>4.5</v>
      </c>
      <c r="P91" s="199">
        <v>9</v>
      </c>
      <c r="Q91" s="199">
        <v>130</v>
      </c>
      <c r="R91" s="199">
        <v>735</v>
      </c>
    </row>
    <row r="92" customHeight="1" spans="2:18">
      <c r="B92" s="199">
        <v>9</v>
      </c>
      <c r="C92" s="822">
        <v>3840</v>
      </c>
      <c r="D92" s="822">
        <v>720</v>
      </c>
      <c r="E92" s="822">
        <v>720</v>
      </c>
      <c r="F92" s="822">
        <v>480</v>
      </c>
      <c r="G92" s="199" t="s">
        <v>224</v>
      </c>
      <c r="H92" s="199">
        <v>700</v>
      </c>
      <c r="I92" s="199">
        <v>4800</v>
      </c>
      <c r="J92" s="199">
        <v>16</v>
      </c>
      <c r="K92" s="201">
        <v>20</v>
      </c>
      <c r="L92" s="199">
        <v>5500</v>
      </c>
      <c r="M92" s="199">
        <v>18800</v>
      </c>
      <c r="N92" s="199">
        <v>5</v>
      </c>
      <c r="O92" s="199">
        <v>5</v>
      </c>
      <c r="P92" s="199">
        <v>10</v>
      </c>
      <c r="Q92" s="199">
        <v>150</v>
      </c>
      <c r="R92" s="199">
        <v>885</v>
      </c>
    </row>
    <row r="93" customHeight="1" spans="2:18">
      <c r="B93" s="199" t="s">
        <v>226</v>
      </c>
      <c r="C93" s="199"/>
      <c r="D93" s="199"/>
      <c r="E93" s="199"/>
      <c r="F93" s="199"/>
      <c r="G93" s="199"/>
      <c r="H93" s="822">
        <v>1720</v>
      </c>
      <c r="I93" s="822">
        <v>12000</v>
      </c>
      <c r="J93" s="199"/>
      <c r="K93" s="842"/>
      <c r="L93" s="822">
        <v>18800</v>
      </c>
      <c r="M93" s="199"/>
      <c r="N93" s="199"/>
      <c r="O93" s="199"/>
      <c r="P93" s="199"/>
      <c r="Q93" s="822">
        <v>885</v>
      </c>
      <c r="R93" s="199"/>
    </row>
    <row r="95" customHeight="1" spans="2:18">
      <c r="B95" s="199" t="s">
        <v>177</v>
      </c>
      <c r="C95" s="199" t="s">
        <v>189</v>
      </c>
      <c r="D95" s="199" t="s">
        <v>198</v>
      </c>
      <c r="E95" s="199" t="s">
        <v>190</v>
      </c>
      <c r="F95" s="199" t="s">
        <v>191</v>
      </c>
      <c r="G95" s="199" t="s">
        <v>179</v>
      </c>
      <c r="H95" s="822" t="s">
        <v>260</v>
      </c>
      <c r="I95" s="822" t="s">
        <v>194</v>
      </c>
      <c r="J95" s="199" t="s">
        <v>181</v>
      </c>
      <c r="K95" s="199" t="s">
        <v>229</v>
      </c>
      <c r="L95" s="822" t="s">
        <v>202</v>
      </c>
      <c r="M95" s="199" t="s">
        <v>230</v>
      </c>
      <c r="Q95" s="822" t="s">
        <v>231</v>
      </c>
      <c r="R95" s="199" t="s">
        <v>232</v>
      </c>
    </row>
    <row r="96" customHeight="1" spans="2:18">
      <c r="B96" s="199">
        <v>10</v>
      </c>
      <c r="C96" s="199">
        <v>4640</v>
      </c>
      <c r="D96" s="199">
        <v>870</v>
      </c>
      <c r="E96" s="199">
        <v>870</v>
      </c>
      <c r="F96" s="199">
        <v>580</v>
      </c>
      <c r="G96" s="199" t="s">
        <v>234</v>
      </c>
      <c r="H96" s="199">
        <v>1000</v>
      </c>
      <c r="I96" s="199">
        <v>6500</v>
      </c>
      <c r="J96" s="199">
        <v>18</v>
      </c>
      <c r="K96" s="199">
        <v>25</v>
      </c>
      <c r="L96" s="199">
        <v>6800</v>
      </c>
      <c r="M96" s="199">
        <v>25600</v>
      </c>
      <c r="Q96" s="199">
        <v>50</v>
      </c>
      <c r="R96" s="199">
        <v>50</v>
      </c>
    </row>
    <row r="97" customHeight="1" spans="2:18">
      <c r="B97" s="199">
        <v>11</v>
      </c>
      <c r="C97" s="199">
        <v>5520</v>
      </c>
      <c r="D97" s="199">
        <v>1035</v>
      </c>
      <c r="E97" s="199">
        <v>1035</v>
      </c>
      <c r="F97" s="199">
        <v>690</v>
      </c>
      <c r="G97" s="199" t="s">
        <v>236</v>
      </c>
      <c r="H97" s="199">
        <v>1300</v>
      </c>
      <c r="I97" s="199">
        <v>8000</v>
      </c>
      <c r="J97" s="199">
        <v>20.1</v>
      </c>
      <c r="K97" s="199">
        <v>30</v>
      </c>
      <c r="L97" s="199">
        <v>8520</v>
      </c>
      <c r="M97" s="199">
        <v>34120</v>
      </c>
      <c r="Q97" s="199">
        <v>70</v>
      </c>
      <c r="R97" s="199">
        <f>R96+Q97</f>
        <v>120</v>
      </c>
    </row>
    <row r="98" customHeight="1" spans="2:18">
      <c r="B98" s="199">
        <v>12</v>
      </c>
      <c r="C98" s="199">
        <v>6480</v>
      </c>
      <c r="D98" s="199">
        <v>1215</v>
      </c>
      <c r="E98" s="199">
        <v>1215</v>
      </c>
      <c r="F98" s="199">
        <v>810</v>
      </c>
      <c r="G98" s="199" t="s">
        <v>238</v>
      </c>
      <c r="H98" s="199">
        <v>1600</v>
      </c>
      <c r="I98" s="199">
        <v>9500</v>
      </c>
      <c r="J98" s="199">
        <v>22.3</v>
      </c>
      <c r="K98" s="199">
        <v>35</v>
      </c>
      <c r="L98" s="199">
        <v>9835</v>
      </c>
      <c r="M98" s="199">
        <v>43955</v>
      </c>
      <c r="Q98" s="199">
        <v>100</v>
      </c>
      <c r="R98" s="199">
        <f t="shared" ref="R98:R101" si="17">R97+Q98</f>
        <v>220</v>
      </c>
    </row>
    <row r="99" customHeight="1" spans="2:18">
      <c r="B99" s="199">
        <v>13</v>
      </c>
      <c r="C99" s="199">
        <v>7520</v>
      </c>
      <c r="D99" s="199">
        <v>1410</v>
      </c>
      <c r="E99" s="199">
        <v>1410</v>
      </c>
      <c r="F99" s="199">
        <v>940</v>
      </c>
      <c r="G99" s="199" t="s">
        <v>240</v>
      </c>
      <c r="H99" s="199">
        <v>1900</v>
      </c>
      <c r="I99" s="199">
        <v>11000</v>
      </c>
      <c r="J99" s="199">
        <v>24.7</v>
      </c>
      <c r="K99" s="199">
        <v>40</v>
      </c>
      <c r="L99" s="199">
        <v>10920</v>
      </c>
      <c r="M99" s="199">
        <v>54875</v>
      </c>
      <c r="Q99" s="199">
        <v>140</v>
      </c>
      <c r="R99" s="199">
        <f t="shared" si="17"/>
        <v>360</v>
      </c>
    </row>
    <row r="100" customHeight="1" spans="2:18">
      <c r="B100" s="199">
        <v>14</v>
      </c>
      <c r="C100" s="199">
        <v>8640</v>
      </c>
      <c r="D100" s="199">
        <v>1620</v>
      </c>
      <c r="E100" s="199">
        <v>1620</v>
      </c>
      <c r="F100" s="199">
        <v>1080</v>
      </c>
      <c r="G100" s="199" t="s">
        <v>241</v>
      </c>
      <c r="H100" s="199">
        <v>2200</v>
      </c>
      <c r="I100" s="199">
        <v>12500</v>
      </c>
      <c r="J100" s="199">
        <v>27.3</v>
      </c>
      <c r="K100" s="199">
        <v>45</v>
      </c>
      <c r="L100" s="199">
        <v>12240</v>
      </c>
      <c r="M100" s="199">
        <v>67115</v>
      </c>
      <c r="Q100" s="199">
        <v>190</v>
      </c>
      <c r="R100" s="199">
        <f t="shared" si="17"/>
        <v>550</v>
      </c>
    </row>
    <row r="101" customHeight="1" spans="2:18">
      <c r="B101" s="199">
        <v>15</v>
      </c>
      <c r="C101" s="822">
        <v>9840</v>
      </c>
      <c r="D101" s="822">
        <v>1845</v>
      </c>
      <c r="E101" s="822">
        <v>1845</v>
      </c>
      <c r="F101" s="822">
        <v>1230</v>
      </c>
      <c r="G101" s="199" t="s">
        <v>242</v>
      </c>
      <c r="H101" s="199">
        <v>2500</v>
      </c>
      <c r="I101" s="199">
        <v>14000</v>
      </c>
      <c r="J101" s="199">
        <v>30</v>
      </c>
      <c r="K101" s="199">
        <v>50</v>
      </c>
      <c r="L101" s="199">
        <v>13950</v>
      </c>
      <c r="M101" s="199">
        <v>81065</v>
      </c>
      <c r="Q101" s="199">
        <v>250</v>
      </c>
      <c r="R101" s="199">
        <f t="shared" si="17"/>
        <v>800</v>
      </c>
    </row>
    <row r="102" customHeight="1" spans="2:18">
      <c r="B102" s="199" t="s">
        <v>226</v>
      </c>
      <c r="C102" s="199"/>
      <c r="D102" s="199"/>
      <c r="E102" s="199"/>
      <c r="F102" s="199"/>
      <c r="G102" s="199"/>
      <c r="H102" s="822">
        <v>10500</v>
      </c>
      <c r="I102" s="822">
        <v>61500</v>
      </c>
      <c r="J102" s="199"/>
      <c r="K102" s="199"/>
      <c r="L102" s="822">
        <v>62265</v>
      </c>
      <c r="M102" s="199"/>
      <c r="Q102" s="822">
        <f>SUM(Q96:Q101)</f>
        <v>800</v>
      </c>
      <c r="R102" s="199"/>
    </row>
    <row r="103" customHeight="1" spans="2:18">
      <c r="H103" s="198">
        <v>12220</v>
      </c>
      <c r="I103" s="198">
        <v>73500</v>
      </c>
      <c r="L103" s="198">
        <v>81065</v>
      </c>
    </row>
    <row r="122" customHeight="1" spans="10:14">
      <c r="M122" s="198" t="s">
        <v>261</v>
      </c>
    </row>
    <row r="123" customHeight="1" spans="10:14">
      <c r="J123" s="198">
        <v>0</v>
      </c>
      <c r="K123" s="201">
        <v>2</v>
      </c>
      <c r="L123" s="199">
        <v>100</v>
      </c>
      <c r="M123" s="198">
        <f>L123/K123</f>
        <v>50</v>
      </c>
      <c r="N123" s="198">
        <f>M124-M123</f>
        <v>0</v>
      </c>
    </row>
    <row r="124" customHeight="1" spans="10:14">
      <c r="J124" s="198">
        <v>1</v>
      </c>
      <c r="K124" s="201">
        <v>3</v>
      </c>
      <c r="L124" s="199">
        <v>150</v>
      </c>
      <c r="M124" s="198">
        <f t="shared" ref="M124:M134" si="18">L124/K124</f>
        <v>50</v>
      </c>
      <c r="N124" s="198">
        <f t="shared" ref="N124:N133" si="19">M125-M124</f>
        <v>60</v>
      </c>
    </row>
    <row r="125" customHeight="1" spans="10:14">
      <c r="J125" s="198">
        <v>2</v>
      </c>
      <c r="K125" s="201">
        <v>5</v>
      </c>
      <c r="L125" s="199">
        <v>550</v>
      </c>
      <c r="M125" s="198">
        <f t="shared" si="18"/>
        <v>110</v>
      </c>
      <c r="N125" s="198">
        <f t="shared" si="19"/>
        <v>15</v>
      </c>
    </row>
    <row r="126" customHeight="1" spans="10:14">
      <c r="J126" s="198">
        <v>3</v>
      </c>
      <c r="K126" s="201">
        <v>6</v>
      </c>
      <c r="L126" s="199">
        <v>750</v>
      </c>
      <c r="M126" s="198">
        <f t="shared" si="18"/>
        <v>125</v>
      </c>
      <c r="N126" s="198">
        <f t="shared" si="19"/>
        <v>11</v>
      </c>
    </row>
    <row r="127" customHeight="1" spans="10:14">
      <c r="J127" s="198">
        <v>4</v>
      </c>
      <c r="K127" s="201">
        <v>7</v>
      </c>
      <c r="L127" s="199">
        <v>952</v>
      </c>
      <c r="M127" s="198">
        <f t="shared" si="18"/>
        <v>136</v>
      </c>
      <c r="N127" s="198">
        <f t="shared" si="19"/>
        <v>44</v>
      </c>
    </row>
    <row r="128" customHeight="1" spans="10:14">
      <c r="J128" s="198">
        <v>5</v>
      </c>
      <c r="K128" s="201">
        <v>10</v>
      </c>
      <c r="L128" s="199">
        <v>1800</v>
      </c>
      <c r="M128" s="198">
        <f t="shared" si="18"/>
        <v>180</v>
      </c>
      <c r="N128" s="198">
        <f t="shared" si="19"/>
        <v>10</v>
      </c>
    </row>
    <row r="129" customHeight="1" spans="10:14">
      <c r="J129" s="198">
        <v>6</v>
      </c>
      <c r="K129" s="201">
        <v>11</v>
      </c>
      <c r="L129" s="199">
        <f>11*190</f>
        <v>2090</v>
      </c>
      <c r="M129" s="198">
        <f t="shared" si="18"/>
        <v>190</v>
      </c>
      <c r="N129" s="198">
        <f t="shared" si="19"/>
        <v>60</v>
      </c>
    </row>
    <row r="130" customHeight="1" spans="10:14">
      <c r="J130" s="198">
        <v>7</v>
      </c>
      <c r="K130" s="201">
        <v>12</v>
      </c>
      <c r="L130" s="199">
        <v>3000</v>
      </c>
      <c r="M130" s="198">
        <f t="shared" si="18"/>
        <v>250</v>
      </c>
      <c r="N130" s="198">
        <f t="shared" si="19"/>
        <v>0</v>
      </c>
    </row>
    <row r="131" customHeight="1" spans="10:14">
      <c r="J131" s="198">
        <v>8</v>
      </c>
      <c r="K131" s="201">
        <v>18</v>
      </c>
      <c r="L131" s="199">
        <v>4500</v>
      </c>
      <c r="M131" s="198">
        <f t="shared" si="18"/>
        <v>250</v>
      </c>
      <c r="N131" s="198">
        <f t="shared" si="19"/>
        <v>25</v>
      </c>
    </row>
    <row r="132" customHeight="1" spans="10:14">
      <c r="J132" s="198">
        <v>9</v>
      </c>
      <c r="K132" s="201">
        <v>20</v>
      </c>
      <c r="L132" s="199">
        <v>5500</v>
      </c>
      <c r="M132" s="198">
        <f t="shared" si="18"/>
        <v>275</v>
      </c>
      <c r="N132" s="198">
        <f t="shared" si="19"/>
        <v>-3</v>
      </c>
    </row>
    <row r="133" customHeight="1" spans="10:14">
      <c r="J133" s="198">
        <v>10</v>
      </c>
      <c r="K133" s="822">
        <v>25</v>
      </c>
      <c r="L133" s="822">
        <v>6800</v>
      </c>
      <c r="M133" s="816">
        <f t="shared" si="18"/>
        <v>272</v>
      </c>
      <c r="N133" s="198">
        <f t="shared" si="19"/>
        <v>12</v>
      </c>
    </row>
    <row r="134" customHeight="1" spans="10:14">
      <c r="J134" s="198">
        <v>11</v>
      </c>
      <c r="K134" s="822">
        <v>30</v>
      </c>
      <c r="L134" s="822">
        <v>8520</v>
      </c>
      <c r="M134" s="816">
        <f t="shared" si="18"/>
        <v>284</v>
      </c>
    </row>
  </sheetData>
  <mergeCells count="88">
    <mergeCell ref="C3:F3"/>
    <mergeCell ref="H3:I3"/>
    <mergeCell ref="N3:P3"/>
    <mergeCell ref="U3:X3"/>
    <mergeCell ref="Y3:Z3"/>
    <mergeCell ref="AA3:AC3"/>
    <mergeCell ref="AD3:AE3"/>
    <mergeCell ref="U5:X5"/>
    <mergeCell ref="U6:X6"/>
    <mergeCell ref="U7:X7"/>
    <mergeCell ref="U8:X8"/>
    <mergeCell ref="U9:X9"/>
    <mergeCell ref="U10:X10"/>
    <mergeCell ref="U11:X11"/>
    <mergeCell ref="U12:X12"/>
    <mergeCell ref="U13:X13"/>
    <mergeCell ref="U14:X14"/>
    <mergeCell ref="U15:X15"/>
    <mergeCell ref="U16:X16"/>
    <mergeCell ref="U17:X17"/>
    <mergeCell ref="U18:X18"/>
    <mergeCell ref="U19:X19"/>
    <mergeCell ref="U20:X20"/>
    <mergeCell ref="U21:X21"/>
    <mergeCell ref="C29:F29"/>
    <mergeCell ref="H29:I29"/>
    <mergeCell ref="N29:P29"/>
    <mergeCell ref="U29:X29"/>
    <mergeCell ref="Y29:Z29"/>
    <mergeCell ref="AA29:AC29"/>
    <mergeCell ref="AD29:AE29"/>
    <mergeCell ref="U31:X31"/>
    <mergeCell ref="U32:X32"/>
    <mergeCell ref="U33:X33"/>
    <mergeCell ref="U34:X34"/>
    <mergeCell ref="U35:X35"/>
    <mergeCell ref="U36:X36"/>
    <mergeCell ref="U37:X37"/>
    <mergeCell ref="U38:X38"/>
    <mergeCell ref="U39:X39"/>
    <mergeCell ref="U40:X40"/>
    <mergeCell ref="U41:X41"/>
    <mergeCell ref="U42:X42"/>
    <mergeCell ref="U43:X43"/>
    <mergeCell ref="U44:X44"/>
    <mergeCell ref="U45:X45"/>
    <mergeCell ref="U46:X46"/>
    <mergeCell ref="U47:X47"/>
    <mergeCell ref="C55:F55"/>
    <mergeCell ref="H55:I55"/>
    <mergeCell ref="N55:P55"/>
    <mergeCell ref="C81:F81"/>
    <mergeCell ref="H81:I81"/>
    <mergeCell ref="N81:P81"/>
    <mergeCell ref="B3:B4"/>
    <mergeCell ref="B29:B30"/>
    <mergeCell ref="B55:B56"/>
    <mergeCell ref="B81:B82"/>
    <mergeCell ref="G3:G4"/>
    <mergeCell ref="G29:G30"/>
    <mergeCell ref="G55:G56"/>
    <mergeCell ref="G81:G82"/>
    <mergeCell ref="J3:J4"/>
    <mergeCell ref="J29:J30"/>
    <mergeCell ref="J55:J56"/>
    <mergeCell ref="J81:J82"/>
    <mergeCell ref="K3:K4"/>
    <mergeCell ref="K29:K30"/>
    <mergeCell ref="K55:K56"/>
    <mergeCell ref="K81:K82"/>
    <mergeCell ref="L3:L4"/>
    <mergeCell ref="L29:L30"/>
    <mergeCell ref="L55:L56"/>
    <mergeCell ref="L81:L82"/>
    <mergeCell ref="M3:M4"/>
    <mergeCell ref="M29:M30"/>
    <mergeCell ref="M55:M56"/>
    <mergeCell ref="M81:M82"/>
    <mergeCell ref="Q3:Q4"/>
    <mergeCell ref="Q29:Q30"/>
    <mergeCell ref="Q55:Q56"/>
    <mergeCell ref="Q81:Q82"/>
    <mergeCell ref="R3:R4"/>
    <mergeCell ref="R29:R30"/>
    <mergeCell ref="R55:R56"/>
    <mergeCell ref="R81:R82"/>
    <mergeCell ref="T3:T4"/>
    <mergeCell ref="T29:T3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6"/>
  <sheetViews>
    <sheetView zoomScale="115" zoomScaleNormal="115" topLeftCell="H1" workbookViewId="0">
      <pane ySplit="1" topLeftCell="A2" activePane="bottomLeft" state="frozen"/>
      <selection/>
      <selection pane="bottomLeft" activeCell="K26" sqref="K26:K33"/>
    </sheetView>
  </sheetViews>
  <sheetFormatPr defaultColWidth="9" defaultRowHeight="16.5"/>
  <cols>
    <col min="1" max="1" width="4.125" style="745" customWidth="1"/>
    <col min="2" max="6" width="13.625" style="745" customWidth="1"/>
    <col min="7" max="8" width="13.625" style="746" customWidth="1"/>
    <col min="9" max="9" width="6.625" style="745" customWidth="1"/>
    <col min="10" max="10" width="13.625" style="747" customWidth="1"/>
    <col min="11" max="17" width="13.625" style="745" customWidth="1"/>
    <col min="18" max="18" width="5.625" style="745" customWidth="1"/>
    <col min="19" max="25" width="13.625" style="745" customWidth="1"/>
    <col min="26" max="16384" width="9" style="745"/>
  </cols>
  <sheetData>
    <row r="1" s="744" customFormat="1" ht="19.5" spans="1:26">
      <c r="A1" s="746"/>
      <c r="B1" s="748" t="s">
        <v>262</v>
      </c>
      <c r="C1" s="749" t="s">
        <v>263</v>
      </c>
      <c r="D1" s="749" t="s">
        <v>264</v>
      </c>
      <c r="E1" s="749" t="s">
        <v>191</v>
      </c>
      <c r="F1" s="749" t="s">
        <v>189</v>
      </c>
      <c r="G1" s="750" t="s">
        <v>192</v>
      </c>
      <c r="H1" s="750" t="s">
        <v>265</v>
      </c>
      <c r="I1" s="751"/>
      <c r="J1" s="748" t="s">
        <v>262</v>
      </c>
      <c r="K1" s="749" t="s">
        <v>263</v>
      </c>
      <c r="L1" s="749" t="s">
        <v>264</v>
      </c>
      <c r="M1" s="749" t="s">
        <v>191</v>
      </c>
      <c r="N1" s="749" t="s">
        <v>189</v>
      </c>
      <c r="O1" s="750" t="s">
        <v>192</v>
      </c>
      <c r="P1" s="750" t="s">
        <v>265</v>
      </c>
      <c r="R1" s="751"/>
      <c r="S1" s="748" t="s">
        <v>262</v>
      </c>
      <c r="T1" s="749" t="s">
        <v>263</v>
      </c>
      <c r="U1" s="749" t="s">
        <v>264</v>
      </c>
      <c r="V1" s="749" t="s">
        <v>191</v>
      </c>
      <c r="W1" s="749" t="s">
        <v>189</v>
      </c>
      <c r="X1" s="750" t="s">
        <v>192</v>
      </c>
      <c r="Y1" s="750" t="s">
        <v>265</v>
      </c>
    </row>
    <row r="2" ht="17.25" spans="1:26">
      <c r="A2" s="746"/>
      <c r="B2" s="752">
        <v>1</v>
      </c>
      <c r="C2" s="753" t="s">
        <v>266</v>
      </c>
      <c r="D2" s="754" t="s">
        <v>267</v>
      </c>
      <c r="E2" s="755">
        <v>280</v>
      </c>
      <c r="F2" s="754">
        <v>1200</v>
      </c>
      <c r="G2" s="756">
        <v>145</v>
      </c>
      <c r="H2" s="757">
        <v>5</v>
      </c>
      <c r="I2" s="751"/>
      <c r="J2" s="758">
        <v>2</v>
      </c>
      <c r="K2" s="753" t="s">
        <v>268</v>
      </c>
      <c r="L2" s="754" t="s">
        <v>269</v>
      </c>
      <c r="M2" s="755">
        <v>320</v>
      </c>
      <c r="N2" s="754">
        <v>1280</v>
      </c>
      <c r="O2" s="757">
        <v>105</v>
      </c>
      <c r="P2" s="757">
        <v>3</v>
      </c>
      <c r="R2" s="751"/>
      <c r="S2" s="752">
        <v>5</v>
      </c>
      <c r="T2" s="753" t="s">
        <v>270</v>
      </c>
      <c r="U2" s="745" t="s">
        <v>271</v>
      </c>
      <c r="V2" s="745">
        <v>270</v>
      </c>
      <c r="W2" s="759">
        <v>1460</v>
      </c>
      <c r="X2" s="745">
        <v>90</v>
      </c>
      <c r="Y2" s="746">
        <v>1</v>
      </c>
      <c r="Z2" s="760"/>
    </row>
    <row r="3" spans="1:26">
      <c r="A3" s="746"/>
      <c r="B3" s="761"/>
      <c r="C3" s="762"/>
      <c r="D3" s="745" t="s">
        <v>272</v>
      </c>
      <c r="E3" s="759">
        <v>310</v>
      </c>
      <c r="F3" s="759">
        <v>1400</v>
      </c>
      <c r="G3" s="763">
        <v>160</v>
      </c>
      <c r="H3" s="764">
        <v>1</v>
      </c>
      <c r="I3" s="751"/>
      <c r="J3" s="765"/>
      <c r="K3" s="762"/>
      <c r="L3" s="745" t="s">
        <v>273</v>
      </c>
      <c r="M3" s="745">
        <v>299</v>
      </c>
      <c r="N3" s="745">
        <v>1330</v>
      </c>
      <c r="O3" s="764">
        <v>114</v>
      </c>
      <c r="P3" s="764">
        <v>1</v>
      </c>
      <c r="R3" s="751"/>
      <c r="S3" s="761"/>
      <c r="T3" s="762"/>
      <c r="U3" s="745" t="s">
        <v>274</v>
      </c>
      <c r="V3" s="745">
        <v>295</v>
      </c>
      <c r="W3" s="745">
        <v>1400</v>
      </c>
      <c r="X3" s="745">
        <v>93</v>
      </c>
      <c r="Y3" s="746"/>
      <c r="Z3" s="760"/>
    </row>
    <row r="4" spans="1:26">
      <c r="A4" s="746"/>
      <c r="B4" s="761"/>
      <c r="C4" s="762"/>
      <c r="D4" s="745" t="s">
        <v>275</v>
      </c>
      <c r="E4" s="745">
        <v>140</v>
      </c>
      <c r="F4" s="745">
        <v>440</v>
      </c>
      <c r="G4" s="764">
        <v>60</v>
      </c>
      <c r="H4" s="764"/>
      <c r="I4" s="751"/>
      <c r="J4" s="765"/>
      <c r="K4" s="762"/>
      <c r="L4" s="745" t="s">
        <v>276</v>
      </c>
      <c r="M4" s="745">
        <v>273</v>
      </c>
      <c r="N4" s="759">
        <v>1350</v>
      </c>
      <c r="O4" s="764">
        <v>124</v>
      </c>
      <c r="P4" s="764">
        <v>4</v>
      </c>
      <c r="R4" s="751"/>
      <c r="S4" s="761"/>
      <c r="T4" s="762"/>
      <c r="U4" s="745" t="s">
        <v>277</v>
      </c>
      <c r="V4" s="759">
        <v>340</v>
      </c>
      <c r="W4" s="745">
        <v>1250</v>
      </c>
      <c r="X4" s="745">
        <v>100</v>
      </c>
      <c r="Y4" s="746">
        <v>2</v>
      </c>
      <c r="Z4" s="760"/>
    </row>
    <row r="5" spans="1:26">
      <c r="A5" s="746"/>
      <c r="B5" s="761"/>
      <c r="C5" s="762"/>
      <c r="D5" s="745" t="s">
        <v>278</v>
      </c>
      <c r="E5" s="745">
        <v>220</v>
      </c>
      <c r="F5" s="745">
        <v>560</v>
      </c>
      <c r="G5" s="764">
        <v>60</v>
      </c>
      <c r="H5" s="764"/>
      <c r="I5" s="751"/>
      <c r="J5" s="765"/>
      <c r="K5" s="762"/>
      <c r="L5" s="745" t="s">
        <v>279</v>
      </c>
      <c r="M5" s="745">
        <v>281</v>
      </c>
      <c r="N5" s="759">
        <v>1380</v>
      </c>
      <c r="O5" s="763">
        <v>130</v>
      </c>
      <c r="P5" s="764">
        <v>5</v>
      </c>
      <c r="R5" s="751"/>
      <c r="S5" s="761"/>
      <c r="T5" s="762"/>
      <c r="U5" s="745" t="s">
        <v>280</v>
      </c>
      <c r="V5" s="745">
        <v>330</v>
      </c>
      <c r="W5" s="745">
        <v>1280</v>
      </c>
      <c r="X5" s="759">
        <v>95</v>
      </c>
      <c r="Y5" s="746">
        <v>4</v>
      </c>
      <c r="Z5" s="760"/>
    </row>
    <row r="6" spans="1:26">
      <c r="A6" s="746"/>
      <c r="B6" s="761"/>
      <c r="C6" s="762"/>
      <c r="D6" s="745" t="s">
        <v>281</v>
      </c>
      <c r="E6" s="745">
        <v>230</v>
      </c>
      <c r="F6" s="745">
        <v>850</v>
      </c>
      <c r="G6" s="764">
        <v>85</v>
      </c>
      <c r="H6" s="764">
        <v>3</v>
      </c>
      <c r="I6" s="751"/>
      <c r="J6" s="765"/>
      <c r="K6" s="762"/>
      <c r="L6" s="745" t="s">
        <v>282</v>
      </c>
      <c r="M6" s="745">
        <v>279</v>
      </c>
      <c r="N6" s="745">
        <v>1340</v>
      </c>
      <c r="O6" s="763">
        <v>132</v>
      </c>
      <c r="P6" s="764">
        <v>2</v>
      </c>
      <c r="R6" s="751"/>
      <c r="S6" s="761"/>
      <c r="T6" s="762"/>
      <c r="U6" s="745" t="s">
        <v>283</v>
      </c>
      <c r="V6" s="745">
        <v>328</v>
      </c>
      <c r="W6" s="745">
        <v>1300</v>
      </c>
      <c r="X6" s="759">
        <v>97</v>
      </c>
      <c r="Y6" s="764">
        <v>3</v>
      </c>
      <c r="Z6" s="747"/>
    </row>
    <row r="7" spans="1:26">
      <c r="A7" s="746"/>
      <c r="B7" s="761"/>
      <c r="C7" s="762"/>
      <c r="D7" s="745" t="s">
        <v>284</v>
      </c>
      <c r="E7" s="745">
        <v>250</v>
      </c>
      <c r="F7" s="745">
        <v>900</v>
      </c>
      <c r="G7" s="764">
        <v>120</v>
      </c>
      <c r="H7" s="764">
        <v>4</v>
      </c>
      <c r="I7" s="751"/>
      <c r="J7" s="765"/>
      <c r="K7" s="762"/>
      <c r="L7" s="745" t="s">
        <v>285</v>
      </c>
      <c r="M7" s="745">
        <v>295</v>
      </c>
      <c r="N7" s="745">
        <v>1210</v>
      </c>
      <c r="O7" s="764">
        <v>121</v>
      </c>
      <c r="P7" s="764"/>
      <c r="R7" s="751"/>
      <c r="S7" s="761"/>
      <c r="T7" s="762"/>
      <c r="U7" s="759" t="s">
        <v>286</v>
      </c>
      <c r="V7" s="745">
        <v>350</v>
      </c>
      <c r="W7" s="745">
        <v>1230</v>
      </c>
      <c r="X7" s="745">
        <v>85</v>
      </c>
      <c r="Y7" s="746"/>
      <c r="Z7" s="760"/>
    </row>
    <row r="8" ht="17.25" spans="1:26">
      <c r="A8" s="746"/>
      <c r="B8" s="766"/>
      <c r="C8" s="767"/>
      <c r="D8" s="768" t="s">
        <v>287</v>
      </c>
      <c r="E8" s="769">
        <v>300</v>
      </c>
      <c r="F8" s="769">
        <v>1250</v>
      </c>
      <c r="G8" s="770">
        <v>140</v>
      </c>
      <c r="H8" s="770">
        <v>2</v>
      </c>
      <c r="I8" s="751"/>
      <c r="J8" s="765"/>
      <c r="K8" s="762"/>
      <c r="L8" s="745" t="s">
        <v>288</v>
      </c>
      <c r="M8" s="745">
        <v>296</v>
      </c>
      <c r="N8" s="745">
        <v>1010</v>
      </c>
      <c r="O8" s="764">
        <v>101</v>
      </c>
      <c r="P8" s="764"/>
      <c r="R8" s="751"/>
      <c r="S8" s="761"/>
      <c r="T8" s="762"/>
      <c r="U8" s="745" t="s">
        <v>289</v>
      </c>
      <c r="V8" s="759">
        <v>330</v>
      </c>
      <c r="W8" s="745">
        <v>1240</v>
      </c>
      <c r="X8" s="745">
        <v>92</v>
      </c>
      <c r="Y8" s="746">
        <v>5</v>
      </c>
      <c r="Z8" s="760"/>
    </row>
    <row r="9" ht="18" spans="1:26">
      <c r="A9" s="746"/>
      <c r="B9" s="752">
        <v>1</v>
      </c>
      <c r="C9" s="753" t="s">
        <v>290</v>
      </c>
      <c r="D9" s="754" t="s">
        <v>291</v>
      </c>
      <c r="E9" s="755">
        <v>280</v>
      </c>
      <c r="F9" s="755">
        <v>1300</v>
      </c>
      <c r="G9" s="756">
        <v>150</v>
      </c>
      <c r="H9" s="757">
        <v>1</v>
      </c>
      <c r="I9" s="751"/>
      <c r="J9" s="771"/>
      <c r="K9" s="767"/>
      <c r="L9" s="768" t="s">
        <v>292</v>
      </c>
      <c r="M9" s="769">
        <v>303</v>
      </c>
      <c r="N9" s="768">
        <v>1070</v>
      </c>
      <c r="O9" s="770">
        <v>114</v>
      </c>
      <c r="P9" s="770">
        <v>6</v>
      </c>
      <c r="R9" s="772"/>
      <c r="S9" s="766"/>
      <c r="T9" s="767"/>
      <c r="U9" s="768" t="s">
        <v>293</v>
      </c>
      <c r="V9" s="768">
        <v>295</v>
      </c>
      <c r="W9" s="769">
        <v>1440</v>
      </c>
      <c r="X9" s="768">
        <v>96</v>
      </c>
      <c r="Y9" s="773">
        <v>6</v>
      </c>
      <c r="Z9" s="760"/>
    </row>
    <row r="10" ht="17.25" spans="1:26">
      <c r="A10" s="746"/>
      <c r="B10" s="761"/>
      <c r="C10" s="762"/>
      <c r="D10" s="745" t="s">
        <v>294</v>
      </c>
      <c r="E10" s="759">
        <v>255</v>
      </c>
      <c r="F10" s="745">
        <v>890</v>
      </c>
      <c r="G10" s="764">
        <v>90</v>
      </c>
      <c r="H10" s="764">
        <v>5</v>
      </c>
      <c r="I10" s="751"/>
      <c r="J10" s="752">
        <v>2</v>
      </c>
      <c r="K10" s="753" t="s">
        <v>295</v>
      </c>
      <c r="L10" s="754" t="s">
        <v>296</v>
      </c>
      <c r="M10" s="754">
        <v>270</v>
      </c>
      <c r="N10" s="755">
        <v>1400</v>
      </c>
      <c r="O10" s="756">
        <v>140</v>
      </c>
      <c r="P10" s="757">
        <v>5</v>
      </c>
      <c r="R10" s="751"/>
      <c r="S10" s="752">
        <v>5</v>
      </c>
      <c r="T10" s="753" t="s">
        <v>297</v>
      </c>
      <c r="U10" s="745" t="s">
        <v>298</v>
      </c>
      <c r="V10" s="745">
        <v>298</v>
      </c>
      <c r="W10" s="745">
        <v>1430</v>
      </c>
      <c r="X10" s="759">
        <v>122</v>
      </c>
      <c r="Y10" s="746">
        <v>4</v>
      </c>
      <c r="Z10" s="760"/>
    </row>
    <row r="11" spans="1:26">
      <c r="A11" s="746"/>
      <c r="B11" s="761"/>
      <c r="C11" s="762"/>
      <c r="D11" s="745" t="s">
        <v>299</v>
      </c>
      <c r="E11" s="745">
        <v>240</v>
      </c>
      <c r="F11" s="745">
        <v>920</v>
      </c>
      <c r="G11" s="763">
        <v>130</v>
      </c>
      <c r="H11" s="764">
        <v>4</v>
      </c>
      <c r="I11" s="751"/>
      <c r="J11" s="761"/>
      <c r="K11" s="762"/>
      <c r="L11" s="745" t="s">
        <v>300</v>
      </c>
      <c r="M11" s="745">
        <v>298</v>
      </c>
      <c r="N11" s="745">
        <v>1250</v>
      </c>
      <c r="O11" s="764">
        <v>113</v>
      </c>
      <c r="P11" s="764"/>
      <c r="R11" s="751"/>
      <c r="S11" s="761"/>
      <c r="T11" s="762"/>
      <c r="U11" s="745" t="s">
        <v>301</v>
      </c>
      <c r="V11" s="759">
        <v>337</v>
      </c>
      <c r="W11" s="745">
        <v>1260</v>
      </c>
      <c r="X11" s="745">
        <v>94</v>
      </c>
      <c r="Y11" s="746">
        <v>5</v>
      </c>
      <c r="Z11" s="760"/>
    </row>
    <row r="12" spans="1:26">
      <c r="A12" s="746"/>
      <c r="B12" s="761"/>
      <c r="C12" s="762"/>
      <c r="D12" s="745" t="s">
        <v>302</v>
      </c>
      <c r="E12" s="745">
        <v>230</v>
      </c>
      <c r="F12" s="759">
        <v>940</v>
      </c>
      <c r="G12" s="764">
        <v>100</v>
      </c>
      <c r="H12" s="764">
        <v>3</v>
      </c>
      <c r="I12" s="751"/>
      <c r="J12" s="761"/>
      <c r="K12" s="762"/>
      <c r="L12" s="745" t="s">
        <v>303</v>
      </c>
      <c r="M12" s="759">
        <v>305</v>
      </c>
      <c r="N12" s="745">
        <v>1240</v>
      </c>
      <c r="O12" s="764">
        <v>121</v>
      </c>
      <c r="P12" s="764">
        <v>3</v>
      </c>
      <c r="R12" s="751"/>
      <c r="S12" s="761"/>
      <c r="T12" s="762"/>
      <c r="U12" s="745" t="s">
        <v>304</v>
      </c>
      <c r="V12" s="759">
        <v>342</v>
      </c>
      <c r="W12" s="745">
        <v>1240</v>
      </c>
      <c r="X12" s="745">
        <v>97</v>
      </c>
      <c r="Y12" s="764">
        <v>2</v>
      </c>
      <c r="Z12" s="747"/>
    </row>
    <row r="13" spans="1:26">
      <c r="A13" s="746"/>
      <c r="B13" s="761"/>
      <c r="C13" s="762"/>
      <c r="D13" s="745" t="s">
        <v>305</v>
      </c>
      <c r="E13" s="759">
        <v>260</v>
      </c>
      <c r="F13" s="745">
        <v>850</v>
      </c>
      <c r="G13" s="764">
        <v>80</v>
      </c>
      <c r="H13" s="764">
        <v>2</v>
      </c>
      <c r="I13" s="751"/>
      <c r="J13" s="761"/>
      <c r="K13" s="762"/>
      <c r="L13" s="745" t="s">
        <v>306</v>
      </c>
      <c r="M13" s="745">
        <v>300</v>
      </c>
      <c r="N13" s="745">
        <v>1250</v>
      </c>
      <c r="O13" s="764">
        <v>108</v>
      </c>
      <c r="P13" s="764">
        <v>1</v>
      </c>
      <c r="R13" s="751"/>
      <c r="S13" s="761"/>
      <c r="T13" s="762"/>
      <c r="U13" s="745" t="s">
        <v>307</v>
      </c>
      <c r="V13" s="745">
        <v>254</v>
      </c>
      <c r="W13" s="759">
        <v>1450</v>
      </c>
      <c r="X13" s="759">
        <v>144</v>
      </c>
      <c r="Y13" s="746">
        <v>3</v>
      </c>
      <c r="Z13" s="760"/>
    </row>
    <row r="14" ht="17.25" spans="1:26">
      <c r="A14" s="746"/>
      <c r="B14" s="766"/>
      <c r="C14" s="767"/>
      <c r="D14" s="768" t="s">
        <v>308</v>
      </c>
      <c r="E14" s="768">
        <v>195</v>
      </c>
      <c r="F14" s="768">
        <v>580</v>
      </c>
      <c r="G14" s="770">
        <v>65</v>
      </c>
      <c r="H14" s="770"/>
      <c r="I14" s="751"/>
      <c r="J14" s="761"/>
      <c r="K14" s="762"/>
      <c r="L14" s="745" t="s">
        <v>309</v>
      </c>
      <c r="M14" s="759">
        <v>304</v>
      </c>
      <c r="N14" s="745">
        <v>1260</v>
      </c>
      <c r="O14" s="764">
        <v>118</v>
      </c>
      <c r="P14" s="764">
        <v>6</v>
      </c>
      <c r="R14" s="751"/>
      <c r="S14" s="761"/>
      <c r="T14" s="762"/>
      <c r="U14" s="745" t="s">
        <v>310</v>
      </c>
      <c r="V14" s="745">
        <v>268</v>
      </c>
      <c r="W14" s="745">
        <v>1470</v>
      </c>
      <c r="X14" s="745">
        <v>124</v>
      </c>
      <c r="Y14" s="764"/>
    </row>
    <row r="15" ht="17.25" spans="1:26">
      <c r="A15" s="746"/>
      <c r="B15" s="752">
        <v>2</v>
      </c>
      <c r="C15" s="753" t="s">
        <v>311</v>
      </c>
      <c r="D15" s="754" t="s">
        <v>312</v>
      </c>
      <c r="E15" s="755">
        <v>275</v>
      </c>
      <c r="F15" s="754">
        <v>860</v>
      </c>
      <c r="G15" s="757">
        <v>88</v>
      </c>
      <c r="H15" s="757">
        <v>5</v>
      </c>
      <c r="I15" s="751"/>
      <c r="J15" s="761"/>
      <c r="K15" s="762"/>
      <c r="L15" s="745" t="s">
        <v>313</v>
      </c>
      <c r="M15" s="745">
        <v>272</v>
      </c>
      <c r="N15" s="759">
        <v>1320</v>
      </c>
      <c r="O15" s="763">
        <v>134</v>
      </c>
      <c r="P15" s="764">
        <v>4</v>
      </c>
      <c r="R15" s="751"/>
      <c r="S15" s="761"/>
      <c r="T15" s="762"/>
      <c r="U15" s="759" t="s">
        <v>314</v>
      </c>
      <c r="V15" s="745">
        <v>333</v>
      </c>
      <c r="W15" s="745">
        <v>1250</v>
      </c>
      <c r="X15" s="745">
        <v>98</v>
      </c>
      <c r="Y15" s="746"/>
      <c r="Z15" s="760"/>
    </row>
    <row r="16" spans="1:26">
      <c r="A16" s="746"/>
      <c r="B16" s="761"/>
      <c r="C16" s="762"/>
      <c r="D16" s="745" t="s">
        <v>315</v>
      </c>
      <c r="E16" s="759">
        <v>286</v>
      </c>
      <c r="F16" s="759">
        <v>1280</v>
      </c>
      <c r="G16" s="763">
        <v>158</v>
      </c>
      <c r="H16" s="764">
        <v>1</v>
      </c>
      <c r="I16" s="751"/>
      <c r="J16" s="761"/>
      <c r="K16" s="762"/>
      <c r="L16" s="745" t="s">
        <v>316</v>
      </c>
      <c r="M16" s="745">
        <v>292</v>
      </c>
      <c r="N16" s="745">
        <v>1040</v>
      </c>
      <c r="O16" s="764">
        <v>106</v>
      </c>
      <c r="P16" s="764"/>
      <c r="R16" s="751"/>
      <c r="S16" s="761"/>
      <c r="T16" s="762"/>
      <c r="U16" s="745" t="s">
        <v>317</v>
      </c>
      <c r="V16" s="759">
        <v>325</v>
      </c>
      <c r="W16" s="745">
        <v>1310</v>
      </c>
      <c r="X16" s="745">
        <v>87</v>
      </c>
      <c r="Y16" s="746">
        <v>6</v>
      </c>
      <c r="Z16" s="760"/>
    </row>
    <row r="17" ht="17.25" spans="1:26">
      <c r="A17" s="746"/>
      <c r="B17" s="761"/>
      <c r="C17" s="762"/>
      <c r="D17" s="745" t="s">
        <v>318</v>
      </c>
      <c r="E17" s="745">
        <v>270</v>
      </c>
      <c r="F17" s="745">
        <v>1180</v>
      </c>
      <c r="G17" s="764">
        <v>110</v>
      </c>
      <c r="H17" s="764">
        <v>3</v>
      </c>
      <c r="I17" s="751"/>
      <c r="J17" s="766"/>
      <c r="K17" s="767"/>
      <c r="L17" s="768" t="s">
        <v>319</v>
      </c>
      <c r="M17" s="768">
        <v>282</v>
      </c>
      <c r="N17" s="768">
        <v>1240</v>
      </c>
      <c r="O17" s="770">
        <v>129</v>
      </c>
      <c r="P17" s="770">
        <v>2</v>
      </c>
      <c r="R17" s="751"/>
      <c r="S17" s="766"/>
      <c r="T17" s="767"/>
      <c r="U17" s="768" t="s">
        <v>320</v>
      </c>
      <c r="V17" s="768">
        <v>275</v>
      </c>
      <c r="W17" s="769">
        <v>1460</v>
      </c>
      <c r="X17" s="768">
        <v>137</v>
      </c>
      <c r="Y17" s="770">
        <v>1</v>
      </c>
      <c r="Z17" s="747"/>
    </row>
    <row r="18" ht="17.25" spans="1:26">
      <c r="A18" s="746"/>
      <c r="B18" s="761"/>
      <c r="C18" s="762"/>
      <c r="D18" s="745" t="s">
        <v>321</v>
      </c>
      <c r="E18" s="745">
        <v>272</v>
      </c>
      <c r="F18" s="745">
        <v>900</v>
      </c>
      <c r="G18" s="764">
        <v>85</v>
      </c>
      <c r="H18" s="764"/>
      <c r="I18" s="751"/>
      <c r="J18" s="752">
        <v>3</v>
      </c>
      <c r="K18" s="753" t="s">
        <v>322</v>
      </c>
      <c r="L18" s="754" t="s">
        <v>323</v>
      </c>
      <c r="M18" s="754">
        <v>277</v>
      </c>
      <c r="N18" s="755">
        <v>1390</v>
      </c>
      <c r="O18" s="756">
        <v>133</v>
      </c>
      <c r="P18" s="757">
        <v>5</v>
      </c>
      <c r="R18" s="751"/>
      <c r="S18" s="759">
        <v>10</v>
      </c>
      <c r="U18" s="745">
        <v>16</v>
      </c>
    </row>
    <row r="19" spans="1:26">
      <c r="A19" s="746"/>
      <c r="B19" s="761"/>
      <c r="C19" s="762"/>
      <c r="D19" s="745" t="s">
        <v>324</v>
      </c>
      <c r="E19" s="745">
        <v>240</v>
      </c>
      <c r="F19" s="759">
        <v>1250</v>
      </c>
      <c r="G19" s="763">
        <v>140</v>
      </c>
      <c r="H19" s="764">
        <v>4</v>
      </c>
      <c r="I19" s="751"/>
      <c r="J19" s="761"/>
      <c r="K19" s="762"/>
      <c r="L19" s="745" t="s">
        <v>325</v>
      </c>
      <c r="M19" s="745">
        <v>268</v>
      </c>
      <c r="N19" s="759">
        <v>1360</v>
      </c>
      <c r="O19" s="764">
        <v>129</v>
      </c>
      <c r="P19" s="764">
        <v>4</v>
      </c>
      <c r="R19" s="751"/>
    </row>
    <row r="20" ht="17.25" spans="1:26">
      <c r="A20" s="746"/>
      <c r="B20" s="766"/>
      <c r="C20" s="767"/>
      <c r="D20" s="768" t="s">
        <v>326</v>
      </c>
      <c r="E20" s="769">
        <v>306</v>
      </c>
      <c r="F20" s="768">
        <v>940</v>
      </c>
      <c r="G20" s="770">
        <v>94</v>
      </c>
      <c r="H20" s="770">
        <v>2</v>
      </c>
      <c r="I20" s="751"/>
      <c r="J20" s="761"/>
      <c r="K20" s="762"/>
      <c r="L20" s="745" t="s">
        <v>327</v>
      </c>
      <c r="M20" s="759">
        <v>294</v>
      </c>
      <c r="N20" s="745">
        <v>1190</v>
      </c>
      <c r="O20" s="764">
        <v>123</v>
      </c>
      <c r="P20" s="764">
        <v>6</v>
      </c>
      <c r="R20" s="751"/>
    </row>
    <row r="21" ht="17.25" spans="1:26">
      <c r="A21" s="746"/>
      <c r="B21" s="752">
        <v>2</v>
      </c>
      <c r="C21" s="753" t="s">
        <v>328</v>
      </c>
      <c r="D21" s="754" t="s">
        <v>329</v>
      </c>
      <c r="E21" s="754">
        <v>200</v>
      </c>
      <c r="F21" s="755">
        <v>1000</v>
      </c>
      <c r="G21" s="756">
        <v>125</v>
      </c>
      <c r="H21" s="757">
        <v>1</v>
      </c>
      <c r="I21" s="751"/>
      <c r="J21" s="761"/>
      <c r="K21" s="762"/>
      <c r="L21" s="745" t="s">
        <v>330</v>
      </c>
      <c r="M21" s="745">
        <v>284</v>
      </c>
      <c r="N21" s="745">
        <v>1340</v>
      </c>
      <c r="O21" s="764">
        <v>131</v>
      </c>
      <c r="P21" s="764"/>
      <c r="R21" s="751"/>
    </row>
    <row r="22" spans="1:26">
      <c r="A22" s="746"/>
      <c r="B22" s="761"/>
      <c r="C22" s="762"/>
      <c r="D22" s="745" t="s">
        <v>331</v>
      </c>
      <c r="E22" s="759">
        <v>230</v>
      </c>
      <c r="F22" s="745">
        <v>840</v>
      </c>
      <c r="G22" s="764">
        <v>95</v>
      </c>
      <c r="H22" s="764">
        <v>5</v>
      </c>
      <c r="I22" s="751"/>
      <c r="J22" s="761"/>
      <c r="K22" s="762"/>
      <c r="L22" s="745" t="s">
        <v>332</v>
      </c>
      <c r="M22" s="745">
        <v>293</v>
      </c>
      <c r="N22" s="745">
        <v>1140</v>
      </c>
      <c r="O22" s="764">
        <v>117</v>
      </c>
      <c r="P22" s="764">
        <v>1</v>
      </c>
      <c r="R22" s="751"/>
    </row>
    <row r="23" spans="1:26">
      <c r="A23" s="746"/>
      <c r="B23" s="761"/>
      <c r="C23" s="762"/>
      <c r="D23" s="745" t="s">
        <v>333</v>
      </c>
      <c r="E23" s="759">
        <v>230</v>
      </c>
      <c r="F23" s="745">
        <v>900</v>
      </c>
      <c r="G23" s="764">
        <v>110</v>
      </c>
      <c r="H23" s="764">
        <v>3</v>
      </c>
      <c r="I23" s="751"/>
      <c r="J23" s="761"/>
      <c r="K23" s="762"/>
      <c r="L23" s="745" t="s">
        <v>334</v>
      </c>
      <c r="M23" s="759">
        <v>306</v>
      </c>
      <c r="N23" s="745">
        <v>1160</v>
      </c>
      <c r="O23" s="764">
        <v>122</v>
      </c>
      <c r="P23" s="764">
        <v>3</v>
      </c>
      <c r="R23" s="751"/>
    </row>
    <row r="24" spans="1:26">
      <c r="A24" s="746"/>
      <c r="B24" s="761"/>
      <c r="C24" s="762"/>
      <c r="D24" s="745" t="s">
        <v>335</v>
      </c>
      <c r="E24" s="745">
        <v>220</v>
      </c>
      <c r="F24" s="759">
        <v>950</v>
      </c>
      <c r="G24" s="764">
        <v>100</v>
      </c>
      <c r="H24" s="764"/>
      <c r="I24" s="751"/>
      <c r="J24" s="761"/>
      <c r="K24" s="762"/>
      <c r="L24" s="745" t="s">
        <v>336</v>
      </c>
      <c r="M24" s="745">
        <v>262</v>
      </c>
      <c r="N24" s="745">
        <v>1250</v>
      </c>
      <c r="O24" s="763">
        <v>132</v>
      </c>
      <c r="P24" s="764">
        <v>2</v>
      </c>
      <c r="R24" s="751"/>
    </row>
    <row r="25" ht="17.25" spans="1:26">
      <c r="A25" s="746"/>
      <c r="B25" s="761"/>
      <c r="C25" s="762"/>
      <c r="D25" s="745" t="s">
        <v>337</v>
      </c>
      <c r="E25" s="759">
        <v>230</v>
      </c>
      <c r="F25" s="745">
        <v>900</v>
      </c>
      <c r="G25" s="763">
        <v>120</v>
      </c>
      <c r="H25" s="764">
        <v>4</v>
      </c>
      <c r="I25" s="751"/>
      <c r="J25" s="766"/>
      <c r="K25" s="767"/>
      <c r="L25" s="768" t="s">
        <v>338</v>
      </c>
      <c r="M25" s="768">
        <v>290</v>
      </c>
      <c r="N25" s="768">
        <v>1080</v>
      </c>
      <c r="O25" s="770">
        <v>104</v>
      </c>
      <c r="P25" s="770"/>
      <c r="R25" s="751"/>
    </row>
    <row r="26" ht="18" spans="1:26">
      <c r="A26" s="746"/>
      <c r="B26" s="766"/>
      <c r="C26" s="767"/>
      <c r="D26" s="768" t="s">
        <v>339</v>
      </c>
      <c r="E26" s="769">
        <v>240</v>
      </c>
      <c r="F26" s="768">
        <v>850</v>
      </c>
      <c r="G26" s="770">
        <v>90</v>
      </c>
      <c r="H26" s="770">
        <v>2</v>
      </c>
      <c r="I26" s="751"/>
      <c r="J26" s="752">
        <v>3</v>
      </c>
      <c r="K26" s="753" t="s">
        <v>340</v>
      </c>
      <c r="L26" s="754" t="s">
        <v>341</v>
      </c>
      <c r="M26" s="754">
        <v>285</v>
      </c>
      <c r="N26" s="755">
        <v>1390</v>
      </c>
      <c r="O26" s="757">
        <v>125</v>
      </c>
      <c r="P26" s="757">
        <v>5</v>
      </c>
      <c r="R26" s="751"/>
    </row>
    <row r="27" ht="17.25" spans="1:26">
      <c r="A27" s="746"/>
      <c r="B27" s="752">
        <v>2</v>
      </c>
      <c r="C27" s="753" t="s">
        <v>342</v>
      </c>
      <c r="D27" s="754" t="s">
        <v>343</v>
      </c>
      <c r="E27" s="754">
        <v>210</v>
      </c>
      <c r="F27" s="755">
        <v>1100</v>
      </c>
      <c r="G27" s="756">
        <v>140</v>
      </c>
      <c r="H27" s="757">
        <v>1</v>
      </c>
      <c r="I27" s="751"/>
      <c r="J27" s="761"/>
      <c r="K27" s="762"/>
      <c r="L27" s="745" t="s">
        <v>344</v>
      </c>
      <c r="M27" s="745">
        <v>266</v>
      </c>
      <c r="N27" s="759">
        <v>1370</v>
      </c>
      <c r="O27" s="763">
        <v>136</v>
      </c>
      <c r="P27" s="764">
        <v>4</v>
      </c>
      <c r="R27" s="751"/>
    </row>
    <row r="28" spans="1:26">
      <c r="A28" s="746"/>
      <c r="B28" s="761"/>
      <c r="C28" s="762"/>
      <c r="D28" s="745" t="s">
        <v>345</v>
      </c>
      <c r="E28" s="745">
        <v>240</v>
      </c>
      <c r="F28" s="745">
        <v>910</v>
      </c>
      <c r="G28" s="764">
        <v>120</v>
      </c>
      <c r="H28" s="764">
        <v>3</v>
      </c>
      <c r="I28" s="751"/>
      <c r="J28" s="761"/>
      <c r="K28" s="762"/>
      <c r="L28" s="745" t="s">
        <v>346</v>
      </c>
      <c r="M28" s="759">
        <v>307</v>
      </c>
      <c r="N28" s="745">
        <v>1170</v>
      </c>
      <c r="O28" s="764">
        <v>113</v>
      </c>
      <c r="P28" s="764">
        <v>3</v>
      </c>
      <c r="R28" s="751"/>
    </row>
    <row r="29" spans="1:26">
      <c r="A29" s="746"/>
      <c r="B29" s="761"/>
      <c r="C29" s="762"/>
      <c r="D29" s="745" t="s">
        <v>347</v>
      </c>
      <c r="E29" s="745">
        <v>247</v>
      </c>
      <c r="F29" s="759">
        <v>957</v>
      </c>
      <c r="G29" s="764">
        <v>110</v>
      </c>
      <c r="H29" s="764">
        <v>5</v>
      </c>
      <c r="I29" s="751"/>
      <c r="J29" s="761"/>
      <c r="K29" s="762"/>
      <c r="L29" s="745" t="s">
        <v>348</v>
      </c>
      <c r="M29" s="745">
        <v>264</v>
      </c>
      <c r="N29" s="745">
        <v>1360</v>
      </c>
      <c r="O29" s="763">
        <v>133</v>
      </c>
      <c r="P29" s="764">
        <v>2</v>
      </c>
      <c r="R29" s="751"/>
    </row>
    <row r="30" spans="1:26">
      <c r="A30" s="746"/>
      <c r="B30" s="761"/>
      <c r="C30" s="762"/>
      <c r="D30" s="745" t="s">
        <v>349</v>
      </c>
      <c r="E30" s="759">
        <v>300</v>
      </c>
      <c r="F30" s="745">
        <v>900</v>
      </c>
      <c r="G30" s="764">
        <v>95</v>
      </c>
      <c r="H30" s="764">
        <v>2</v>
      </c>
      <c r="I30" s="751"/>
      <c r="J30" s="761"/>
      <c r="K30" s="762"/>
      <c r="L30" s="745" t="s">
        <v>350</v>
      </c>
      <c r="M30" s="745">
        <v>276</v>
      </c>
      <c r="N30" s="745">
        <v>1340</v>
      </c>
      <c r="O30" s="764">
        <v>126</v>
      </c>
      <c r="P30" s="764"/>
      <c r="R30" s="751"/>
    </row>
    <row r="31" spans="1:26">
      <c r="A31" s="746"/>
      <c r="B31" s="761"/>
      <c r="C31" s="762"/>
      <c r="D31" s="745" t="s">
        <v>351</v>
      </c>
      <c r="E31" s="745">
        <v>220</v>
      </c>
      <c r="F31" s="745">
        <v>880</v>
      </c>
      <c r="G31" s="764">
        <v>100</v>
      </c>
      <c r="H31" s="764"/>
      <c r="I31" s="751"/>
      <c r="J31" s="761"/>
      <c r="K31" s="762"/>
      <c r="L31" s="745" t="s">
        <v>352</v>
      </c>
      <c r="M31" s="745">
        <v>278</v>
      </c>
      <c r="N31" s="745">
        <v>1340</v>
      </c>
      <c r="O31" s="764">
        <v>124</v>
      </c>
      <c r="P31" s="764">
        <v>1</v>
      </c>
      <c r="R31" s="751"/>
    </row>
    <row r="32" ht="17.25" spans="1:26">
      <c r="A32" s="746"/>
      <c r="B32" s="766"/>
      <c r="C32" s="767"/>
      <c r="D32" s="768" t="s">
        <v>353</v>
      </c>
      <c r="E32" s="769">
        <v>260</v>
      </c>
      <c r="F32" s="768">
        <v>910</v>
      </c>
      <c r="G32" s="774">
        <v>130</v>
      </c>
      <c r="H32" s="770">
        <v>4</v>
      </c>
      <c r="I32" s="751"/>
      <c r="J32" s="761"/>
      <c r="K32" s="762"/>
      <c r="L32" s="745" t="s">
        <v>354</v>
      </c>
      <c r="M32" s="759">
        <v>288</v>
      </c>
      <c r="N32" s="745">
        <v>1060</v>
      </c>
      <c r="O32" s="764">
        <v>105</v>
      </c>
      <c r="P32" s="764">
        <v>6</v>
      </c>
      <c r="R32" s="751"/>
    </row>
    <row r="33" ht="18" spans="1:18">
      <c r="A33" s="746"/>
      <c r="B33" s="752">
        <v>2</v>
      </c>
      <c r="C33" s="753" t="s">
        <v>355</v>
      </c>
      <c r="D33" s="754" t="s">
        <v>356</v>
      </c>
      <c r="E33" s="754">
        <v>270</v>
      </c>
      <c r="F33" s="755">
        <v>1250</v>
      </c>
      <c r="G33" s="756">
        <v>150</v>
      </c>
      <c r="H33" s="757">
        <v>1</v>
      </c>
      <c r="I33" s="751"/>
      <c r="J33" s="766"/>
      <c r="K33" s="767"/>
      <c r="L33" s="768" t="s">
        <v>357</v>
      </c>
      <c r="M33" s="768">
        <v>261</v>
      </c>
      <c r="N33" s="768">
        <v>1260</v>
      </c>
      <c r="O33" s="770">
        <v>131</v>
      </c>
      <c r="P33" s="770"/>
      <c r="R33" s="751"/>
    </row>
    <row r="34" ht="17.25" spans="1:18">
      <c r="A34" s="746"/>
      <c r="B34" s="761"/>
      <c r="C34" s="762"/>
      <c r="D34" s="745" t="s">
        <v>358</v>
      </c>
      <c r="E34" s="745">
        <v>269</v>
      </c>
      <c r="F34" s="745">
        <v>836</v>
      </c>
      <c r="G34" s="764">
        <v>93</v>
      </c>
      <c r="H34" s="764">
        <v>5</v>
      </c>
      <c r="I34" s="751"/>
      <c r="J34" s="752">
        <v>3</v>
      </c>
      <c r="K34" s="753" t="s">
        <v>359</v>
      </c>
      <c r="L34" s="754" t="s">
        <v>360</v>
      </c>
      <c r="M34" s="755">
        <v>308</v>
      </c>
      <c r="N34" s="754">
        <v>1220</v>
      </c>
      <c r="O34" s="757">
        <v>120</v>
      </c>
      <c r="P34" s="757">
        <v>3</v>
      </c>
      <c r="R34" s="751"/>
    </row>
    <row r="35" spans="1:18">
      <c r="A35" s="746"/>
      <c r="B35" s="761"/>
      <c r="C35" s="762"/>
      <c r="D35" s="745" t="s">
        <v>361</v>
      </c>
      <c r="E35" s="745">
        <v>260</v>
      </c>
      <c r="F35" s="745">
        <v>858</v>
      </c>
      <c r="G35" s="763">
        <v>100</v>
      </c>
      <c r="H35" s="764">
        <v>3</v>
      </c>
      <c r="I35" s="751"/>
      <c r="J35" s="761"/>
      <c r="K35" s="762"/>
      <c r="L35" s="745" t="s">
        <v>362</v>
      </c>
      <c r="M35" s="745">
        <v>295</v>
      </c>
      <c r="N35" s="745">
        <v>1296</v>
      </c>
      <c r="O35" s="764">
        <v>131</v>
      </c>
      <c r="P35" s="764">
        <v>1</v>
      </c>
      <c r="R35" s="751"/>
    </row>
    <row r="36" spans="1:18">
      <c r="A36" s="746"/>
      <c r="B36" s="761"/>
      <c r="C36" s="762"/>
      <c r="D36" s="745" t="s">
        <v>363</v>
      </c>
      <c r="E36" s="759">
        <v>300</v>
      </c>
      <c r="F36" s="759">
        <v>1000</v>
      </c>
      <c r="G36" s="763">
        <v>100</v>
      </c>
      <c r="H36" s="764">
        <v>4</v>
      </c>
      <c r="I36" s="751"/>
      <c r="J36" s="761"/>
      <c r="K36" s="762"/>
      <c r="L36" s="745" t="s">
        <v>364</v>
      </c>
      <c r="M36" s="745">
        <v>274</v>
      </c>
      <c r="N36" s="745">
        <v>1300</v>
      </c>
      <c r="O36" s="764">
        <v>137</v>
      </c>
      <c r="P36" s="764"/>
      <c r="R36" s="751"/>
    </row>
    <row r="37" spans="1:18">
      <c r="A37" s="746"/>
      <c r="B37" s="761"/>
      <c r="C37" s="762"/>
      <c r="D37" s="745" t="s">
        <v>365</v>
      </c>
      <c r="E37" s="759">
        <v>320</v>
      </c>
      <c r="F37" s="745">
        <v>890</v>
      </c>
      <c r="G37" s="764">
        <v>90</v>
      </c>
      <c r="H37" s="764">
        <v>2</v>
      </c>
      <c r="I37" s="751"/>
      <c r="J37" s="761"/>
      <c r="K37" s="762"/>
      <c r="L37" s="745" t="s">
        <v>366</v>
      </c>
      <c r="M37" s="745">
        <v>284</v>
      </c>
      <c r="N37" s="759">
        <v>1390</v>
      </c>
      <c r="O37" s="764">
        <v>127</v>
      </c>
      <c r="P37" s="764">
        <v>5</v>
      </c>
      <c r="R37" s="751"/>
    </row>
    <row r="38" spans="1:18">
      <c r="A38" s="746"/>
      <c r="B38" s="761"/>
      <c r="C38" s="762"/>
      <c r="D38" s="745" t="s">
        <v>367</v>
      </c>
      <c r="E38" s="745">
        <v>253</v>
      </c>
      <c r="F38" s="745">
        <v>748</v>
      </c>
      <c r="G38" s="764">
        <v>60</v>
      </c>
      <c r="H38" s="764"/>
      <c r="I38" s="751"/>
      <c r="J38" s="761"/>
      <c r="K38" s="762"/>
      <c r="L38" s="745" t="s">
        <v>368</v>
      </c>
      <c r="M38" s="745">
        <v>266</v>
      </c>
      <c r="N38" s="745">
        <v>1350</v>
      </c>
      <c r="O38" s="763">
        <v>140</v>
      </c>
      <c r="P38" s="764">
        <v>2</v>
      </c>
      <c r="R38" s="751"/>
    </row>
    <row r="39" ht="17.25" spans="1:18">
      <c r="A39" s="746"/>
      <c r="B39" s="766"/>
      <c r="C39" s="767"/>
      <c r="D39" s="768" t="s">
        <v>369</v>
      </c>
      <c r="E39" s="768">
        <v>245</v>
      </c>
      <c r="F39" s="768">
        <v>690</v>
      </c>
      <c r="G39" s="770">
        <v>45</v>
      </c>
      <c r="H39" s="770"/>
      <c r="I39" s="751"/>
      <c r="J39" s="761"/>
      <c r="K39" s="762"/>
      <c r="L39" s="745" t="s">
        <v>370</v>
      </c>
      <c r="M39" s="745">
        <v>267</v>
      </c>
      <c r="N39" s="759">
        <v>1380</v>
      </c>
      <c r="O39" s="763">
        <v>142</v>
      </c>
      <c r="P39" s="764">
        <v>4</v>
      </c>
      <c r="R39" s="751"/>
    </row>
    <row r="40" ht="18" spans="1:18">
      <c r="A40" s="746"/>
      <c r="B40" s="752">
        <v>2</v>
      </c>
      <c r="C40" s="753" t="s">
        <v>371</v>
      </c>
      <c r="D40" s="754" t="s">
        <v>372</v>
      </c>
      <c r="E40" s="754">
        <v>240</v>
      </c>
      <c r="F40" s="754">
        <v>840</v>
      </c>
      <c r="G40" s="757">
        <v>90</v>
      </c>
      <c r="H40" s="757">
        <v>3</v>
      </c>
      <c r="I40" s="751"/>
      <c r="J40" s="766"/>
      <c r="K40" s="767"/>
      <c r="L40" s="768" t="s">
        <v>373</v>
      </c>
      <c r="M40" s="769">
        <v>305</v>
      </c>
      <c r="N40" s="768">
        <v>1230</v>
      </c>
      <c r="O40" s="770">
        <v>128</v>
      </c>
      <c r="P40" s="770">
        <v>6</v>
      </c>
      <c r="R40" s="751"/>
    </row>
    <row r="41" ht="17.25" spans="1:18">
      <c r="A41" s="746"/>
      <c r="B41" s="761"/>
      <c r="C41" s="762"/>
      <c r="D41" s="745" t="s">
        <v>374</v>
      </c>
      <c r="E41" s="759">
        <v>250</v>
      </c>
      <c r="F41" s="759">
        <v>950</v>
      </c>
      <c r="G41" s="764">
        <v>90</v>
      </c>
      <c r="H41" s="764">
        <v>2</v>
      </c>
      <c r="I41" s="751"/>
      <c r="J41" s="752">
        <v>3</v>
      </c>
      <c r="K41" s="753" t="s">
        <v>375</v>
      </c>
      <c r="L41" s="754" t="s">
        <v>376</v>
      </c>
      <c r="M41" s="754">
        <v>280</v>
      </c>
      <c r="N41" s="755">
        <v>1370</v>
      </c>
      <c r="O41" s="756">
        <v>130</v>
      </c>
      <c r="P41" s="757">
        <v>5</v>
      </c>
      <c r="R41" s="751"/>
    </row>
    <row r="42" spans="1:18">
      <c r="A42" s="746"/>
      <c r="B42" s="761"/>
      <c r="C42" s="762"/>
      <c r="D42" s="745" t="s">
        <v>377</v>
      </c>
      <c r="E42" s="745">
        <v>235</v>
      </c>
      <c r="F42" s="745">
        <v>910</v>
      </c>
      <c r="G42" s="763">
        <v>120</v>
      </c>
      <c r="H42" s="764">
        <v>4</v>
      </c>
      <c r="I42" s="751"/>
      <c r="J42" s="761"/>
      <c r="K42" s="762"/>
      <c r="L42" s="745" t="s">
        <v>378</v>
      </c>
      <c r="M42" s="759">
        <v>310</v>
      </c>
      <c r="N42" s="745">
        <v>1210</v>
      </c>
      <c r="O42" s="764">
        <v>122</v>
      </c>
      <c r="P42" s="764">
        <v>3</v>
      </c>
      <c r="R42" s="751"/>
    </row>
    <row r="43" spans="1:18">
      <c r="A43" s="746"/>
      <c r="B43" s="761"/>
      <c r="C43" s="762"/>
      <c r="D43" s="745" t="s">
        <v>379</v>
      </c>
      <c r="E43" s="745">
        <v>240</v>
      </c>
      <c r="F43" s="745">
        <v>680</v>
      </c>
      <c r="G43" s="764">
        <v>50</v>
      </c>
      <c r="H43" s="764"/>
      <c r="I43" s="751"/>
      <c r="J43" s="761"/>
      <c r="K43" s="762"/>
      <c r="L43" s="745" t="s">
        <v>380</v>
      </c>
      <c r="M43" s="759">
        <v>309</v>
      </c>
      <c r="N43" s="745">
        <v>1240</v>
      </c>
      <c r="O43" s="764">
        <v>103</v>
      </c>
      <c r="P43" s="764">
        <v>6</v>
      </c>
      <c r="R43" s="751"/>
    </row>
    <row r="44" spans="1:18">
      <c r="A44" s="746"/>
      <c r="B44" s="761"/>
      <c r="C44" s="762"/>
      <c r="D44" s="745" t="s">
        <v>381</v>
      </c>
      <c r="E44" s="759">
        <v>250</v>
      </c>
      <c r="F44" s="745">
        <v>760</v>
      </c>
      <c r="G44" s="764">
        <v>60</v>
      </c>
      <c r="H44" s="764">
        <v>5</v>
      </c>
      <c r="I44" s="751"/>
      <c r="J44" s="761"/>
      <c r="K44" s="762"/>
      <c r="L44" s="745" t="s">
        <v>382</v>
      </c>
      <c r="M44" s="745">
        <v>269</v>
      </c>
      <c r="N44" s="745">
        <v>1320</v>
      </c>
      <c r="O44" s="764">
        <v>119</v>
      </c>
      <c r="P44" s="764"/>
      <c r="R44" s="751"/>
    </row>
    <row r="45" spans="1:18">
      <c r="A45" s="746"/>
      <c r="B45" s="761"/>
      <c r="C45" s="762"/>
      <c r="D45" s="745" t="s">
        <v>383</v>
      </c>
      <c r="E45" s="745">
        <v>200</v>
      </c>
      <c r="F45" s="745">
        <v>550</v>
      </c>
      <c r="G45" s="764">
        <v>55</v>
      </c>
      <c r="H45" s="764"/>
      <c r="I45" s="751"/>
      <c r="J45" s="761"/>
      <c r="K45" s="762"/>
      <c r="L45" s="745" t="s">
        <v>384</v>
      </c>
      <c r="M45" s="745">
        <v>280</v>
      </c>
      <c r="N45" s="759">
        <v>1350</v>
      </c>
      <c r="O45" s="763">
        <v>130</v>
      </c>
      <c r="P45" s="764">
        <v>4</v>
      </c>
      <c r="R45" s="751"/>
    </row>
    <row r="46" spans="1:18">
      <c r="A46" s="746"/>
      <c r="B46" s="761"/>
      <c r="C46" s="762"/>
      <c r="D46" s="745" t="s">
        <v>385</v>
      </c>
      <c r="E46" s="745">
        <v>230</v>
      </c>
      <c r="F46" s="759">
        <v>1000</v>
      </c>
      <c r="G46" s="763">
        <v>125</v>
      </c>
      <c r="H46" s="764">
        <v>1</v>
      </c>
      <c r="I46" s="751"/>
      <c r="J46" s="761"/>
      <c r="K46" s="762"/>
      <c r="L46" s="745" t="s">
        <v>386</v>
      </c>
      <c r="M46" s="745">
        <v>300</v>
      </c>
      <c r="N46" s="745">
        <v>1120</v>
      </c>
      <c r="O46" s="764">
        <v>112</v>
      </c>
      <c r="P46" s="764">
        <v>1</v>
      </c>
      <c r="R46" s="751"/>
    </row>
    <row r="47" ht="17.25" spans="1:18">
      <c r="A47" s="746"/>
      <c r="B47" s="766"/>
      <c r="C47" s="767"/>
      <c r="D47" s="768" t="s">
        <v>387</v>
      </c>
      <c r="E47" s="768">
        <v>240</v>
      </c>
      <c r="F47" s="768">
        <v>750</v>
      </c>
      <c r="G47" s="770">
        <v>55</v>
      </c>
      <c r="H47" s="770"/>
      <c r="I47" s="751"/>
      <c r="J47" s="761"/>
      <c r="K47" s="762"/>
      <c r="L47" s="745" t="s">
        <v>388</v>
      </c>
      <c r="M47" s="745">
        <v>268</v>
      </c>
      <c r="N47" s="745">
        <v>1310</v>
      </c>
      <c r="O47" s="764">
        <v>123</v>
      </c>
      <c r="P47" s="764"/>
      <c r="R47" s="751"/>
    </row>
    <row r="48" ht="18" spans="1:18">
      <c r="A48" s="746"/>
      <c r="B48" s="752">
        <v>2</v>
      </c>
      <c r="C48" s="753" t="s">
        <v>389</v>
      </c>
      <c r="D48" s="754" t="s">
        <v>390</v>
      </c>
      <c r="E48" s="754">
        <v>234</v>
      </c>
      <c r="F48" s="754">
        <v>1150</v>
      </c>
      <c r="G48" s="757">
        <v>90</v>
      </c>
      <c r="H48" s="757"/>
      <c r="I48" s="751"/>
      <c r="J48" s="766"/>
      <c r="K48" s="767"/>
      <c r="L48" s="768" t="s">
        <v>391</v>
      </c>
      <c r="M48" s="768">
        <v>286</v>
      </c>
      <c r="N48" s="768">
        <v>1280</v>
      </c>
      <c r="O48" s="770">
        <v>128</v>
      </c>
      <c r="P48" s="770">
        <v>2</v>
      </c>
      <c r="R48" s="751"/>
    </row>
    <row r="49" ht="17.25" spans="1:18">
      <c r="A49" s="746"/>
      <c r="B49" s="761"/>
      <c r="C49" s="762"/>
      <c r="D49" s="745" t="s">
        <v>392</v>
      </c>
      <c r="E49" s="759">
        <v>300</v>
      </c>
      <c r="F49" s="745">
        <v>910</v>
      </c>
      <c r="G49" s="764">
        <v>90</v>
      </c>
      <c r="H49" s="764">
        <v>5</v>
      </c>
      <c r="I49" s="751"/>
      <c r="J49" s="752">
        <v>4</v>
      </c>
      <c r="K49" s="753" t="s">
        <v>393</v>
      </c>
      <c r="L49" s="754" t="s">
        <v>394</v>
      </c>
      <c r="M49" s="755">
        <v>305</v>
      </c>
      <c r="N49" s="755">
        <v>1410</v>
      </c>
      <c r="O49" s="757">
        <v>110</v>
      </c>
      <c r="P49" s="757">
        <v>3</v>
      </c>
      <c r="R49" s="751"/>
    </row>
    <row r="50" spans="1:18">
      <c r="A50" s="746"/>
      <c r="B50" s="761"/>
      <c r="C50" s="762"/>
      <c r="D50" s="745" t="s">
        <v>395</v>
      </c>
      <c r="E50" s="745">
        <v>232</v>
      </c>
      <c r="F50" s="745">
        <v>1100</v>
      </c>
      <c r="G50" s="764">
        <v>95</v>
      </c>
      <c r="H50" s="764"/>
      <c r="I50" s="751"/>
      <c r="J50" s="761"/>
      <c r="K50" s="762"/>
      <c r="L50" s="745" t="s">
        <v>396</v>
      </c>
      <c r="M50" s="745">
        <v>285</v>
      </c>
      <c r="N50" s="745">
        <v>1310</v>
      </c>
      <c r="O50" s="764">
        <v>122</v>
      </c>
      <c r="P50" s="764">
        <v>1</v>
      </c>
      <c r="R50" s="751"/>
    </row>
    <row r="51" spans="1:18">
      <c r="A51" s="746"/>
      <c r="B51" s="761"/>
      <c r="C51" s="762"/>
      <c r="D51" s="745" t="s">
        <v>397</v>
      </c>
      <c r="E51" s="745">
        <v>236</v>
      </c>
      <c r="F51" s="745">
        <v>1120</v>
      </c>
      <c r="G51" s="764">
        <v>95</v>
      </c>
      <c r="H51" s="764"/>
      <c r="I51" s="751"/>
      <c r="J51" s="761"/>
      <c r="K51" s="762"/>
      <c r="L51" s="745" t="s">
        <v>398</v>
      </c>
      <c r="M51" s="745">
        <v>283</v>
      </c>
      <c r="N51" s="745">
        <v>1310</v>
      </c>
      <c r="O51" s="763">
        <v>139</v>
      </c>
      <c r="P51" s="764">
        <v>2</v>
      </c>
      <c r="R51" s="751"/>
    </row>
    <row r="52" spans="1:18">
      <c r="A52" s="746"/>
      <c r="B52" s="761"/>
      <c r="C52" s="762"/>
      <c r="D52" s="745" t="s">
        <v>399</v>
      </c>
      <c r="E52" s="745">
        <v>240</v>
      </c>
      <c r="F52" s="759">
        <v>1380</v>
      </c>
      <c r="G52" s="763">
        <v>102</v>
      </c>
      <c r="H52" s="764">
        <v>6</v>
      </c>
      <c r="I52" s="751"/>
      <c r="J52" s="761"/>
      <c r="K52" s="762"/>
      <c r="L52" s="745" t="s">
        <v>400</v>
      </c>
      <c r="M52" s="759">
        <v>302</v>
      </c>
      <c r="N52" s="745">
        <v>1270</v>
      </c>
      <c r="O52" s="764">
        <v>107</v>
      </c>
      <c r="P52" s="764">
        <v>6</v>
      </c>
      <c r="R52" s="751"/>
    </row>
    <row r="53" spans="1:18">
      <c r="A53" s="746"/>
      <c r="B53" s="761"/>
      <c r="C53" s="762"/>
      <c r="D53" s="745" t="s">
        <v>401</v>
      </c>
      <c r="E53" s="759">
        <v>299</v>
      </c>
      <c r="F53" s="745">
        <v>960</v>
      </c>
      <c r="G53" s="764">
        <v>93</v>
      </c>
      <c r="H53" s="764"/>
      <c r="I53" s="751"/>
      <c r="J53" s="761"/>
      <c r="K53" s="762"/>
      <c r="L53" s="745" t="s">
        <v>402</v>
      </c>
      <c r="M53" s="745">
        <v>289</v>
      </c>
      <c r="N53" s="759">
        <v>1350</v>
      </c>
      <c r="O53" s="763">
        <v>138</v>
      </c>
      <c r="P53" s="764">
        <v>4</v>
      </c>
      <c r="R53" s="751"/>
    </row>
    <row r="54" spans="1:18">
      <c r="A54" s="746"/>
      <c r="B54" s="761"/>
      <c r="C54" s="762"/>
      <c r="D54" s="745" t="s">
        <v>403</v>
      </c>
      <c r="E54" s="745">
        <v>276</v>
      </c>
      <c r="F54" s="745">
        <v>890</v>
      </c>
      <c r="G54" s="764">
        <v>86</v>
      </c>
      <c r="H54" s="764"/>
      <c r="I54" s="751"/>
      <c r="J54" s="761"/>
      <c r="K54" s="762"/>
      <c r="L54" s="745" t="s">
        <v>404</v>
      </c>
      <c r="M54" s="745">
        <v>280</v>
      </c>
      <c r="N54" s="745">
        <v>1330</v>
      </c>
      <c r="O54" s="764">
        <v>125</v>
      </c>
      <c r="P54" s="764"/>
      <c r="R54" s="751"/>
    </row>
    <row r="55" spans="1:18">
      <c r="A55" s="746"/>
      <c r="B55" s="761"/>
      <c r="C55" s="762"/>
      <c r="D55" s="745" t="s">
        <v>405</v>
      </c>
      <c r="E55" s="745">
        <v>262</v>
      </c>
      <c r="F55" s="745">
        <v>1160</v>
      </c>
      <c r="G55" s="763">
        <v>122</v>
      </c>
      <c r="H55" s="764">
        <v>4</v>
      </c>
      <c r="I55" s="751"/>
      <c r="J55" s="761"/>
      <c r="K55" s="762"/>
      <c r="L55" s="745" t="s">
        <v>406</v>
      </c>
      <c r="M55" s="745">
        <v>263</v>
      </c>
      <c r="N55" s="745">
        <v>1200</v>
      </c>
      <c r="O55" s="764">
        <v>120</v>
      </c>
      <c r="P55" s="764"/>
      <c r="R55" s="751"/>
    </row>
    <row r="56" ht="17.25" spans="1:18">
      <c r="A56" s="746"/>
      <c r="B56" s="761"/>
      <c r="C56" s="762"/>
      <c r="D56" s="745" t="s">
        <v>407</v>
      </c>
      <c r="E56" s="759">
        <v>300</v>
      </c>
      <c r="F56" s="745">
        <v>870</v>
      </c>
      <c r="G56" s="764">
        <v>88</v>
      </c>
      <c r="H56" s="764">
        <v>2</v>
      </c>
      <c r="I56" s="751"/>
      <c r="J56" s="766"/>
      <c r="K56" s="767"/>
      <c r="L56" s="768" t="s">
        <v>408</v>
      </c>
      <c r="M56" s="768">
        <v>265</v>
      </c>
      <c r="N56" s="769">
        <v>1360</v>
      </c>
      <c r="O56" s="770">
        <v>125</v>
      </c>
      <c r="P56" s="770">
        <v>5</v>
      </c>
      <c r="R56" s="751"/>
    </row>
    <row r="57" ht="17.25" spans="1:18">
      <c r="A57" s="746"/>
      <c r="B57" s="761"/>
      <c r="C57" s="762"/>
      <c r="D57" s="745" t="s">
        <v>409</v>
      </c>
      <c r="E57" s="745">
        <v>295</v>
      </c>
      <c r="F57" s="745">
        <v>980</v>
      </c>
      <c r="G57" s="764">
        <v>90</v>
      </c>
      <c r="H57" s="764"/>
      <c r="I57" s="751"/>
      <c r="J57" s="752">
        <v>4</v>
      </c>
      <c r="K57" s="753" t="s">
        <v>410</v>
      </c>
      <c r="L57" s="754" t="s">
        <v>411</v>
      </c>
      <c r="M57" s="755">
        <v>315</v>
      </c>
      <c r="N57" s="755">
        <v>1330</v>
      </c>
      <c r="O57" s="756">
        <v>130</v>
      </c>
      <c r="P57" s="757">
        <v>3</v>
      </c>
      <c r="R57" s="751"/>
    </row>
    <row r="58" spans="1:18">
      <c r="A58" s="746"/>
      <c r="B58" s="761"/>
      <c r="C58" s="762"/>
      <c r="D58" s="745" t="s">
        <v>412</v>
      </c>
      <c r="E58" s="745">
        <v>230</v>
      </c>
      <c r="F58" s="759">
        <v>1200</v>
      </c>
      <c r="G58" s="764">
        <v>97</v>
      </c>
      <c r="H58" s="764">
        <v>3</v>
      </c>
      <c r="I58" s="751"/>
      <c r="J58" s="761"/>
      <c r="K58" s="762"/>
      <c r="L58" s="745" t="s">
        <v>413</v>
      </c>
      <c r="M58" s="745">
        <v>298</v>
      </c>
      <c r="N58" s="759">
        <v>1300</v>
      </c>
      <c r="O58" s="764">
        <v>123</v>
      </c>
      <c r="P58" s="764">
        <v>5</v>
      </c>
      <c r="R58" s="751"/>
    </row>
    <row r="59" ht="17.25" spans="1:18">
      <c r="A59" s="746"/>
      <c r="B59" s="766"/>
      <c r="C59" s="767"/>
      <c r="D59" s="768" t="s">
        <v>414</v>
      </c>
      <c r="E59" s="768">
        <v>285</v>
      </c>
      <c r="F59" s="769">
        <v>1450</v>
      </c>
      <c r="G59" s="774">
        <v>170</v>
      </c>
      <c r="H59" s="770">
        <v>1</v>
      </c>
      <c r="I59" s="751"/>
      <c r="J59" s="761"/>
      <c r="K59" s="762"/>
      <c r="L59" s="745" t="s">
        <v>415</v>
      </c>
      <c r="M59" s="759">
        <v>307</v>
      </c>
      <c r="N59" s="745">
        <v>1200</v>
      </c>
      <c r="O59" s="764">
        <v>115</v>
      </c>
      <c r="P59" s="764">
        <v>6</v>
      </c>
      <c r="R59" s="751"/>
    </row>
    <row r="60" ht="17.25" spans="1:18">
      <c r="B60" s="775">
        <f>SUM(B2:B59)</f>
        <v>14</v>
      </c>
      <c r="C60" s="776"/>
      <c r="D60" s="777">
        <v>58</v>
      </c>
      <c r="E60" s="777"/>
      <c r="F60" s="778"/>
      <c r="G60" s="777"/>
      <c r="H60" s="777"/>
      <c r="I60" s="779"/>
      <c r="J60" s="761"/>
      <c r="K60" s="762"/>
      <c r="L60" s="745" t="s">
        <v>416</v>
      </c>
      <c r="M60" s="745">
        <v>301</v>
      </c>
      <c r="N60" s="745">
        <v>1230</v>
      </c>
      <c r="O60" s="764">
        <v>109</v>
      </c>
      <c r="P60" s="764"/>
      <c r="R60" s="751"/>
    </row>
    <row r="61" customHeight="1" spans="1:18">
      <c r="B61" s="780" t="s">
        <v>417</v>
      </c>
      <c r="C61" s="781"/>
      <c r="D61" s="781"/>
      <c r="E61" s="781"/>
      <c r="F61" s="781"/>
      <c r="G61" s="781"/>
      <c r="H61" s="782"/>
      <c r="I61" s="783"/>
      <c r="J61" s="761"/>
      <c r="K61" s="762"/>
      <c r="L61" s="745" t="s">
        <v>418</v>
      </c>
      <c r="M61" s="745">
        <v>304</v>
      </c>
      <c r="N61" s="745">
        <v>1180</v>
      </c>
      <c r="O61" s="764">
        <v>115</v>
      </c>
      <c r="P61" s="764">
        <v>1</v>
      </c>
      <c r="R61" s="772"/>
    </row>
    <row r="62" spans="1:18">
      <c r="B62" s="784"/>
      <c r="C62" s="785"/>
      <c r="D62" s="785"/>
      <c r="E62" s="785"/>
      <c r="F62" s="785"/>
      <c r="G62" s="785"/>
      <c r="H62" s="786"/>
      <c r="I62" s="783"/>
      <c r="J62" s="761"/>
      <c r="K62" s="762"/>
      <c r="L62" s="745" t="s">
        <v>419</v>
      </c>
      <c r="M62" s="745">
        <v>299</v>
      </c>
      <c r="N62" s="759">
        <v>1270</v>
      </c>
      <c r="O62" s="763">
        <v>126</v>
      </c>
      <c r="P62" s="764">
        <v>4</v>
      </c>
      <c r="R62" s="772"/>
    </row>
    <row r="63" ht="17.25" spans="1:18">
      <c r="B63" s="784"/>
      <c r="C63" s="785"/>
      <c r="D63" s="785"/>
      <c r="E63" s="785"/>
      <c r="F63" s="785"/>
      <c r="G63" s="785"/>
      <c r="H63" s="786"/>
      <c r="I63" s="783"/>
      <c r="J63" s="766"/>
      <c r="K63" s="767"/>
      <c r="L63" s="768" t="s">
        <v>420</v>
      </c>
      <c r="M63" s="768">
        <v>301</v>
      </c>
      <c r="N63" s="768">
        <v>1180</v>
      </c>
      <c r="O63" s="770">
        <v>116</v>
      </c>
      <c r="P63" s="770">
        <v>2</v>
      </c>
      <c r="R63" s="772"/>
    </row>
    <row r="64" ht="17.25" spans="1:18">
      <c r="B64" s="784"/>
      <c r="C64" s="785"/>
      <c r="D64" s="785"/>
      <c r="E64" s="785"/>
      <c r="F64" s="785"/>
      <c r="G64" s="785"/>
      <c r="H64" s="786"/>
      <c r="I64" s="783"/>
      <c r="J64" s="752">
        <v>4</v>
      </c>
      <c r="K64" s="753" t="s">
        <v>421</v>
      </c>
      <c r="L64" s="754" t="s">
        <v>422</v>
      </c>
      <c r="M64" s="755">
        <v>308</v>
      </c>
      <c r="N64" s="754">
        <v>1280</v>
      </c>
      <c r="O64" s="757">
        <v>118</v>
      </c>
      <c r="P64" s="757" t="s">
        <v>423</v>
      </c>
      <c r="R64" s="772"/>
    </row>
    <row r="65" spans="2:20">
      <c r="B65" s="784"/>
      <c r="C65" s="785"/>
      <c r="D65" s="785"/>
      <c r="E65" s="785"/>
      <c r="F65" s="785"/>
      <c r="G65" s="785"/>
      <c r="H65" s="786"/>
      <c r="I65" s="772"/>
      <c r="J65" s="761"/>
      <c r="K65" s="762"/>
      <c r="L65" s="745" t="s">
        <v>424</v>
      </c>
      <c r="M65" s="759">
        <v>311</v>
      </c>
      <c r="N65" s="745">
        <v>1210</v>
      </c>
      <c r="O65" s="764">
        <v>116</v>
      </c>
      <c r="P65" s="764" t="s">
        <v>425</v>
      </c>
      <c r="R65" s="772"/>
    </row>
    <row r="66" spans="2:20">
      <c r="B66" s="784"/>
      <c r="C66" s="785"/>
      <c r="D66" s="785"/>
      <c r="E66" s="785"/>
      <c r="F66" s="785"/>
      <c r="G66" s="785"/>
      <c r="H66" s="786"/>
      <c r="I66" s="783"/>
      <c r="J66" s="761"/>
      <c r="K66" s="762"/>
      <c r="L66" s="745" t="s">
        <v>426</v>
      </c>
      <c r="M66" s="745">
        <v>271</v>
      </c>
      <c r="N66" s="759">
        <v>1300</v>
      </c>
      <c r="O66" s="763">
        <v>136</v>
      </c>
      <c r="P66" s="764" t="s">
        <v>427</v>
      </c>
      <c r="R66" s="762"/>
      <c r="S66" s="747"/>
    </row>
    <row r="67" spans="2:20">
      <c r="B67" s="784"/>
      <c r="C67" s="785"/>
      <c r="D67" s="785"/>
      <c r="E67" s="785"/>
      <c r="F67" s="785"/>
      <c r="G67" s="785"/>
      <c r="H67" s="786"/>
      <c r="I67" s="783"/>
      <c r="J67" s="761"/>
      <c r="K67" s="762"/>
      <c r="L67" s="745" t="s">
        <v>428</v>
      </c>
      <c r="M67" s="745">
        <v>279</v>
      </c>
      <c r="N67" s="759">
        <v>1330</v>
      </c>
      <c r="O67" s="764">
        <v>119</v>
      </c>
      <c r="P67" s="764" t="s">
        <v>429</v>
      </c>
      <c r="R67" s="772"/>
    </row>
    <row r="68" spans="2:20">
      <c r="B68" s="784"/>
      <c r="C68" s="785"/>
      <c r="D68" s="785"/>
      <c r="E68" s="785"/>
      <c r="F68" s="785"/>
      <c r="G68" s="785"/>
      <c r="H68" s="786"/>
      <c r="I68" s="783"/>
      <c r="J68" s="761"/>
      <c r="K68" s="762"/>
      <c r="L68" s="745" t="s">
        <v>430</v>
      </c>
      <c r="M68" s="745">
        <v>270</v>
      </c>
      <c r="N68" s="745">
        <v>1220</v>
      </c>
      <c r="O68" s="763">
        <v>128</v>
      </c>
      <c r="P68" s="764" t="s">
        <v>431</v>
      </c>
      <c r="R68" s="772"/>
    </row>
    <row r="69" spans="2:20">
      <c r="B69" s="784"/>
      <c r="C69" s="785"/>
      <c r="D69" s="785"/>
      <c r="E69" s="785"/>
      <c r="F69" s="785"/>
      <c r="G69" s="785"/>
      <c r="H69" s="786"/>
      <c r="I69" s="783"/>
      <c r="J69" s="761"/>
      <c r="K69" s="762"/>
      <c r="L69" s="745" t="s">
        <v>432</v>
      </c>
      <c r="M69" s="745">
        <v>297</v>
      </c>
      <c r="N69" s="745">
        <v>1100</v>
      </c>
      <c r="O69" s="764">
        <v>110</v>
      </c>
      <c r="P69" s="764"/>
      <c r="R69" s="762"/>
      <c r="S69" s="747"/>
      <c r="T69" s="759"/>
    </row>
    <row r="70" spans="2:20">
      <c r="B70" s="784"/>
      <c r="C70" s="785"/>
      <c r="D70" s="785"/>
      <c r="E70" s="785"/>
      <c r="F70" s="785"/>
      <c r="G70" s="785"/>
      <c r="H70" s="786"/>
      <c r="I70" s="783"/>
      <c r="J70" s="761"/>
      <c r="K70" s="762"/>
      <c r="L70" s="745" t="s">
        <v>433</v>
      </c>
      <c r="M70" s="759">
        <v>298</v>
      </c>
      <c r="N70" s="745">
        <v>1150</v>
      </c>
      <c r="O70" s="764">
        <v>111</v>
      </c>
      <c r="P70" s="764" t="s">
        <v>434</v>
      </c>
      <c r="R70" s="772"/>
      <c r="T70" s="759"/>
    </row>
    <row r="71" ht="17.25" spans="2:20">
      <c r="B71" s="784"/>
      <c r="C71" s="785"/>
      <c r="D71" s="785"/>
      <c r="E71" s="785"/>
      <c r="F71" s="785"/>
      <c r="G71" s="785"/>
      <c r="H71" s="786"/>
      <c r="I71" s="783"/>
      <c r="J71" s="766"/>
      <c r="K71" s="767"/>
      <c r="L71" s="768" t="s">
        <v>435</v>
      </c>
      <c r="M71" s="768">
        <v>275</v>
      </c>
      <c r="N71" s="769">
        <v>1290</v>
      </c>
      <c r="O71" s="774">
        <v>127</v>
      </c>
      <c r="P71" s="770"/>
      <c r="R71" s="772"/>
      <c r="T71" s="759"/>
    </row>
    <row r="72" ht="17.25" spans="2:20">
      <c r="B72" s="787"/>
      <c r="C72" s="788"/>
      <c r="D72" s="788"/>
      <c r="E72" s="788"/>
      <c r="F72" s="788"/>
      <c r="G72" s="788"/>
      <c r="H72" s="789"/>
      <c r="I72" s="790"/>
      <c r="J72" s="791">
        <f>SUM(J2:J71)</f>
        <v>28</v>
      </c>
      <c r="K72" s="792"/>
      <c r="L72" s="777">
        <v>70</v>
      </c>
      <c r="M72" s="777"/>
      <c r="N72" s="777"/>
      <c r="O72" s="778"/>
      <c r="P72" s="778"/>
    </row>
    <row r="75" ht="17.25" spans="2:20">
      <c r="I75" s="793"/>
      <c r="J75" s="794"/>
      <c r="K75" s="793"/>
      <c r="L75" s="793"/>
      <c r="M75" s="793"/>
      <c r="N75" s="793"/>
      <c r="O75" s="793"/>
      <c r="P75" s="793"/>
    </row>
    <row r="76" ht="17.25" spans="2:20">
      <c r="I76" s="795" t="s">
        <v>436</v>
      </c>
      <c r="J76" s="796" t="s">
        <v>437</v>
      </c>
      <c r="K76" s="797" t="s">
        <v>438</v>
      </c>
      <c r="L76" s="798" t="s">
        <v>439</v>
      </c>
      <c r="M76" s="798" t="s">
        <v>440</v>
      </c>
      <c r="N76" s="798" t="s">
        <v>441</v>
      </c>
      <c r="O76" s="798" t="s">
        <v>442</v>
      </c>
      <c r="P76" s="798" t="s">
        <v>443</v>
      </c>
      <c r="Q76" s="799" t="s">
        <v>444</v>
      </c>
    </row>
    <row r="77" ht="17.25" spans="2:20">
      <c r="I77" s="800">
        <v>1</v>
      </c>
      <c r="J77" s="801" t="s">
        <v>266</v>
      </c>
      <c r="K77" s="802" t="s">
        <v>275</v>
      </c>
      <c r="L77" s="790" t="s">
        <v>272</v>
      </c>
      <c r="M77" s="790" t="s">
        <v>287</v>
      </c>
      <c r="N77" s="790" t="s">
        <v>281</v>
      </c>
      <c r="O77" s="790" t="s">
        <v>284</v>
      </c>
      <c r="P77" s="790" t="s">
        <v>267</v>
      </c>
      <c r="Q77" s="803" t="s">
        <v>445</v>
      </c>
    </row>
    <row r="78" spans="2:20">
      <c r="I78" s="804">
        <v>1</v>
      </c>
      <c r="J78" s="805" t="s">
        <v>290</v>
      </c>
      <c r="K78" s="747" t="s">
        <v>308</v>
      </c>
      <c r="L78" s="745" t="s">
        <v>291</v>
      </c>
      <c r="M78" s="745" t="s">
        <v>305</v>
      </c>
      <c r="N78" s="745" t="s">
        <v>302</v>
      </c>
      <c r="O78" s="745" t="s">
        <v>299</v>
      </c>
      <c r="P78" s="745" t="s">
        <v>294</v>
      </c>
      <c r="Q78" s="806" t="s">
        <v>445</v>
      </c>
    </row>
    <row r="79" spans="2:20">
      <c r="I79" s="804">
        <v>2</v>
      </c>
      <c r="J79" s="805" t="s">
        <v>311</v>
      </c>
      <c r="K79" s="747" t="s">
        <v>321</v>
      </c>
      <c r="L79" s="745" t="s">
        <v>315</v>
      </c>
      <c r="M79" s="745" t="s">
        <v>326</v>
      </c>
      <c r="N79" s="745" t="s">
        <v>318</v>
      </c>
      <c r="O79" s="745" t="s">
        <v>324</v>
      </c>
      <c r="P79" s="745" t="s">
        <v>312</v>
      </c>
      <c r="Q79" s="806" t="s">
        <v>445</v>
      </c>
    </row>
    <row r="80" spans="2:20">
      <c r="I80" s="804">
        <v>2</v>
      </c>
      <c r="J80" s="805" t="s">
        <v>328</v>
      </c>
      <c r="K80" s="747" t="s">
        <v>335</v>
      </c>
      <c r="L80" s="745" t="s">
        <v>329</v>
      </c>
      <c r="M80" s="745" t="s">
        <v>339</v>
      </c>
      <c r="N80" s="745" t="s">
        <v>333</v>
      </c>
      <c r="O80" s="745" t="s">
        <v>337</v>
      </c>
      <c r="P80" s="745" t="s">
        <v>331</v>
      </c>
      <c r="Q80" s="806" t="s">
        <v>445</v>
      </c>
    </row>
    <row r="81" spans="1:17">
      <c r="I81" s="804">
        <v>2</v>
      </c>
      <c r="J81" s="805" t="s">
        <v>342</v>
      </c>
      <c r="K81" s="747" t="s">
        <v>351</v>
      </c>
      <c r="L81" s="745" t="s">
        <v>343</v>
      </c>
      <c r="M81" s="745" t="s">
        <v>349</v>
      </c>
      <c r="N81" s="745" t="s">
        <v>345</v>
      </c>
      <c r="O81" s="745" t="s">
        <v>353</v>
      </c>
      <c r="P81" s="745" t="s">
        <v>347</v>
      </c>
      <c r="Q81" s="806" t="s">
        <v>445</v>
      </c>
    </row>
    <row r="82" spans="1:17">
      <c r="I82" s="804">
        <v>2</v>
      </c>
      <c r="J82" s="805" t="s">
        <v>355</v>
      </c>
      <c r="K82" s="747" t="s">
        <v>369</v>
      </c>
      <c r="L82" s="745" t="s">
        <v>356</v>
      </c>
      <c r="M82" s="745" t="s">
        <v>365</v>
      </c>
      <c r="N82" s="745" t="s">
        <v>361</v>
      </c>
      <c r="O82" s="745" t="s">
        <v>363</v>
      </c>
      <c r="P82" s="745" t="s">
        <v>358</v>
      </c>
      <c r="Q82" s="806" t="s">
        <v>445</v>
      </c>
    </row>
    <row r="83" spans="1:17">
      <c r="I83" s="804">
        <v>2</v>
      </c>
      <c r="J83" s="805" t="s">
        <v>371</v>
      </c>
      <c r="K83" s="747" t="s">
        <v>387</v>
      </c>
      <c r="L83" s="745" t="s">
        <v>385</v>
      </c>
      <c r="M83" s="745" t="s">
        <v>374</v>
      </c>
      <c r="N83" s="745" t="s">
        <v>372</v>
      </c>
      <c r="O83" s="745" t="s">
        <v>377</v>
      </c>
      <c r="P83" s="745" t="s">
        <v>381</v>
      </c>
      <c r="Q83" s="806" t="s">
        <v>445</v>
      </c>
    </row>
    <row r="84" spans="1:17">
      <c r="I84" s="804">
        <v>2</v>
      </c>
      <c r="J84" s="805" t="s">
        <v>389</v>
      </c>
      <c r="K84" s="747" t="s">
        <v>403</v>
      </c>
      <c r="L84" s="745" t="s">
        <v>414</v>
      </c>
      <c r="M84" s="745" t="s">
        <v>407</v>
      </c>
      <c r="N84" s="745" t="s">
        <v>412</v>
      </c>
      <c r="O84" s="745" t="s">
        <v>405</v>
      </c>
      <c r="P84" s="745" t="s">
        <v>392</v>
      </c>
      <c r="Q84" s="806" t="s">
        <v>399</v>
      </c>
    </row>
    <row r="85" spans="1:17">
      <c r="I85" s="804">
        <v>2</v>
      </c>
      <c r="J85" s="805" t="s">
        <v>268</v>
      </c>
      <c r="K85" s="747" t="s">
        <v>446</v>
      </c>
      <c r="L85" s="745" t="s">
        <v>273</v>
      </c>
      <c r="M85" s="745" t="s">
        <v>282</v>
      </c>
      <c r="N85" s="745" t="s">
        <v>269</v>
      </c>
      <c r="O85" s="745" t="s">
        <v>276</v>
      </c>
      <c r="P85" s="745" t="s">
        <v>279</v>
      </c>
      <c r="Q85" s="806" t="s">
        <v>292</v>
      </c>
    </row>
    <row r="86" spans="1:17">
      <c r="I86" s="804">
        <v>2</v>
      </c>
      <c r="J86" s="805" t="s">
        <v>295</v>
      </c>
      <c r="K86" s="747" t="s">
        <v>447</v>
      </c>
      <c r="L86" s="745" t="s">
        <v>306</v>
      </c>
      <c r="M86" s="745" t="s">
        <v>319</v>
      </c>
      <c r="N86" s="745" t="s">
        <v>303</v>
      </c>
      <c r="O86" s="745" t="s">
        <v>313</v>
      </c>
      <c r="P86" s="745" t="s">
        <v>296</v>
      </c>
      <c r="Q86" s="806" t="s">
        <v>309</v>
      </c>
    </row>
    <row r="87" spans="1:17">
      <c r="I87" s="804">
        <v>3</v>
      </c>
      <c r="J87" s="805" t="s">
        <v>322</v>
      </c>
      <c r="K87" s="747" t="s">
        <v>448</v>
      </c>
      <c r="L87" s="745" t="s">
        <v>332</v>
      </c>
      <c r="M87" s="745" t="s">
        <v>336</v>
      </c>
      <c r="N87" s="745" t="s">
        <v>334</v>
      </c>
      <c r="O87" s="745" t="s">
        <v>325</v>
      </c>
      <c r="P87" s="745" t="s">
        <v>323</v>
      </c>
      <c r="Q87" s="806" t="s">
        <v>327</v>
      </c>
    </row>
    <row r="88" spans="1:17">
      <c r="I88" s="804">
        <v>3</v>
      </c>
      <c r="J88" s="805" t="s">
        <v>340</v>
      </c>
      <c r="K88" s="747" t="s">
        <v>449</v>
      </c>
      <c r="L88" s="745" t="s">
        <v>352</v>
      </c>
      <c r="M88" s="745" t="s">
        <v>348</v>
      </c>
      <c r="N88" s="745" t="s">
        <v>346</v>
      </c>
      <c r="O88" s="745" t="s">
        <v>344</v>
      </c>
      <c r="P88" s="745" t="s">
        <v>341</v>
      </c>
      <c r="Q88" s="806" t="s">
        <v>354</v>
      </c>
    </row>
    <row r="89" spans="1:17">
      <c r="I89" s="804">
        <v>3</v>
      </c>
      <c r="J89" s="805" t="s">
        <v>359</v>
      </c>
      <c r="K89" s="747" t="s">
        <v>450</v>
      </c>
      <c r="L89" s="745" t="s">
        <v>362</v>
      </c>
      <c r="M89" s="745" t="s">
        <v>368</v>
      </c>
      <c r="N89" s="745" t="s">
        <v>360</v>
      </c>
      <c r="O89" s="745" t="s">
        <v>370</v>
      </c>
      <c r="P89" s="745" t="s">
        <v>366</v>
      </c>
      <c r="Q89" s="806" t="s">
        <v>373</v>
      </c>
    </row>
    <row r="90" spans="1:17">
      <c r="A90" s="793"/>
      <c r="B90" s="793"/>
      <c r="C90" s="793"/>
      <c r="D90" s="793"/>
      <c r="E90" s="793"/>
      <c r="F90" s="793"/>
      <c r="G90" s="807"/>
      <c r="H90" s="807"/>
      <c r="I90" s="804">
        <v>3</v>
      </c>
      <c r="J90" s="808" t="s">
        <v>375</v>
      </c>
      <c r="K90" s="747" t="s">
        <v>451</v>
      </c>
      <c r="L90" s="745" t="s">
        <v>386</v>
      </c>
      <c r="M90" s="745" t="s">
        <v>391</v>
      </c>
      <c r="N90" s="745" t="s">
        <v>378</v>
      </c>
      <c r="O90" s="745" t="s">
        <v>384</v>
      </c>
      <c r="P90" s="745" t="s">
        <v>376</v>
      </c>
      <c r="Q90" s="806" t="s">
        <v>380</v>
      </c>
    </row>
    <row r="91" spans="1:17">
      <c r="A91" s="802"/>
      <c r="I91" s="804">
        <v>4</v>
      </c>
      <c r="J91" s="805" t="s">
        <v>393</v>
      </c>
      <c r="K91" s="747" t="s">
        <v>452</v>
      </c>
      <c r="L91" s="745" t="s">
        <v>396</v>
      </c>
      <c r="M91" s="745" t="s">
        <v>398</v>
      </c>
      <c r="N91" s="745" t="s">
        <v>394</v>
      </c>
      <c r="O91" s="745" t="s">
        <v>402</v>
      </c>
      <c r="P91" s="745" t="s">
        <v>408</v>
      </c>
      <c r="Q91" s="806" t="s">
        <v>400</v>
      </c>
    </row>
    <row r="92" spans="1:17">
      <c r="A92" s="747"/>
      <c r="I92" s="804">
        <v>4</v>
      </c>
      <c r="J92" s="805" t="s">
        <v>410</v>
      </c>
      <c r="K92" s="747" t="s">
        <v>453</v>
      </c>
      <c r="L92" s="745" t="s">
        <v>418</v>
      </c>
      <c r="M92" s="745" t="s">
        <v>420</v>
      </c>
      <c r="N92" s="745" t="s">
        <v>411</v>
      </c>
      <c r="O92" s="745" t="s">
        <v>419</v>
      </c>
      <c r="P92" s="745" t="s">
        <v>413</v>
      </c>
      <c r="Q92" s="806" t="s">
        <v>415</v>
      </c>
    </row>
    <row r="93" spans="1:17">
      <c r="A93" s="794"/>
      <c r="I93" s="804">
        <v>4</v>
      </c>
      <c r="J93" s="805" t="s">
        <v>421</v>
      </c>
      <c r="K93" s="747" t="s">
        <v>454</v>
      </c>
      <c r="L93" s="745" t="s">
        <v>433</v>
      </c>
      <c r="M93" s="745" t="s">
        <v>430</v>
      </c>
      <c r="N93" s="745" t="s">
        <v>424</v>
      </c>
      <c r="O93" s="745" t="s">
        <v>426</v>
      </c>
      <c r="P93" s="745" t="s">
        <v>428</v>
      </c>
      <c r="Q93" s="806" t="s">
        <v>422</v>
      </c>
    </row>
    <row r="94" spans="1:17">
      <c r="A94" s="790"/>
      <c r="B94" s="790"/>
      <c r="C94" s="790"/>
      <c r="D94" s="790"/>
      <c r="E94" s="790"/>
      <c r="F94" s="790"/>
      <c r="G94" s="792"/>
      <c r="H94" s="792"/>
      <c r="I94" s="804">
        <v>5</v>
      </c>
      <c r="J94" s="805" t="s">
        <v>270</v>
      </c>
      <c r="K94" s="747" t="s">
        <v>286</v>
      </c>
      <c r="L94" s="745" t="s">
        <v>271</v>
      </c>
      <c r="M94" s="745" t="s">
        <v>277</v>
      </c>
      <c r="N94" s="745" t="s">
        <v>283</v>
      </c>
      <c r="O94" s="745" t="s">
        <v>280</v>
      </c>
      <c r="P94" s="745" t="s">
        <v>289</v>
      </c>
      <c r="Q94" s="806" t="s">
        <v>293</v>
      </c>
    </row>
    <row r="95" ht="17.25" spans="1:17">
      <c r="I95" s="809">
        <v>5</v>
      </c>
      <c r="J95" s="810" t="s">
        <v>297</v>
      </c>
      <c r="K95" s="811" t="s">
        <v>314</v>
      </c>
      <c r="L95" s="812" t="s">
        <v>320</v>
      </c>
      <c r="M95" s="812" t="s">
        <v>304</v>
      </c>
      <c r="N95" s="812" t="s">
        <v>307</v>
      </c>
      <c r="O95" s="812" t="s">
        <v>298</v>
      </c>
      <c r="P95" s="812" t="s">
        <v>301</v>
      </c>
      <c r="Q95" s="813" t="s">
        <v>317</v>
      </c>
    </row>
    <row r="96" spans="1:17">
      <c r="I96" s="790">
        <v>52</v>
      </c>
      <c r="J96" s="802"/>
      <c r="K96" s="790"/>
      <c r="L96" s="790"/>
      <c r="M96" s="790"/>
      <c r="N96" s="790"/>
      <c r="O96" s="790"/>
      <c r="P96" s="790"/>
      <c r="Q96" s="790"/>
    </row>
  </sheetData>
  <mergeCells count="39">
    <mergeCell ref="B2:B8"/>
    <mergeCell ref="B9:B14"/>
    <mergeCell ref="B15:B20"/>
    <mergeCell ref="B21:B26"/>
    <mergeCell ref="B27:B32"/>
    <mergeCell ref="B33:B39"/>
    <mergeCell ref="B40:B47"/>
    <mergeCell ref="B48:B59"/>
    <mergeCell ref="C2:C8"/>
    <mergeCell ref="C9:C14"/>
    <mergeCell ref="C15:C20"/>
    <mergeCell ref="C21:C26"/>
    <mergeCell ref="C27:C32"/>
    <mergeCell ref="C33:C39"/>
    <mergeCell ref="C40:C47"/>
    <mergeCell ref="C48:C59"/>
    <mergeCell ref="J2:J9"/>
    <mergeCell ref="J10:J17"/>
    <mergeCell ref="J18:J25"/>
    <mergeCell ref="J26:J33"/>
    <mergeCell ref="J34:J40"/>
    <mergeCell ref="J41:J48"/>
    <mergeCell ref="J49:J56"/>
    <mergeCell ref="J57:J63"/>
    <mergeCell ref="J64:J71"/>
    <mergeCell ref="K2:K9"/>
    <mergeCell ref="K10:K17"/>
    <mergeCell ref="K18:K25"/>
    <mergeCell ref="K26:K33"/>
    <mergeCell ref="K34:K40"/>
    <mergeCell ref="K41:K48"/>
    <mergeCell ref="K49:K56"/>
    <mergeCell ref="K57:K63"/>
    <mergeCell ref="K64:K71"/>
    <mergeCell ref="S2:S9"/>
    <mergeCell ref="S10:S17"/>
    <mergeCell ref="T2:T9"/>
    <mergeCell ref="T10:T17"/>
    <mergeCell ref="B61:H7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6"/>
  <sheetViews>
    <sheetView zoomScale="85" zoomScaleNormal="85" topLeftCell="A66" workbookViewId="0">
      <selection activeCell="X30" sqref="X30"/>
    </sheetView>
  </sheetViews>
  <sheetFormatPr defaultColWidth="9" defaultRowHeight="15.95" customHeight="1"/>
  <cols>
    <col min="1" max="1" width="10.125" customWidth="1"/>
    <col min="2" max="2" width="13" customWidth="1"/>
    <col min="3" max="3" width="6.875" customWidth="1"/>
    <col min="4" max="5" width="7.625" style="716" customWidth="1"/>
    <col min="6" max="11" width="7.625" customWidth="1"/>
    <col min="12" max="12" width="3.5" customWidth="1"/>
    <col min="13" max="13" width="12.75" customWidth="1"/>
    <col min="14" max="14" width="6.625" customWidth="1"/>
    <col min="15" max="22" width="7.625" customWidth="1"/>
    <col min="23" max="23" width="4.625" customWidth="1"/>
    <col min="24" max="24" width="12.875" customWidth="1"/>
    <col min="25" max="25" width="7" customWidth="1"/>
    <col min="26" max="33" width="7.625" customWidth="1"/>
    <col min="34" max="34" width="4" customWidth="1"/>
  </cols>
  <sheetData>
    <row r="1" ht="34.5" customHeight="1"/>
    <row r="2" customHeight="1" spans="1:33">
      <c r="B2" s="1" t="s">
        <v>455</v>
      </c>
      <c r="C2" s="2" t="s">
        <v>456</v>
      </c>
      <c r="D2" s="717" t="s">
        <v>457</v>
      </c>
      <c r="E2" s="718"/>
      <c r="F2" s="717" t="s">
        <v>458</v>
      </c>
      <c r="G2" s="718"/>
      <c r="H2" s="717" t="s">
        <v>459</v>
      </c>
      <c r="I2" s="718"/>
      <c r="J2" s="717" t="s">
        <v>460</v>
      </c>
      <c r="K2" s="718"/>
      <c r="M2" s="1" t="s">
        <v>461</v>
      </c>
      <c r="N2" s="2" t="s">
        <v>456</v>
      </c>
      <c r="O2" s="717" t="s">
        <v>457</v>
      </c>
      <c r="P2" s="718"/>
      <c r="Q2" s="717" t="s">
        <v>458</v>
      </c>
      <c r="R2" s="718"/>
      <c r="S2" s="717" t="s">
        <v>459</v>
      </c>
      <c r="T2" s="718"/>
      <c r="U2" s="717" t="s">
        <v>460</v>
      </c>
      <c r="V2" s="718"/>
      <c r="X2" s="1" t="s">
        <v>462</v>
      </c>
      <c r="Y2" s="2" t="s">
        <v>456</v>
      </c>
      <c r="Z2" s="717" t="s">
        <v>457</v>
      </c>
      <c r="AA2" s="718"/>
      <c r="AB2" s="717" t="s">
        <v>458</v>
      </c>
      <c r="AC2" s="718"/>
      <c r="AD2" s="717" t="s">
        <v>459</v>
      </c>
      <c r="AE2" s="718"/>
      <c r="AF2" s="717" t="s">
        <v>460</v>
      </c>
      <c r="AG2" s="718"/>
    </row>
    <row r="3" customHeight="1" spans="1:33">
      <c r="B3" s="4" t="s">
        <v>463</v>
      </c>
      <c r="C3" s="5" t="s">
        <v>191</v>
      </c>
      <c r="D3" s="342" t="s">
        <v>464</v>
      </c>
      <c r="E3" s="344"/>
      <c r="F3" s="342" t="s">
        <v>465</v>
      </c>
      <c r="G3" s="344"/>
      <c r="H3" s="342" t="s">
        <v>465</v>
      </c>
      <c r="I3" s="344"/>
      <c r="J3" s="342" t="s">
        <v>465</v>
      </c>
      <c r="K3" s="344"/>
      <c r="M3" s="4" t="s">
        <v>466</v>
      </c>
      <c r="N3" s="5" t="s">
        <v>192</v>
      </c>
      <c r="O3" s="719" t="s">
        <v>445</v>
      </c>
      <c r="P3" s="720"/>
      <c r="Q3" s="719" t="s">
        <v>445</v>
      </c>
      <c r="R3" s="720"/>
      <c r="S3" s="719" t="s">
        <v>445</v>
      </c>
      <c r="T3" s="720"/>
      <c r="U3" s="719" t="s">
        <v>445</v>
      </c>
      <c r="V3" s="720"/>
      <c r="X3" s="7" t="s">
        <v>467</v>
      </c>
      <c r="Y3" s="5" t="s">
        <v>189</v>
      </c>
      <c r="Z3" s="719" t="s">
        <v>445</v>
      </c>
      <c r="AA3" s="720"/>
      <c r="AB3" s="719" t="s">
        <v>445</v>
      </c>
      <c r="AC3" s="720"/>
      <c r="AD3" s="719" t="s">
        <v>445</v>
      </c>
      <c r="AE3" s="720"/>
      <c r="AF3" s="719" t="s">
        <v>445</v>
      </c>
      <c r="AG3" s="720"/>
    </row>
    <row r="4" customHeight="1" spans="1:33">
      <c r="B4" s="4" t="s">
        <v>468</v>
      </c>
      <c r="C4" s="5" t="s">
        <v>191</v>
      </c>
      <c r="D4" s="719" t="s">
        <v>445</v>
      </c>
      <c r="E4" s="720"/>
      <c r="F4" s="342" t="s">
        <v>469</v>
      </c>
      <c r="G4" s="344"/>
      <c r="H4" s="342" t="s">
        <v>469</v>
      </c>
      <c r="I4" s="344"/>
      <c r="J4" s="342" t="s">
        <v>469</v>
      </c>
      <c r="K4" s="344"/>
      <c r="M4" s="8" t="s">
        <v>470</v>
      </c>
      <c r="N4" s="9" t="s">
        <v>192</v>
      </c>
      <c r="O4" s="721" t="s">
        <v>464</v>
      </c>
      <c r="P4" s="722"/>
      <c r="Q4" s="721" t="s">
        <v>465</v>
      </c>
      <c r="R4" s="722"/>
      <c r="S4" s="721" t="s">
        <v>465</v>
      </c>
      <c r="T4" s="722"/>
      <c r="U4" s="721" t="s">
        <v>465</v>
      </c>
      <c r="V4" s="722"/>
      <c r="X4" s="7" t="s">
        <v>471</v>
      </c>
      <c r="Y4" s="5" t="s">
        <v>189</v>
      </c>
      <c r="Z4" s="342" t="s">
        <v>464</v>
      </c>
      <c r="AA4" s="344"/>
      <c r="AB4" s="342" t="s">
        <v>472</v>
      </c>
      <c r="AC4" s="344"/>
      <c r="AD4" s="342" t="s">
        <v>472</v>
      </c>
      <c r="AE4" s="344"/>
      <c r="AF4" s="342" t="s">
        <v>472</v>
      </c>
      <c r="AG4" s="344"/>
    </row>
    <row r="5" customHeight="1" spans="1:33">
      <c r="B5" s="4" t="s">
        <v>473</v>
      </c>
      <c r="C5" s="5" t="s">
        <v>191</v>
      </c>
      <c r="D5" s="719" t="s">
        <v>445</v>
      </c>
      <c r="E5" s="720"/>
      <c r="F5" s="342" t="s">
        <v>469</v>
      </c>
      <c r="G5" s="344"/>
      <c r="H5" s="342" t="s">
        <v>469</v>
      </c>
      <c r="I5" s="344"/>
      <c r="J5" s="342" t="s">
        <v>469</v>
      </c>
      <c r="K5" s="344"/>
      <c r="M5" s="8" t="s">
        <v>474</v>
      </c>
      <c r="N5" s="9" t="s">
        <v>192</v>
      </c>
      <c r="O5" s="721" t="s">
        <v>464</v>
      </c>
      <c r="P5" s="722"/>
      <c r="Q5" s="721" t="s">
        <v>465</v>
      </c>
      <c r="R5" s="722"/>
      <c r="S5" s="721" t="s">
        <v>465</v>
      </c>
      <c r="T5" s="722"/>
      <c r="U5" s="721" t="s">
        <v>465</v>
      </c>
      <c r="V5" s="722"/>
      <c r="X5" s="7" t="s">
        <v>475</v>
      </c>
      <c r="Y5" s="5" t="s">
        <v>189</v>
      </c>
      <c r="Z5" s="342" t="s">
        <v>476</v>
      </c>
      <c r="AA5" s="344"/>
      <c r="AB5" s="342" t="s">
        <v>477</v>
      </c>
      <c r="AC5" s="344"/>
      <c r="AD5" s="342" t="s">
        <v>477</v>
      </c>
      <c r="AE5" s="344"/>
      <c r="AF5" s="342" t="s">
        <v>477</v>
      </c>
      <c r="AG5" s="344"/>
    </row>
    <row r="6" customHeight="1" spans="1:33">
      <c r="B6" s="4" t="s">
        <v>478</v>
      </c>
      <c r="C6" s="5" t="s">
        <v>191</v>
      </c>
      <c r="D6" s="342" t="s">
        <v>476</v>
      </c>
      <c r="E6" s="344" t="s">
        <v>464</v>
      </c>
      <c r="F6" s="723" t="s">
        <v>479</v>
      </c>
      <c r="G6" s="724" t="s">
        <v>480</v>
      </c>
      <c r="H6" s="719" t="s">
        <v>481</v>
      </c>
      <c r="I6" s="725"/>
      <c r="J6" s="725"/>
      <c r="K6" s="720"/>
      <c r="M6" s="8" t="s">
        <v>482</v>
      </c>
      <c r="N6" s="9" t="s">
        <v>192</v>
      </c>
      <c r="O6" s="721" t="s">
        <v>476</v>
      </c>
      <c r="P6" s="722"/>
      <c r="Q6" s="721" t="s">
        <v>483</v>
      </c>
      <c r="R6" s="722"/>
      <c r="S6" s="721" t="s">
        <v>483</v>
      </c>
      <c r="T6" s="722"/>
      <c r="U6" s="721" t="s">
        <v>483</v>
      </c>
      <c r="V6" s="722"/>
      <c r="X6" s="7" t="s">
        <v>484</v>
      </c>
      <c r="Y6" s="5" t="s">
        <v>189</v>
      </c>
      <c r="Z6" s="342" t="s">
        <v>476</v>
      </c>
      <c r="AA6" s="344" t="s">
        <v>464</v>
      </c>
      <c r="AB6" s="342" t="s">
        <v>485</v>
      </c>
      <c r="AC6" s="344" t="s">
        <v>486</v>
      </c>
      <c r="AD6" s="719" t="s">
        <v>481</v>
      </c>
      <c r="AE6" s="720"/>
      <c r="AF6" s="719" t="s">
        <v>481</v>
      </c>
      <c r="AG6" s="720"/>
    </row>
    <row r="7" customHeight="1" spans="1:33">
      <c r="B7" s="8" t="s">
        <v>487</v>
      </c>
      <c r="C7" s="9" t="s">
        <v>191</v>
      </c>
      <c r="D7" s="721" t="s">
        <v>464</v>
      </c>
      <c r="E7" s="722" t="s">
        <v>488</v>
      </c>
      <c r="F7" s="726" t="s">
        <v>480</v>
      </c>
      <c r="G7" s="727" t="s">
        <v>489</v>
      </c>
      <c r="H7" s="721" t="s">
        <v>472</v>
      </c>
      <c r="I7" s="722" t="s">
        <v>490</v>
      </c>
      <c r="J7" s="721" t="s">
        <v>465</v>
      </c>
      <c r="K7" s="722" t="s">
        <v>491</v>
      </c>
      <c r="M7" s="4" t="s">
        <v>492</v>
      </c>
      <c r="N7" s="5" t="s">
        <v>192</v>
      </c>
      <c r="O7" s="719" t="s">
        <v>445</v>
      </c>
      <c r="P7" s="720"/>
      <c r="Q7" s="721" t="s">
        <v>493</v>
      </c>
      <c r="R7" s="722"/>
      <c r="S7" s="721" t="s">
        <v>493</v>
      </c>
      <c r="T7" s="722"/>
      <c r="U7" s="721" t="s">
        <v>493</v>
      </c>
      <c r="V7" s="722"/>
      <c r="X7" s="7" t="s">
        <v>494</v>
      </c>
      <c r="Y7" s="5" t="s">
        <v>189</v>
      </c>
      <c r="Z7" s="719" t="s">
        <v>445</v>
      </c>
      <c r="AA7" s="720"/>
      <c r="AB7" s="342" t="s">
        <v>495</v>
      </c>
      <c r="AC7" s="344"/>
      <c r="AD7" s="342" t="s">
        <v>495</v>
      </c>
      <c r="AE7" s="344"/>
      <c r="AF7" s="342" t="s">
        <v>495</v>
      </c>
      <c r="AG7" s="344"/>
    </row>
    <row r="8" customHeight="1" spans="1:33">
      <c r="B8" s="4" t="s">
        <v>496</v>
      </c>
      <c r="C8" s="5" t="s">
        <v>191</v>
      </c>
      <c r="D8" s="719" t="s">
        <v>445</v>
      </c>
      <c r="E8" s="720"/>
      <c r="F8" s="342" t="s">
        <v>493</v>
      </c>
      <c r="G8" s="344"/>
      <c r="H8" s="342" t="s">
        <v>493</v>
      </c>
      <c r="I8" s="344"/>
      <c r="J8" s="342" t="s">
        <v>497</v>
      </c>
      <c r="K8" s="344"/>
      <c r="M8" s="4" t="s">
        <v>498</v>
      </c>
      <c r="N8" s="5" t="s">
        <v>192</v>
      </c>
      <c r="O8" s="719" t="s">
        <v>445</v>
      </c>
      <c r="P8" s="720"/>
      <c r="Q8" s="721" t="s">
        <v>493</v>
      </c>
      <c r="R8" s="722"/>
      <c r="S8" s="721" t="s">
        <v>493</v>
      </c>
      <c r="T8" s="722"/>
      <c r="U8" s="721" t="s">
        <v>493</v>
      </c>
      <c r="V8" s="722"/>
      <c r="X8" s="7" t="s">
        <v>499</v>
      </c>
      <c r="Y8" s="5" t="s">
        <v>189</v>
      </c>
      <c r="Z8" s="719" t="s">
        <v>445</v>
      </c>
      <c r="AA8" s="720"/>
      <c r="AB8" s="342" t="s">
        <v>495</v>
      </c>
      <c r="AC8" s="344"/>
      <c r="AD8" s="342" t="s">
        <v>495</v>
      </c>
      <c r="AE8" s="344"/>
      <c r="AF8" s="342" t="s">
        <v>495</v>
      </c>
      <c r="AG8" s="344"/>
    </row>
    <row r="9" customHeight="1" spans="1:33">
      <c r="B9" s="10" t="s">
        <v>500</v>
      </c>
      <c r="C9" s="5" t="s">
        <v>191</v>
      </c>
      <c r="D9" s="342" t="s">
        <v>465</v>
      </c>
      <c r="E9" s="344"/>
      <c r="F9" s="342" t="s">
        <v>465</v>
      </c>
      <c r="G9" s="344"/>
      <c r="H9" s="342" t="s">
        <v>465</v>
      </c>
      <c r="I9" s="344"/>
      <c r="J9" s="342" t="s">
        <v>501</v>
      </c>
      <c r="K9" s="344"/>
      <c r="M9" s="4" t="s">
        <v>502</v>
      </c>
      <c r="N9" s="5" t="s">
        <v>192</v>
      </c>
      <c r="O9" s="342" t="s">
        <v>476</v>
      </c>
      <c r="P9" s="344" t="s">
        <v>464</v>
      </c>
      <c r="Q9" s="342" t="s">
        <v>485</v>
      </c>
      <c r="R9" s="344" t="s">
        <v>486</v>
      </c>
      <c r="S9" s="719" t="s">
        <v>481</v>
      </c>
      <c r="T9" s="720"/>
      <c r="U9" s="719" t="s">
        <v>481</v>
      </c>
      <c r="V9" s="720"/>
      <c r="X9" s="12" t="s">
        <v>503</v>
      </c>
      <c r="Y9" s="9" t="s">
        <v>189</v>
      </c>
      <c r="Z9" s="721" t="s">
        <v>472</v>
      </c>
      <c r="AA9" s="722" t="s">
        <v>504</v>
      </c>
      <c r="AB9" s="721" t="s">
        <v>505</v>
      </c>
      <c r="AC9" s="722" t="s">
        <v>504</v>
      </c>
      <c r="AD9" s="9" t="s">
        <v>506</v>
      </c>
      <c r="AE9" s="9" t="s">
        <v>504</v>
      </c>
      <c r="AF9" s="721" t="s">
        <v>507</v>
      </c>
      <c r="AG9" s="722" t="s">
        <v>508</v>
      </c>
    </row>
    <row r="10" customHeight="1" spans="1:33">
      <c r="B10" s="10" t="s">
        <v>509</v>
      </c>
      <c r="C10" s="5" t="s">
        <v>191</v>
      </c>
      <c r="D10" s="342" t="s">
        <v>493</v>
      </c>
      <c r="E10" s="344"/>
      <c r="F10" s="728" t="s">
        <v>493</v>
      </c>
      <c r="G10" s="729"/>
      <c r="H10" s="342" t="s">
        <v>476</v>
      </c>
      <c r="I10" s="344" t="s">
        <v>493</v>
      </c>
      <c r="J10" s="342" t="s">
        <v>510</v>
      </c>
      <c r="K10" s="344" t="s">
        <v>511</v>
      </c>
      <c r="M10" s="4" t="s">
        <v>512</v>
      </c>
      <c r="N10" s="5" t="s">
        <v>192</v>
      </c>
      <c r="O10" s="719" t="s">
        <v>445</v>
      </c>
      <c r="P10" s="720"/>
      <c r="Q10" s="721" t="s">
        <v>493</v>
      </c>
      <c r="R10" s="722"/>
      <c r="S10" s="721" t="s">
        <v>493</v>
      </c>
      <c r="T10" s="722"/>
      <c r="U10" s="342" t="s">
        <v>493</v>
      </c>
      <c r="V10" s="344"/>
      <c r="X10" s="12" t="s">
        <v>513</v>
      </c>
      <c r="Y10" s="9" t="s">
        <v>189</v>
      </c>
      <c r="Z10" s="721" t="s">
        <v>477</v>
      </c>
      <c r="AA10" s="722" t="s">
        <v>469</v>
      </c>
      <c r="AB10" s="721" t="s">
        <v>514</v>
      </c>
      <c r="AC10" s="722" t="s">
        <v>469</v>
      </c>
      <c r="AD10" s="9" t="s">
        <v>515</v>
      </c>
      <c r="AE10" s="9" t="s">
        <v>469</v>
      </c>
      <c r="AF10" s="721" t="s">
        <v>516</v>
      </c>
      <c r="AG10" s="722" t="s">
        <v>489</v>
      </c>
    </row>
    <row r="11" customHeight="1" spans="1:33">
      <c r="A11" s="14"/>
      <c r="B11" s="15" t="s">
        <v>517</v>
      </c>
      <c r="C11" s="5" t="s">
        <v>191</v>
      </c>
      <c r="D11" s="719" t="s">
        <v>445</v>
      </c>
      <c r="E11" s="720"/>
      <c r="F11" s="728" t="s">
        <v>493</v>
      </c>
      <c r="G11" s="729"/>
      <c r="H11" s="728" t="s">
        <v>493</v>
      </c>
      <c r="I11" s="729"/>
      <c r="J11" s="728" t="s">
        <v>493</v>
      </c>
      <c r="K11" s="729" t="s">
        <v>469</v>
      </c>
      <c r="M11" s="4" t="s">
        <v>518</v>
      </c>
      <c r="N11" s="5" t="s">
        <v>192</v>
      </c>
      <c r="O11" s="342" t="s">
        <v>464</v>
      </c>
      <c r="P11" s="344"/>
      <c r="Q11" s="721" t="s">
        <v>519</v>
      </c>
      <c r="R11" s="722"/>
      <c r="S11" s="721" t="s">
        <v>465</v>
      </c>
      <c r="T11" s="722"/>
      <c r="U11" s="723" t="s">
        <v>476</v>
      </c>
      <c r="V11" s="724" t="s">
        <v>519</v>
      </c>
      <c r="X11" s="7" t="s">
        <v>520</v>
      </c>
      <c r="Y11" s="5" t="s">
        <v>189</v>
      </c>
      <c r="Z11" s="719" t="s">
        <v>481</v>
      </c>
      <c r="AA11" s="720"/>
      <c r="AB11" s="342" t="s">
        <v>486</v>
      </c>
      <c r="AC11" s="344"/>
      <c r="AD11" s="719" t="s">
        <v>481</v>
      </c>
      <c r="AE11" s="720"/>
      <c r="AF11" s="719" t="s">
        <v>481</v>
      </c>
      <c r="AG11" s="720"/>
    </row>
    <row r="12" customHeight="1" spans="1:33">
      <c r="A12" s="14"/>
      <c r="B12" s="17" t="s">
        <v>521</v>
      </c>
      <c r="C12" s="9" t="s">
        <v>191</v>
      </c>
      <c r="D12" s="721" t="s">
        <v>476</v>
      </c>
      <c r="E12" s="722"/>
      <c r="F12" s="721" t="s">
        <v>510</v>
      </c>
      <c r="G12" s="722"/>
      <c r="H12" s="721" t="s">
        <v>510</v>
      </c>
      <c r="I12" s="722"/>
      <c r="J12" s="721" t="s">
        <v>510</v>
      </c>
      <c r="K12" s="722" t="s">
        <v>522</v>
      </c>
      <c r="M12" s="8" t="s">
        <v>523</v>
      </c>
      <c r="N12" s="9" t="s">
        <v>192</v>
      </c>
      <c r="O12" s="721" t="s">
        <v>485</v>
      </c>
      <c r="P12" s="722" t="s">
        <v>522</v>
      </c>
      <c r="Q12" s="721" t="s">
        <v>485</v>
      </c>
      <c r="R12" s="722" t="s">
        <v>522</v>
      </c>
      <c r="S12" s="721" t="s">
        <v>524</v>
      </c>
      <c r="T12" s="722" t="s">
        <v>525</v>
      </c>
      <c r="U12" s="726" t="s">
        <v>514</v>
      </c>
      <c r="V12" s="727" t="s">
        <v>526</v>
      </c>
      <c r="X12" s="7" t="s">
        <v>527</v>
      </c>
      <c r="Y12" s="5" t="s">
        <v>189</v>
      </c>
      <c r="Z12" s="719" t="s">
        <v>445</v>
      </c>
      <c r="AA12" s="720"/>
      <c r="AB12" s="719" t="s">
        <v>445</v>
      </c>
      <c r="AC12" s="720"/>
      <c r="AD12" s="719" t="s">
        <v>445</v>
      </c>
      <c r="AE12" s="720"/>
      <c r="AF12" s="719" t="s">
        <v>445</v>
      </c>
      <c r="AG12" s="720"/>
    </row>
    <row r="13" customHeight="1" spans="1:33">
      <c r="A13" s="14"/>
      <c r="B13" s="17" t="s">
        <v>528</v>
      </c>
      <c r="C13" s="9" t="s">
        <v>191</v>
      </c>
      <c r="D13" s="721" t="s">
        <v>476</v>
      </c>
      <c r="E13" s="722"/>
      <c r="F13" s="721" t="s">
        <v>510</v>
      </c>
      <c r="G13" s="722"/>
      <c r="H13" s="721" t="s">
        <v>510</v>
      </c>
      <c r="I13" s="722"/>
      <c r="J13" s="721" t="s">
        <v>510</v>
      </c>
      <c r="K13" s="722" t="s">
        <v>522</v>
      </c>
      <c r="M13" s="15" t="s">
        <v>529</v>
      </c>
      <c r="N13" s="5" t="s">
        <v>192</v>
      </c>
      <c r="O13" s="719" t="s">
        <v>445</v>
      </c>
      <c r="P13" s="720"/>
      <c r="Q13" s="342" t="s">
        <v>510</v>
      </c>
      <c r="R13" s="344"/>
      <c r="S13" s="721" t="s">
        <v>510</v>
      </c>
      <c r="T13" s="722"/>
      <c r="U13" s="723" t="s">
        <v>476</v>
      </c>
      <c r="V13" s="724" t="s">
        <v>530</v>
      </c>
      <c r="X13" s="12" t="s">
        <v>531</v>
      </c>
      <c r="Y13" s="9" t="s">
        <v>189</v>
      </c>
      <c r="Z13" s="721" t="s">
        <v>493</v>
      </c>
      <c r="AA13" s="722"/>
      <c r="AB13" s="721" t="s">
        <v>493</v>
      </c>
      <c r="AC13" s="722"/>
      <c r="AD13" s="721" t="s">
        <v>493</v>
      </c>
      <c r="AE13" s="722"/>
      <c r="AF13" s="721" t="s">
        <v>493</v>
      </c>
      <c r="AG13" s="344" t="s">
        <v>469</v>
      </c>
    </row>
    <row r="14" customHeight="1" spans="1:33">
      <c r="A14" s="14"/>
      <c r="M14" s="8" t="s">
        <v>532</v>
      </c>
      <c r="N14" s="9" t="s">
        <v>192</v>
      </c>
      <c r="O14" s="721" t="s">
        <v>464</v>
      </c>
      <c r="P14" s="722"/>
      <c r="Q14" s="721" t="s">
        <v>530</v>
      </c>
      <c r="R14" s="722"/>
      <c r="S14" s="721" t="s">
        <v>530</v>
      </c>
      <c r="T14" s="722"/>
      <c r="U14" s="726" t="s">
        <v>464</v>
      </c>
      <c r="V14" s="727" t="s">
        <v>495</v>
      </c>
      <c r="X14" s="7" t="s">
        <v>533</v>
      </c>
      <c r="Y14" s="5" t="s">
        <v>189</v>
      </c>
      <c r="Z14" s="719" t="s">
        <v>445</v>
      </c>
      <c r="AA14" s="720"/>
      <c r="AB14" s="342" t="s">
        <v>472</v>
      </c>
      <c r="AC14" s="344"/>
      <c r="AD14" s="342" t="s">
        <v>472</v>
      </c>
      <c r="AE14" s="344"/>
      <c r="AF14" s="342" t="s">
        <v>472</v>
      </c>
      <c r="AG14" s="344"/>
    </row>
    <row r="15" customHeight="1" spans="1:33">
      <c r="A15" s="14"/>
      <c r="M15" s="8" t="s">
        <v>534</v>
      </c>
      <c r="N15" s="9" t="s">
        <v>192</v>
      </c>
      <c r="O15" s="721" t="s">
        <v>464</v>
      </c>
      <c r="P15" s="722"/>
      <c r="Q15" s="721" t="s">
        <v>530</v>
      </c>
      <c r="R15" s="722"/>
      <c r="S15" s="721" t="s">
        <v>530</v>
      </c>
      <c r="T15" s="722"/>
      <c r="U15" s="726" t="s">
        <v>464</v>
      </c>
      <c r="V15" s="727" t="s">
        <v>495</v>
      </c>
      <c r="X15" s="12" t="s">
        <v>535</v>
      </c>
      <c r="Y15" s="9" t="s">
        <v>189</v>
      </c>
      <c r="Z15" s="721" t="s">
        <v>493</v>
      </c>
      <c r="AA15" s="722"/>
      <c r="AB15" s="721" t="s">
        <v>493</v>
      </c>
      <c r="AC15" s="722"/>
      <c r="AD15" s="721" t="s">
        <v>493</v>
      </c>
      <c r="AE15" s="722"/>
      <c r="AF15" s="721" t="s">
        <v>493</v>
      </c>
      <c r="AG15" s="344" t="s">
        <v>469</v>
      </c>
    </row>
    <row r="16" customHeight="1" spans="1:33">
      <c r="A16" s="14"/>
      <c r="M16" s="20"/>
      <c r="N16" s="21"/>
      <c r="O16" s="22"/>
      <c r="P16" s="22"/>
      <c r="Q16" s="21"/>
      <c r="R16" s="21"/>
      <c r="S16" s="21"/>
      <c r="T16" s="21"/>
      <c r="U16" s="23"/>
      <c r="V16" s="23"/>
      <c r="X16" s="24"/>
      <c r="Y16" s="21"/>
      <c r="Z16" s="25"/>
      <c r="AA16" s="25"/>
      <c r="AB16" s="25"/>
      <c r="AC16" s="25"/>
      <c r="AD16" s="25"/>
      <c r="AE16" s="25"/>
      <c r="AF16" s="25"/>
      <c r="AG16" s="25"/>
    </row>
    <row r="17" customHeight="1" spans="1:33">
      <c r="A17" s="14"/>
      <c r="M17" s="20"/>
      <c r="N17" s="21"/>
      <c r="O17" s="22"/>
      <c r="P17" s="22"/>
      <c r="Q17" s="21"/>
      <c r="R17" s="21"/>
      <c r="S17" s="21"/>
      <c r="T17" s="21"/>
      <c r="U17" s="23"/>
      <c r="V17" s="23"/>
      <c r="X17" s="24"/>
      <c r="Y17" s="21"/>
      <c r="Z17" s="25"/>
      <c r="AA17" s="25"/>
      <c r="AB17" s="25"/>
      <c r="AC17" s="25"/>
      <c r="AD17" s="25"/>
      <c r="AE17" s="25"/>
      <c r="AF17" s="25"/>
      <c r="AG17" s="25"/>
    </row>
    <row r="18" customHeight="1" spans="1:33">
      <c r="A18" s="14"/>
      <c r="N18" s="26"/>
      <c r="O18" s="26"/>
      <c r="P18" s="26"/>
      <c r="Q18" s="26"/>
      <c r="R18" s="26"/>
      <c r="S18" s="26"/>
      <c r="T18" s="26"/>
      <c r="U18" s="26"/>
      <c r="V18" s="26"/>
      <c r="X18" s="24"/>
      <c r="Y18" s="21"/>
      <c r="Z18" s="25"/>
      <c r="AA18" s="25"/>
      <c r="AB18" s="25"/>
      <c r="AC18" s="25"/>
      <c r="AD18" s="25"/>
      <c r="AE18" s="25"/>
      <c r="AF18" s="25"/>
      <c r="AG18" s="25"/>
    </row>
    <row r="19" customHeight="1" spans="1:33">
      <c r="Y19" s="26"/>
    </row>
    <row r="20" customHeight="1" spans="1:33">
      <c r="B20" s="27" t="s">
        <v>536</v>
      </c>
      <c r="C20" s="2" t="s">
        <v>456</v>
      </c>
      <c r="D20" s="717" t="s">
        <v>457</v>
      </c>
      <c r="E20" s="718"/>
      <c r="F20" s="717" t="s">
        <v>458</v>
      </c>
      <c r="G20" s="718"/>
      <c r="H20" s="717" t="s">
        <v>459</v>
      </c>
      <c r="I20" s="718"/>
      <c r="J20" s="717" t="s">
        <v>460</v>
      </c>
      <c r="K20" s="718"/>
      <c r="M20" s="27" t="s">
        <v>537</v>
      </c>
      <c r="N20" s="2" t="s">
        <v>456</v>
      </c>
      <c r="O20" s="717" t="s">
        <v>457</v>
      </c>
      <c r="P20" s="718"/>
      <c r="Q20" s="717" t="s">
        <v>458</v>
      </c>
      <c r="R20" s="718"/>
      <c r="S20" s="717" t="s">
        <v>459</v>
      </c>
      <c r="T20" s="718"/>
      <c r="U20" s="717" t="s">
        <v>460</v>
      </c>
      <c r="V20" s="718"/>
      <c r="X20" s="27" t="s">
        <v>538</v>
      </c>
      <c r="Y20" s="13" t="s">
        <v>456</v>
      </c>
      <c r="Z20" s="342" t="s">
        <v>457</v>
      </c>
      <c r="AA20" s="344"/>
      <c r="AB20" s="342" t="s">
        <v>458</v>
      </c>
      <c r="AC20" s="344"/>
      <c r="AD20" s="342" t="s">
        <v>459</v>
      </c>
      <c r="AE20" s="344"/>
      <c r="AF20" s="342" t="s">
        <v>460</v>
      </c>
      <c r="AG20" s="344"/>
    </row>
    <row r="21" customHeight="1" spans="1:33">
      <c r="B21" s="10" t="s">
        <v>539</v>
      </c>
      <c r="C21" s="5" t="s">
        <v>191</v>
      </c>
      <c r="D21" s="730" t="s">
        <v>540</v>
      </c>
      <c r="E21" s="724" t="s">
        <v>469</v>
      </c>
      <c r="F21" s="723" t="s">
        <v>540</v>
      </c>
      <c r="G21" s="724" t="s">
        <v>469</v>
      </c>
      <c r="H21" s="723" t="s">
        <v>540</v>
      </c>
      <c r="I21" s="724" t="s">
        <v>469</v>
      </c>
      <c r="J21" s="723" t="s">
        <v>540</v>
      </c>
      <c r="K21" s="724" t="s">
        <v>490</v>
      </c>
      <c r="M21" s="10" t="s">
        <v>541</v>
      </c>
      <c r="N21" s="5" t="s">
        <v>192</v>
      </c>
      <c r="O21" s="723" t="s">
        <v>530</v>
      </c>
      <c r="P21" s="724" t="s">
        <v>493</v>
      </c>
      <c r="Q21" s="723" t="s">
        <v>530</v>
      </c>
      <c r="R21" s="724" t="s">
        <v>493</v>
      </c>
      <c r="S21" s="723" t="s">
        <v>530</v>
      </c>
      <c r="T21" s="724" t="s">
        <v>493</v>
      </c>
      <c r="U21" s="723" t="s">
        <v>530</v>
      </c>
      <c r="V21" s="724" t="s">
        <v>497</v>
      </c>
      <c r="X21" s="10" t="s">
        <v>542</v>
      </c>
      <c r="Y21" s="5" t="s">
        <v>189</v>
      </c>
      <c r="Z21" s="730" t="s">
        <v>530</v>
      </c>
      <c r="AA21" s="731" t="s">
        <v>469</v>
      </c>
      <c r="AB21" s="730" t="s">
        <v>530</v>
      </c>
      <c r="AC21" s="731" t="s">
        <v>469</v>
      </c>
      <c r="AD21" s="730" t="s">
        <v>530</v>
      </c>
      <c r="AE21" s="731" t="s">
        <v>469</v>
      </c>
      <c r="AF21" s="723" t="s">
        <v>519</v>
      </c>
      <c r="AG21" s="724" t="s">
        <v>469</v>
      </c>
    </row>
    <row r="22" customHeight="1" spans="1:33">
      <c r="B22" s="10" t="s">
        <v>543</v>
      </c>
      <c r="C22" s="5" t="s">
        <v>191</v>
      </c>
      <c r="D22" s="730" t="s">
        <v>530</v>
      </c>
      <c r="E22" s="731" t="s">
        <v>469</v>
      </c>
      <c r="F22" s="730" t="s">
        <v>530</v>
      </c>
      <c r="G22" s="731" t="s">
        <v>469</v>
      </c>
      <c r="H22" s="730" t="s">
        <v>530</v>
      </c>
      <c r="I22" s="731" t="s">
        <v>469</v>
      </c>
      <c r="J22" s="723" t="s">
        <v>530</v>
      </c>
      <c r="K22" s="724" t="s">
        <v>490</v>
      </c>
      <c r="M22" s="10" t="s">
        <v>544</v>
      </c>
      <c r="N22" s="5" t="s">
        <v>192</v>
      </c>
      <c r="O22" s="723" t="s">
        <v>545</v>
      </c>
      <c r="P22" s="724" t="s">
        <v>546</v>
      </c>
      <c r="Q22" s="723" t="s">
        <v>545</v>
      </c>
      <c r="R22" s="724" t="s">
        <v>546</v>
      </c>
      <c r="S22" s="723" t="s">
        <v>479</v>
      </c>
      <c r="T22" s="724" t="s">
        <v>547</v>
      </c>
      <c r="U22" s="723" t="s">
        <v>548</v>
      </c>
      <c r="V22" s="724" t="s">
        <v>549</v>
      </c>
      <c r="X22" s="10" t="s">
        <v>550</v>
      </c>
      <c r="Y22" s="5" t="s">
        <v>189</v>
      </c>
      <c r="Z22" s="723" t="s">
        <v>510</v>
      </c>
      <c r="AA22" s="724" t="s">
        <v>530</v>
      </c>
      <c r="AB22" s="723" t="s">
        <v>510</v>
      </c>
      <c r="AC22" s="724" t="s">
        <v>530</v>
      </c>
      <c r="AD22" s="723" t="s">
        <v>510</v>
      </c>
      <c r="AE22" s="724" t="s">
        <v>530</v>
      </c>
      <c r="AF22" s="723" t="s">
        <v>510</v>
      </c>
      <c r="AG22" s="724" t="s">
        <v>519</v>
      </c>
    </row>
    <row r="23" customHeight="1" spans="1:33">
      <c r="B23" s="10" t="s">
        <v>551</v>
      </c>
      <c r="C23" s="5" t="s">
        <v>191</v>
      </c>
      <c r="D23" s="730" t="s">
        <v>530</v>
      </c>
      <c r="E23" s="731" t="s">
        <v>469</v>
      </c>
      <c r="F23" s="730" t="s">
        <v>530</v>
      </c>
      <c r="G23" s="731" t="s">
        <v>469</v>
      </c>
      <c r="H23" s="730" t="s">
        <v>530</v>
      </c>
      <c r="I23" s="731" t="s">
        <v>469</v>
      </c>
      <c r="J23" s="723" t="s">
        <v>530</v>
      </c>
      <c r="K23" s="724" t="s">
        <v>490</v>
      </c>
      <c r="M23" s="10" t="s">
        <v>552</v>
      </c>
      <c r="N23" s="5" t="s">
        <v>192</v>
      </c>
      <c r="O23" s="723" t="s">
        <v>545</v>
      </c>
      <c r="P23" s="724" t="s">
        <v>546</v>
      </c>
      <c r="Q23" s="723" t="s">
        <v>545</v>
      </c>
      <c r="R23" s="724" t="s">
        <v>546</v>
      </c>
      <c r="S23" s="723" t="s">
        <v>548</v>
      </c>
      <c r="T23" s="724" t="s">
        <v>519</v>
      </c>
      <c r="U23" s="723" t="s">
        <v>548</v>
      </c>
      <c r="V23" s="724" t="s">
        <v>549</v>
      </c>
      <c r="X23" s="10" t="s">
        <v>553</v>
      </c>
      <c r="Y23" s="5" t="s">
        <v>189</v>
      </c>
      <c r="Z23" s="732" t="s">
        <v>519</v>
      </c>
      <c r="AA23" s="733"/>
      <c r="AB23" s="732" t="s">
        <v>519</v>
      </c>
      <c r="AC23" s="733"/>
      <c r="AD23" s="732" t="s">
        <v>519</v>
      </c>
      <c r="AE23" s="733"/>
      <c r="AF23" s="732" t="s">
        <v>549</v>
      </c>
      <c r="AG23" s="733"/>
    </row>
    <row r="24" customHeight="1" spans="1:33">
      <c r="B24" s="10" t="s">
        <v>554</v>
      </c>
      <c r="C24" s="5" t="s">
        <v>191</v>
      </c>
      <c r="D24" s="723" t="s">
        <v>510</v>
      </c>
      <c r="E24" s="724" t="s">
        <v>549</v>
      </c>
      <c r="F24" s="723" t="s">
        <v>510</v>
      </c>
      <c r="G24" s="724" t="s">
        <v>549</v>
      </c>
      <c r="H24" s="723" t="s">
        <v>510</v>
      </c>
      <c r="I24" s="724" t="s">
        <v>549</v>
      </c>
      <c r="J24" s="723" t="s">
        <v>548</v>
      </c>
      <c r="K24" s="724" t="s">
        <v>555</v>
      </c>
      <c r="M24" s="10" t="s">
        <v>556</v>
      </c>
      <c r="N24" s="5" t="s">
        <v>192</v>
      </c>
      <c r="O24" s="723" t="s">
        <v>530</v>
      </c>
      <c r="P24" s="724" t="s">
        <v>469</v>
      </c>
      <c r="Q24" s="723" t="s">
        <v>530</v>
      </c>
      <c r="R24" s="724" t="s">
        <v>469</v>
      </c>
      <c r="S24" s="723" t="s">
        <v>530</v>
      </c>
      <c r="T24" s="724" t="s">
        <v>469</v>
      </c>
      <c r="U24" s="723" t="s">
        <v>530</v>
      </c>
      <c r="V24" s="724" t="s">
        <v>490</v>
      </c>
      <c r="X24" s="31" t="s">
        <v>557</v>
      </c>
      <c r="Y24" s="5" t="s">
        <v>189</v>
      </c>
      <c r="Z24" s="732" t="s">
        <v>548</v>
      </c>
      <c r="AA24" s="733"/>
      <c r="AB24" s="732" t="s">
        <v>548</v>
      </c>
      <c r="AC24" s="733"/>
      <c r="AD24" s="732" t="s">
        <v>548</v>
      </c>
      <c r="AE24" s="733"/>
      <c r="AF24" s="732" t="s">
        <v>558</v>
      </c>
      <c r="AG24" s="733"/>
    </row>
    <row r="25" customHeight="1" spans="1:33">
      <c r="B25" s="10" t="s">
        <v>559</v>
      </c>
      <c r="C25" s="5" t="s">
        <v>191</v>
      </c>
      <c r="D25" s="730" t="s">
        <v>519</v>
      </c>
      <c r="E25" s="731" t="s">
        <v>493</v>
      </c>
      <c r="F25" s="730" t="s">
        <v>519</v>
      </c>
      <c r="G25" s="731" t="s">
        <v>493</v>
      </c>
      <c r="H25" s="723" t="s">
        <v>519</v>
      </c>
      <c r="I25" s="724" t="s">
        <v>493</v>
      </c>
      <c r="J25" s="723" t="s">
        <v>549</v>
      </c>
      <c r="K25" s="724" t="s">
        <v>497</v>
      </c>
      <c r="M25" s="10" t="s">
        <v>560</v>
      </c>
      <c r="N25" s="5" t="s">
        <v>192</v>
      </c>
      <c r="O25" s="723" t="s">
        <v>545</v>
      </c>
      <c r="P25" s="724" t="s">
        <v>546</v>
      </c>
      <c r="Q25" s="723" t="s">
        <v>545</v>
      </c>
      <c r="R25" s="724" t="s">
        <v>546</v>
      </c>
      <c r="S25" s="723" t="s">
        <v>548</v>
      </c>
      <c r="T25" s="724" t="s">
        <v>519</v>
      </c>
      <c r="U25" s="723" t="s">
        <v>548</v>
      </c>
      <c r="V25" s="724" t="s">
        <v>549</v>
      </c>
      <c r="X25" s="31" t="s">
        <v>561</v>
      </c>
      <c r="Y25" s="5" t="s">
        <v>189</v>
      </c>
      <c r="Z25" s="732" t="s">
        <v>530</v>
      </c>
      <c r="AA25" s="733" t="s">
        <v>493</v>
      </c>
      <c r="AB25" s="732" t="s">
        <v>530</v>
      </c>
      <c r="AC25" s="733" t="s">
        <v>493</v>
      </c>
      <c r="AD25" s="732" t="s">
        <v>530</v>
      </c>
      <c r="AE25" s="733" t="s">
        <v>493</v>
      </c>
      <c r="AF25" s="732" t="s">
        <v>519</v>
      </c>
      <c r="AG25" s="733" t="s">
        <v>493</v>
      </c>
    </row>
    <row r="26" customHeight="1" spans="1:33">
      <c r="B26" s="10" t="s">
        <v>562</v>
      </c>
      <c r="C26" s="5" t="s">
        <v>191</v>
      </c>
      <c r="D26" s="723" t="s">
        <v>510</v>
      </c>
      <c r="E26" s="724" t="s">
        <v>526</v>
      </c>
      <c r="F26" s="723" t="s">
        <v>510</v>
      </c>
      <c r="G26" s="724" t="s">
        <v>526</v>
      </c>
      <c r="H26" s="723" t="s">
        <v>510</v>
      </c>
      <c r="I26" s="724" t="s">
        <v>526</v>
      </c>
      <c r="J26" s="723" t="s">
        <v>563</v>
      </c>
      <c r="K26" s="724" t="s">
        <v>564</v>
      </c>
      <c r="M26" s="10" t="s">
        <v>565</v>
      </c>
      <c r="N26" s="5" t="s">
        <v>192</v>
      </c>
      <c r="O26" s="723" t="s">
        <v>547</v>
      </c>
      <c r="P26" s="724"/>
      <c r="Q26" s="723" t="s">
        <v>547</v>
      </c>
      <c r="R26" s="724"/>
      <c r="S26" s="723" t="s">
        <v>555</v>
      </c>
      <c r="T26" s="724"/>
      <c r="U26" s="723" t="s">
        <v>566</v>
      </c>
      <c r="V26" s="724"/>
      <c r="X26" s="32" t="s">
        <v>567</v>
      </c>
      <c r="Y26" s="5" t="s">
        <v>189</v>
      </c>
      <c r="Z26" s="730" t="s">
        <v>530</v>
      </c>
      <c r="AA26" s="731" t="s">
        <v>469</v>
      </c>
      <c r="AB26" s="730" t="s">
        <v>530</v>
      </c>
      <c r="AC26" s="731" t="s">
        <v>469</v>
      </c>
      <c r="AD26" s="730" t="s">
        <v>530</v>
      </c>
      <c r="AE26" s="731" t="s">
        <v>469</v>
      </c>
      <c r="AF26" s="723" t="s">
        <v>519</v>
      </c>
      <c r="AG26" s="724" t="s">
        <v>469</v>
      </c>
    </row>
    <row r="27" customHeight="1" spans="1:33">
      <c r="B27" s="10" t="s">
        <v>568</v>
      </c>
      <c r="C27" s="5" t="s">
        <v>191</v>
      </c>
      <c r="D27" s="734" t="s">
        <v>563</v>
      </c>
      <c r="E27" s="735" t="s">
        <v>530</v>
      </c>
      <c r="F27" s="734" t="s">
        <v>563</v>
      </c>
      <c r="G27" s="735" t="s">
        <v>530</v>
      </c>
      <c r="H27" s="732" t="s">
        <v>548</v>
      </c>
      <c r="I27" s="733" t="s">
        <v>519</v>
      </c>
      <c r="J27" s="723" t="s">
        <v>558</v>
      </c>
      <c r="K27" s="724" t="s">
        <v>519</v>
      </c>
      <c r="M27" s="10" t="s">
        <v>569</v>
      </c>
      <c r="N27" s="5" t="s">
        <v>192</v>
      </c>
      <c r="O27" s="723" t="s">
        <v>545</v>
      </c>
      <c r="P27" s="724" t="s">
        <v>546</v>
      </c>
      <c r="Q27" s="723" t="s">
        <v>545</v>
      </c>
      <c r="R27" s="724" t="s">
        <v>546</v>
      </c>
      <c r="S27" s="723" t="s">
        <v>548</v>
      </c>
      <c r="T27" s="724" t="s">
        <v>519</v>
      </c>
      <c r="U27" s="723" t="s">
        <v>558</v>
      </c>
      <c r="V27" s="724" t="s">
        <v>519</v>
      </c>
      <c r="X27" s="31" t="s">
        <v>570</v>
      </c>
      <c r="Y27" s="5" t="s">
        <v>189</v>
      </c>
      <c r="Z27" s="730" t="s">
        <v>530</v>
      </c>
      <c r="AA27" s="731" t="s">
        <v>495</v>
      </c>
      <c r="AB27" s="730" t="s">
        <v>530</v>
      </c>
      <c r="AC27" s="731" t="s">
        <v>495</v>
      </c>
      <c r="AD27" s="730" t="s">
        <v>530</v>
      </c>
      <c r="AE27" s="731" t="s">
        <v>495</v>
      </c>
      <c r="AF27" s="730" t="s">
        <v>519</v>
      </c>
      <c r="AG27" s="731" t="s">
        <v>495</v>
      </c>
    </row>
    <row r="28" customHeight="1" spans="1:33">
      <c r="B28" s="10" t="s">
        <v>571</v>
      </c>
      <c r="C28" s="13" t="s">
        <v>191</v>
      </c>
      <c r="D28" s="723" t="s">
        <v>549</v>
      </c>
      <c r="E28" s="724"/>
      <c r="F28" s="723" t="s">
        <v>549</v>
      </c>
      <c r="G28" s="724"/>
      <c r="H28" s="723" t="s">
        <v>555</v>
      </c>
      <c r="I28" s="724"/>
      <c r="J28" s="723" t="s">
        <v>566</v>
      </c>
      <c r="K28" s="724"/>
      <c r="M28" s="10" t="s">
        <v>572</v>
      </c>
      <c r="N28" s="5" t="s">
        <v>192</v>
      </c>
      <c r="O28" s="723" t="s">
        <v>510</v>
      </c>
      <c r="P28" s="724" t="s">
        <v>469</v>
      </c>
      <c r="Q28" s="723" t="s">
        <v>510</v>
      </c>
      <c r="R28" s="724" t="s">
        <v>469</v>
      </c>
      <c r="S28" s="723" t="s">
        <v>548</v>
      </c>
      <c r="T28" s="724" t="s">
        <v>490</v>
      </c>
      <c r="U28" s="723" t="s">
        <v>548</v>
      </c>
      <c r="V28" s="724" t="s">
        <v>573</v>
      </c>
      <c r="X28" s="31" t="s">
        <v>574</v>
      </c>
      <c r="Y28" s="5" t="s">
        <v>189</v>
      </c>
      <c r="Z28" s="723" t="s">
        <v>510</v>
      </c>
      <c r="AA28" s="724" t="s">
        <v>530</v>
      </c>
      <c r="AB28" s="723" t="s">
        <v>510</v>
      </c>
      <c r="AC28" s="724" t="s">
        <v>530</v>
      </c>
      <c r="AD28" s="723" t="s">
        <v>510</v>
      </c>
      <c r="AE28" s="724" t="s">
        <v>530</v>
      </c>
      <c r="AF28" s="723" t="s">
        <v>548</v>
      </c>
      <c r="AG28" s="724" t="s">
        <v>530</v>
      </c>
    </row>
    <row r="29" customHeight="1" spans="1:33">
      <c r="B29" s="10" t="s">
        <v>575</v>
      </c>
      <c r="C29" s="13" t="s">
        <v>191</v>
      </c>
      <c r="D29" s="732" t="s">
        <v>548</v>
      </c>
      <c r="E29" s="733"/>
      <c r="F29" s="732" t="s">
        <v>548</v>
      </c>
      <c r="G29" s="733"/>
      <c r="H29" s="723" t="s">
        <v>558</v>
      </c>
      <c r="I29" s="724"/>
      <c r="J29" s="723" t="s">
        <v>576</v>
      </c>
      <c r="K29" s="724"/>
      <c r="M29" s="34" t="s">
        <v>577</v>
      </c>
      <c r="N29" s="9" t="s">
        <v>192</v>
      </c>
      <c r="O29" s="726" t="s">
        <v>545</v>
      </c>
      <c r="P29" s="727" t="s">
        <v>578</v>
      </c>
      <c r="Q29" s="726" t="s">
        <v>545</v>
      </c>
      <c r="R29" s="727" t="s">
        <v>578</v>
      </c>
      <c r="S29" s="726" t="s">
        <v>548</v>
      </c>
      <c r="T29" s="727" t="s">
        <v>497</v>
      </c>
      <c r="U29" s="726" t="s">
        <v>548</v>
      </c>
      <c r="V29" s="727" t="s">
        <v>579</v>
      </c>
      <c r="X29" s="34" t="s">
        <v>580</v>
      </c>
      <c r="Y29" s="5" t="s">
        <v>189</v>
      </c>
      <c r="Z29" s="723" t="s">
        <v>510</v>
      </c>
      <c r="AA29" s="724" t="s">
        <v>530</v>
      </c>
      <c r="AB29" s="723" t="s">
        <v>510</v>
      </c>
      <c r="AC29" s="724" t="s">
        <v>530</v>
      </c>
      <c r="AD29" s="723" t="s">
        <v>510</v>
      </c>
      <c r="AE29" s="724" t="s">
        <v>530</v>
      </c>
      <c r="AF29" s="723" t="s">
        <v>510</v>
      </c>
      <c r="AG29" s="724" t="s">
        <v>519</v>
      </c>
    </row>
    <row r="30" customHeight="1" spans="1:33">
      <c r="B30" s="10" t="s">
        <v>581</v>
      </c>
      <c r="C30" s="13" t="s">
        <v>191</v>
      </c>
      <c r="D30" s="723" t="s">
        <v>549</v>
      </c>
      <c r="E30" s="724"/>
      <c r="F30" s="723" t="s">
        <v>555</v>
      </c>
      <c r="G30" s="724"/>
      <c r="H30" s="723" t="s">
        <v>555</v>
      </c>
      <c r="I30" s="724"/>
      <c r="J30" s="723" t="s">
        <v>566</v>
      </c>
      <c r="K30" s="724"/>
      <c r="M30" s="34" t="s">
        <v>582</v>
      </c>
      <c r="N30" s="9" t="s">
        <v>192</v>
      </c>
      <c r="O30" s="726" t="s">
        <v>545</v>
      </c>
      <c r="P30" s="727" t="s">
        <v>578</v>
      </c>
      <c r="Q30" s="726" t="s">
        <v>545</v>
      </c>
      <c r="R30" s="727" t="s">
        <v>578</v>
      </c>
      <c r="S30" s="726" t="s">
        <v>548</v>
      </c>
      <c r="T30" s="727" t="s">
        <v>497</v>
      </c>
      <c r="U30" s="726" t="s">
        <v>558</v>
      </c>
      <c r="V30" s="727" t="s">
        <v>497</v>
      </c>
      <c r="X30" s="34" t="s">
        <v>583</v>
      </c>
      <c r="Y30" s="5" t="s">
        <v>189</v>
      </c>
      <c r="Z30" s="723" t="s">
        <v>510</v>
      </c>
      <c r="AA30" s="724" t="s">
        <v>540</v>
      </c>
      <c r="AB30" s="723" t="s">
        <v>510</v>
      </c>
      <c r="AC30" s="724" t="s">
        <v>540</v>
      </c>
      <c r="AD30" s="723" t="s">
        <v>548</v>
      </c>
      <c r="AE30" s="724" t="s">
        <v>540</v>
      </c>
      <c r="AF30" s="723" t="s">
        <v>558</v>
      </c>
      <c r="AG30" s="724" t="s">
        <v>540</v>
      </c>
    </row>
    <row r="31" customHeight="1" spans="1:33">
      <c r="B31" s="31" t="s">
        <v>584</v>
      </c>
      <c r="C31" s="13" t="s">
        <v>191</v>
      </c>
      <c r="D31" s="734" t="s">
        <v>563</v>
      </c>
      <c r="E31" s="735" t="s">
        <v>585</v>
      </c>
      <c r="F31" s="734" t="s">
        <v>548</v>
      </c>
      <c r="G31" s="735" t="s">
        <v>586</v>
      </c>
      <c r="H31" s="734" t="s">
        <v>548</v>
      </c>
      <c r="I31" s="735" t="s">
        <v>586</v>
      </c>
      <c r="J31" s="734" t="s">
        <v>558</v>
      </c>
      <c r="K31" s="735" t="s">
        <v>519</v>
      </c>
      <c r="M31" s="34" t="s">
        <v>587</v>
      </c>
      <c r="N31" s="9" t="s">
        <v>192</v>
      </c>
      <c r="O31" s="726" t="s">
        <v>546</v>
      </c>
      <c r="P31" s="727" t="s">
        <v>578</v>
      </c>
      <c r="Q31" s="726" t="s">
        <v>546</v>
      </c>
      <c r="R31" s="727" t="s">
        <v>578</v>
      </c>
      <c r="S31" s="726" t="s">
        <v>519</v>
      </c>
      <c r="T31" s="727" t="s">
        <v>497</v>
      </c>
      <c r="U31" s="726" t="s">
        <v>549</v>
      </c>
      <c r="V31" s="727" t="s">
        <v>497</v>
      </c>
      <c r="X31" s="34" t="s">
        <v>588</v>
      </c>
      <c r="Y31" s="5" t="s">
        <v>189</v>
      </c>
      <c r="Z31" s="730" t="s">
        <v>530</v>
      </c>
      <c r="AA31" s="731"/>
      <c r="AB31" s="730" t="s">
        <v>519</v>
      </c>
      <c r="AC31" s="731"/>
      <c r="AD31" s="730" t="s">
        <v>519</v>
      </c>
      <c r="AE31" s="731" t="s">
        <v>495</v>
      </c>
      <c r="AF31" s="730" t="s">
        <v>519</v>
      </c>
      <c r="AG31" s="731" t="s">
        <v>589</v>
      </c>
    </row>
    <row r="32" customHeight="1" spans="1:33">
      <c r="B32" s="31" t="s">
        <v>590</v>
      </c>
      <c r="C32" s="13" t="s">
        <v>191</v>
      </c>
      <c r="D32" s="734" t="s">
        <v>545</v>
      </c>
      <c r="E32" s="735" t="s">
        <v>480</v>
      </c>
      <c r="F32" s="734" t="s">
        <v>479</v>
      </c>
      <c r="G32" s="735" t="s">
        <v>519</v>
      </c>
      <c r="H32" s="734" t="s">
        <v>479</v>
      </c>
      <c r="I32" s="735" t="s">
        <v>519</v>
      </c>
      <c r="J32" s="734" t="s">
        <v>548</v>
      </c>
      <c r="K32" s="735" t="s">
        <v>549</v>
      </c>
      <c r="M32" s="34" t="s">
        <v>591</v>
      </c>
      <c r="N32" s="9" t="s">
        <v>192</v>
      </c>
      <c r="O32" s="726" t="s">
        <v>522</v>
      </c>
      <c r="P32" s="727" t="s">
        <v>493</v>
      </c>
      <c r="Q32" s="726" t="s">
        <v>522</v>
      </c>
      <c r="R32" s="727" t="s">
        <v>497</v>
      </c>
      <c r="S32" s="726" t="s">
        <v>526</v>
      </c>
      <c r="T32" s="727" t="s">
        <v>497</v>
      </c>
      <c r="U32" s="726" t="s">
        <v>564</v>
      </c>
      <c r="V32" s="727" t="s">
        <v>497</v>
      </c>
      <c r="X32" s="34" t="s">
        <v>592</v>
      </c>
      <c r="Y32" s="5" t="s">
        <v>189</v>
      </c>
      <c r="Z32" s="730"/>
      <c r="AA32" s="731" t="s">
        <v>589</v>
      </c>
      <c r="AB32" s="730" t="s">
        <v>510</v>
      </c>
      <c r="AC32" s="731" t="s">
        <v>589</v>
      </c>
      <c r="AD32" s="730" t="s">
        <v>548</v>
      </c>
      <c r="AE32" s="731" t="s">
        <v>589</v>
      </c>
      <c r="AF32" s="730" t="s">
        <v>548</v>
      </c>
      <c r="AG32" s="731" t="s">
        <v>593</v>
      </c>
    </row>
    <row r="33" customHeight="1" spans="2:33">
      <c r="B33" s="34" t="s">
        <v>594</v>
      </c>
      <c r="C33" s="37" t="s">
        <v>191</v>
      </c>
      <c r="D33" s="736" t="s">
        <v>595</v>
      </c>
      <c r="E33" s="737" t="s">
        <v>530</v>
      </c>
      <c r="F33" s="736" t="s">
        <v>596</v>
      </c>
      <c r="G33" s="737" t="s">
        <v>546</v>
      </c>
      <c r="H33" s="736" t="s">
        <v>596</v>
      </c>
      <c r="I33" s="737" t="s">
        <v>546</v>
      </c>
      <c r="J33" s="736" t="s">
        <v>597</v>
      </c>
      <c r="K33" s="737" t="s">
        <v>480</v>
      </c>
      <c r="M33" s="34" t="s">
        <v>598</v>
      </c>
      <c r="N33" s="9" t="s">
        <v>192</v>
      </c>
      <c r="O33" s="726" t="s">
        <v>545</v>
      </c>
      <c r="P33" s="727" t="s">
        <v>599</v>
      </c>
      <c r="Q33" s="726" t="s">
        <v>479</v>
      </c>
      <c r="R33" s="727" t="s">
        <v>600</v>
      </c>
      <c r="S33" s="726" t="s">
        <v>548</v>
      </c>
      <c r="T33" s="727" t="s">
        <v>589</v>
      </c>
      <c r="U33" s="726" t="s">
        <v>548</v>
      </c>
      <c r="V33" s="727" t="s">
        <v>593</v>
      </c>
      <c r="X33" s="34" t="s">
        <v>601</v>
      </c>
      <c r="Y33" s="5" t="s">
        <v>189</v>
      </c>
      <c r="Z33" s="730"/>
      <c r="AA33" s="731" t="s">
        <v>589</v>
      </c>
      <c r="AB33" s="730" t="s">
        <v>530</v>
      </c>
      <c r="AC33" s="731" t="s">
        <v>589</v>
      </c>
      <c r="AD33" s="730" t="s">
        <v>519</v>
      </c>
      <c r="AE33" s="731" t="s">
        <v>589</v>
      </c>
      <c r="AF33" s="730" t="s">
        <v>519</v>
      </c>
      <c r="AG33" s="731" t="s">
        <v>593</v>
      </c>
    </row>
    <row r="34" customHeight="1" spans="2:33">
      <c r="B34" s="34" t="s">
        <v>602</v>
      </c>
      <c r="C34" s="37" t="s">
        <v>191</v>
      </c>
      <c r="D34" s="736" t="s">
        <v>510</v>
      </c>
      <c r="E34" s="737" t="s">
        <v>519</v>
      </c>
      <c r="F34" s="736" t="s">
        <v>548</v>
      </c>
      <c r="G34" s="737" t="s">
        <v>519</v>
      </c>
      <c r="H34" s="736" t="s">
        <v>548</v>
      </c>
      <c r="I34" s="737" t="s">
        <v>519</v>
      </c>
      <c r="J34" s="736" t="s">
        <v>548</v>
      </c>
      <c r="K34" s="737" t="s">
        <v>549</v>
      </c>
      <c r="M34" s="34" t="s">
        <v>603</v>
      </c>
      <c r="N34" s="9" t="s">
        <v>192</v>
      </c>
      <c r="O34" s="726" t="s">
        <v>522</v>
      </c>
      <c r="P34" s="727" t="s">
        <v>493</v>
      </c>
      <c r="Q34" s="726" t="s">
        <v>522</v>
      </c>
      <c r="R34" s="727" t="s">
        <v>497</v>
      </c>
      <c r="S34" s="726" t="s">
        <v>526</v>
      </c>
      <c r="T34" s="727" t="s">
        <v>497</v>
      </c>
      <c r="U34" s="726" t="s">
        <v>564</v>
      </c>
      <c r="V34" s="727" t="s">
        <v>497</v>
      </c>
      <c r="X34" s="34" t="s">
        <v>604</v>
      </c>
      <c r="Y34" s="5" t="s">
        <v>189</v>
      </c>
      <c r="Z34" s="732" t="s">
        <v>530</v>
      </c>
      <c r="AA34" s="733" t="s">
        <v>493</v>
      </c>
      <c r="AB34" s="732" t="s">
        <v>519</v>
      </c>
      <c r="AC34" s="733" t="s">
        <v>493</v>
      </c>
      <c r="AD34" s="732" t="s">
        <v>519</v>
      </c>
      <c r="AE34" s="733" t="s">
        <v>497</v>
      </c>
      <c r="AF34" s="732" t="s">
        <v>549</v>
      </c>
      <c r="AG34" s="733" t="s">
        <v>497</v>
      </c>
    </row>
    <row r="35" customHeight="1" spans="2:33">
      <c r="B35" s="34" t="s">
        <v>605</v>
      </c>
      <c r="C35" s="37" t="s">
        <v>191</v>
      </c>
      <c r="D35" s="726" t="s">
        <v>549</v>
      </c>
      <c r="E35" s="727"/>
      <c r="F35" s="726" t="s">
        <v>555</v>
      </c>
      <c r="G35" s="727"/>
      <c r="H35" s="726" t="s">
        <v>555</v>
      </c>
      <c r="I35" s="727"/>
      <c r="J35" s="726" t="s">
        <v>566</v>
      </c>
      <c r="K35" s="727"/>
      <c r="M35" s="34" t="s">
        <v>606</v>
      </c>
      <c r="N35" s="9" t="s">
        <v>192</v>
      </c>
      <c r="O35" s="726" t="s">
        <v>519</v>
      </c>
      <c r="P35" s="727" t="s">
        <v>526</v>
      </c>
      <c r="Q35" s="726" t="s">
        <v>519</v>
      </c>
      <c r="R35" s="727" t="s">
        <v>564</v>
      </c>
      <c r="S35" s="726" t="s">
        <v>519</v>
      </c>
      <c r="T35" s="727" t="s">
        <v>564</v>
      </c>
      <c r="U35" s="726" t="s">
        <v>549</v>
      </c>
      <c r="V35" s="727" t="s">
        <v>564</v>
      </c>
      <c r="X35" s="34" t="s">
        <v>607</v>
      </c>
      <c r="Y35" s="5" t="s">
        <v>189</v>
      </c>
      <c r="Z35" s="732" t="s">
        <v>497</v>
      </c>
      <c r="AA35" s="733" t="s">
        <v>490</v>
      </c>
      <c r="AB35" s="732" t="s">
        <v>497</v>
      </c>
      <c r="AC35" s="733" t="s">
        <v>573</v>
      </c>
      <c r="AD35" s="732" t="s">
        <v>497</v>
      </c>
      <c r="AE35" s="733" t="s">
        <v>573</v>
      </c>
      <c r="AF35" s="732" t="s">
        <v>579</v>
      </c>
      <c r="AG35" s="733" t="s">
        <v>573</v>
      </c>
    </row>
    <row r="36" customHeight="1" spans="2:33">
      <c r="B36" s="34" t="s">
        <v>608</v>
      </c>
      <c r="C36" s="37" t="s">
        <v>191</v>
      </c>
      <c r="D36" s="726" t="s">
        <v>549</v>
      </c>
      <c r="E36" s="727"/>
      <c r="F36" s="726" t="s">
        <v>555</v>
      </c>
      <c r="G36" s="727"/>
      <c r="H36" s="726" t="s">
        <v>555</v>
      </c>
      <c r="I36" s="727"/>
      <c r="J36" s="726" t="s">
        <v>566</v>
      </c>
      <c r="K36" s="727"/>
      <c r="M36" s="34" t="s">
        <v>609</v>
      </c>
      <c r="N36" s="9" t="s">
        <v>192</v>
      </c>
      <c r="O36" s="726" t="s">
        <v>545</v>
      </c>
      <c r="P36" s="727" t="s">
        <v>610</v>
      </c>
      <c r="Q36" s="726" t="s">
        <v>479</v>
      </c>
      <c r="R36" s="727" t="s">
        <v>489</v>
      </c>
      <c r="S36" s="726" t="s">
        <v>548</v>
      </c>
      <c r="T36" s="727" t="s">
        <v>490</v>
      </c>
      <c r="U36" s="726" t="s">
        <v>548</v>
      </c>
      <c r="V36" s="727" t="s">
        <v>573</v>
      </c>
      <c r="X36" s="34" t="s">
        <v>611</v>
      </c>
      <c r="Y36" s="5" t="s">
        <v>189</v>
      </c>
      <c r="Z36" s="732" t="s">
        <v>530</v>
      </c>
      <c r="AA36" s="733" t="s">
        <v>504</v>
      </c>
      <c r="AB36" s="732" t="s">
        <v>530</v>
      </c>
      <c r="AC36" s="733" t="s">
        <v>612</v>
      </c>
      <c r="AD36" s="732" t="s">
        <v>519</v>
      </c>
      <c r="AE36" s="733" t="s">
        <v>612</v>
      </c>
      <c r="AF36" s="732" t="s">
        <v>549</v>
      </c>
      <c r="AG36" s="733" t="s">
        <v>612</v>
      </c>
    </row>
    <row r="37" customHeight="1" spans="2:33">
      <c r="B37" s="34" t="s">
        <v>613</v>
      </c>
      <c r="C37" s="39" t="s">
        <v>191</v>
      </c>
      <c r="D37" s="726" t="s">
        <v>469</v>
      </c>
      <c r="E37" s="727" t="s">
        <v>522</v>
      </c>
      <c r="F37" s="726" t="s">
        <v>469</v>
      </c>
      <c r="G37" s="727" t="s">
        <v>522</v>
      </c>
      <c r="H37" s="726" t="s">
        <v>469</v>
      </c>
      <c r="I37" s="727" t="s">
        <v>522</v>
      </c>
      <c r="J37" s="726" t="s">
        <v>469</v>
      </c>
      <c r="K37" s="727" t="s">
        <v>526</v>
      </c>
      <c r="M37" s="34" t="s">
        <v>614</v>
      </c>
      <c r="N37" s="9" t="s">
        <v>192</v>
      </c>
      <c r="O37" s="726" t="s">
        <v>558</v>
      </c>
      <c r="P37" s="727" t="s">
        <v>522</v>
      </c>
      <c r="Q37" s="726" t="s">
        <v>558</v>
      </c>
      <c r="R37" s="727" t="s">
        <v>526</v>
      </c>
      <c r="S37" s="726" t="s">
        <v>576</v>
      </c>
      <c r="T37" s="727" t="s">
        <v>526</v>
      </c>
      <c r="U37" s="726" t="s">
        <v>615</v>
      </c>
      <c r="V37" s="727" t="s">
        <v>564</v>
      </c>
      <c r="X37" s="7" t="s">
        <v>616</v>
      </c>
      <c r="Y37" s="5" t="s">
        <v>189</v>
      </c>
      <c r="Z37" s="723" t="s">
        <v>576</v>
      </c>
      <c r="AA37" s="724" t="s">
        <v>469</v>
      </c>
      <c r="AB37" s="723" t="s">
        <v>576</v>
      </c>
      <c r="AC37" s="724" t="s">
        <v>490</v>
      </c>
      <c r="AD37" s="723" t="s">
        <v>615</v>
      </c>
      <c r="AE37" s="724" t="s">
        <v>490</v>
      </c>
      <c r="AF37" s="723" t="s">
        <v>617</v>
      </c>
      <c r="AG37" s="724" t="s">
        <v>573</v>
      </c>
    </row>
    <row r="38" customHeight="1" spans="2:33">
      <c r="B38" s="34" t="s">
        <v>618</v>
      </c>
      <c r="C38" s="37" t="s">
        <v>191</v>
      </c>
      <c r="D38" s="726" t="s">
        <v>530</v>
      </c>
      <c r="E38" s="727" t="s">
        <v>493</v>
      </c>
      <c r="F38" s="726" t="s">
        <v>530</v>
      </c>
      <c r="G38" s="727" t="s">
        <v>493</v>
      </c>
      <c r="H38" s="726" t="s">
        <v>530</v>
      </c>
      <c r="I38" s="727" t="s">
        <v>493</v>
      </c>
      <c r="J38" s="726" t="s">
        <v>530</v>
      </c>
      <c r="K38" s="727" t="s">
        <v>497</v>
      </c>
      <c r="M38" s="34" t="s">
        <v>619</v>
      </c>
      <c r="N38" s="9" t="s">
        <v>192</v>
      </c>
      <c r="O38" s="726" t="s">
        <v>519</v>
      </c>
      <c r="P38" s="727" t="s">
        <v>589</v>
      </c>
      <c r="Q38" s="726" t="s">
        <v>519</v>
      </c>
      <c r="R38" s="727" t="s">
        <v>593</v>
      </c>
      <c r="S38" s="726" t="s">
        <v>519</v>
      </c>
      <c r="T38" s="727" t="s">
        <v>593</v>
      </c>
      <c r="U38" s="726" t="s">
        <v>549</v>
      </c>
      <c r="V38" s="727" t="s">
        <v>593</v>
      </c>
      <c r="X38" s="7" t="s">
        <v>620</v>
      </c>
      <c r="Y38" s="5" t="s">
        <v>189</v>
      </c>
      <c r="Z38" s="723" t="s">
        <v>526</v>
      </c>
      <c r="AA38" s="724" t="s">
        <v>497</v>
      </c>
      <c r="AB38" s="723" t="s">
        <v>526</v>
      </c>
      <c r="AC38" s="724" t="s">
        <v>579</v>
      </c>
      <c r="AD38" s="723" t="s">
        <v>526</v>
      </c>
      <c r="AE38" s="724" t="s">
        <v>579</v>
      </c>
      <c r="AF38" s="723" t="s">
        <v>564</v>
      </c>
      <c r="AG38" s="724" t="s">
        <v>579</v>
      </c>
    </row>
    <row r="39" customHeight="1" spans="2:33">
      <c r="B39" s="34" t="s">
        <v>621</v>
      </c>
      <c r="C39" s="37" t="s">
        <v>191</v>
      </c>
      <c r="D39" s="726" t="s">
        <v>519</v>
      </c>
      <c r="E39" s="727" t="s">
        <v>493</v>
      </c>
      <c r="F39" s="726" t="s">
        <v>519</v>
      </c>
      <c r="G39" s="727" t="s">
        <v>497</v>
      </c>
      <c r="H39" s="726" t="s">
        <v>519</v>
      </c>
      <c r="I39" s="727" t="s">
        <v>497</v>
      </c>
      <c r="J39" s="726" t="s">
        <v>549</v>
      </c>
      <c r="K39" s="727" t="s">
        <v>497</v>
      </c>
      <c r="M39" s="34" t="s">
        <v>622</v>
      </c>
      <c r="N39" s="9" t="s">
        <v>192</v>
      </c>
      <c r="O39" s="726" t="s">
        <v>504</v>
      </c>
      <c r="P39" s="727" t="s">
        <v>493</v>
      </c>
      <c r="Q39" s="726" t="s">
        <v>504</v>
      </c>
      <c r="R39" s="727" t="s">
        <v>497</v>
      </c>
      <c r="S39" s="726" t="s">
        <v>612</v>
      </c>
      <c r="T39" s="727" t="s">
        <v>497</v>
      </c>
      <c r="U39" s="726" t="s">
        <v>623</v>
      </c>
      <c r="V39" s="727" t="s">
        <v>497</v>
      </c>
      <c r="X39" s="7" t="s">
        <v>624</v>
      </c>
      <c r="Y39" s="5" t="s">
        <v>189</v>
      </c>
      <c r="Z39" s="738" t="s">
        <v>519</v>
      </c>
      <c r="AA39" s="724" t="s">
        <v>625</v>
      </c>
      <c r="AB39" s="738" t="s">
        <v>555</v>
      </c>
      <c r="AC39" s="724" t="s">
        <v>508</v>
      </c>
      <c r="AD39" s="738" t="s">
        <v>566</v>
      </c>
      <c r="AE39" s="724" t="s">
        <v>508</v>
      </c>
      <c r="AF39" s="723" t="s">
        <v>626</v>
      </c>
      <c r="AG39" s="724" t="s">
        <v>627</v>
      </c>
    </row>
    <row r="40" customHeight="1" spans="2:33">
      <c r="B40" s="34" t="s">
        <v>628</v>
      </c>
      <c r="C40" s="37" t="s">
        <v>191</v>
      </c>
      <c r="D40" s="726" t="s">
        <v>519</v>
      </c>
      <c r="E40" s="727" t="s">
        <v>495</v>
      </c>
      <c r="F40" s="726" t="s">
        <v>519</v>
      </c>
      <c r="G40" s="727" t="s">
        <v>589</v>
      </c>
      <c r="H40" s="726" t="s">
        <v>519</v>
      </c>
      <c r="I40" s="727" t="s">
        <v>589</v>
      </c>
      <c r="J40" s="726" t="s">
        <v>549</v>
      </c>
      <c r="K40" s="727" t="s">
        <v>589</v>
      </c>
      <c r="M40" s="34" t="s">
        <v>629</v>
      </c>
      <c r="N40" s="9" t="s">
        <v>192</v>
      </c>
      <c r="O40" s="726" t="s">
        <v>578</v>
      </c>
      <c r="P40" s="727" t="s">
        <v>469</v>
      </c>
      <c r="Q40" s="726" t="s">
        <v>630</v>
      </c>
      <c r="R40" s="727" t="s">
        <v>489</v>
      </c>
      <c r="S40" s="726" t="s">
        <v>497</v>
      </c>
      <c r="T40" s="727" t="s">
        <v>490</v>
      </c>
      <c r="U40" s="726" t="s">
        <v>579</v>
      </c>
      <c r="V40" s="727" t="s">
        <v>490</v>
      </c>
      <c r="X40" s="7" t="s">
        <v>631</v>
      </c>
      <c r="Y40" s="5" t="s">
        <v>189</v>
      </c>
      <c r="Z40" s="730" t="s">
        <v>530</v>
      </c>
      <c r="AA40" s="731" t="s">
        <v>522</v>
      </c>
      <c r="AB40" s="730" t="s">
        <v>530</v>
      </c>
      <c r="AC40" s="731" t="s">
        <v>526</v>
      </c>
      <c r="AD40" s="730" t="s">
        <v>519</v>
      </c>
      <c r="AE40" s="731" t="s">
        <v>526</v>
      </c>
      <c r="AF40" s="730" t="s">
        <v>549</v>
      </c>
      <c r="AG40" s="731" t="s">
        <v>526</v>
      </c>
    </row>
    <row r="41" customHeight="1" spans="2:33">
      <c r="B41" s="34" t="s">
        <v>632</v>
      </c>
      <c r="C41" s="37" t="s">
        <v>191</v>
      </c>
      <c r="D41" s="726" t="s">
        <v>519</v>
      </c>
      <c r="E41" s="727" t="s">
        <v>493</v>
      </c>
      <c r="F41" s="726" t="s">
        <v>519</v>
      </c>
      <c r="G41" s="727" t="s">
        <v>497</v>
      </c>
      <c r="H41" s="726" t="s">
        <v>519</v>
      </c>
      <c r="I41" s="727" t="s">
        <v>497</v>
      </c>
      <c r="J41" s="726" t="s">
        <v>549</v>
      </c>
      <c r="K41" s="727" t="s">
        <v>497</v>
      </c>
      <c r="M41" s="34" t="s">
        <v>633</v>
      </c>
      <c r="N41" s="9" t="s">
        <v>192</v>
      </c>
      <c r="O41" s="726"/>
      <c r="P41" s="727"/>
      <c r="Q41" s="726"/>
      <c r="R41" s="727"/>
      <c r="S41" s="726"/>
      <c r="T41" s="727"/>
      <c r="U41" s="726"/>
      <c r="V41" s="727"/>
      <c r="X41" s="7" t="s">
        <v>634</v>
      </c>
      <c r="Y41" s="5" t="s">
        <v>189</v>
      </c>
      <c r="Z41" s="723" t="s">
        <v>510</v>
      </c>
      <c r="AA41" s="731" t="s">
        <v>495</v>
      </c>
      <c r="AB41" s="730" t="s">
        <v>510</v>
      </c>
      <c r="AC41" s="731" t="s">
        <v>589</v>
      </c>
      <c r="AD41" s="730" t="s">
        <v>548</v>
      </c>
      <c r="AE41" s="731" t="s">
        <v>589</v>
      </c>
      <c r="AF41" s="730" t="s">
        <v>548</v>
      </c>
      <c r="AG41" s="731" t="s">
        <v>593</v>
      </c>
    </row>
    <row r="42" customHeight="1" spans="2:33">
      <c r="B42" s="34" t="s">
        <v>635</v>
      </c>
      <c r="C42" s="37" t="s">
        <v>191</v>
      </c>
      <c r="D42" s="726" t="s">
        <v>519</v>
      </c>
      <c r="E42" s="727" t="s">
        <v>495</v>
      </c>
      <c r="F42" s="726" t="s">
        <v>519</v>
      </c>
      <c r="G42" s="727" t="s">
        <v>589</v>
      </c>
      <c r="H42" s="726" t="s">
        <v>519</v>
      </c>
      <c r="I42" s="727" t="s">
        <v>589</v>
      </c>
      <c r="J42" s="726" t="s">
        <v>549</v>
      </c>
      <c r="K42" s="727" t="s">
        <v>589</v>
      </c>
      <c r="M42" s="34"/>
      <c r="N42" s="9" t="s">
        <v>192</v>
      </c>
      <c r="O42" s="726"/>
      <c r="P42" s="727"/>
      <c r="Q42" s="726"/>
      <c r="R42" s="727"/>
      <c r="S42" s="726"/>
      <c r="T42" s="727"/>
      <c r="U42" s="726"/>
      <c r="V42" s="727"/>
      <c r="X42" s="7"/>
      <c r="Y42" s="5" t="s">
        <v>189</v>
      </c>
      <c r="Z42" s="738"/>
      <c r="AA42" s="724"/>
      <c r="AB42" s="730"/>
      <c r="AC42" s="731"/>
      <c r="AD42" s="723"/>
      <c r="AE42" s="724"/>
      <c r="AF42" s="723"/>
      <c r="AG42" s="724"/>
    </row>
    <row r="43" customHeight="1" spans="2:33">
      <c r="B43" s="34" t="s">
        <v>636</v>
      </c>
      <c r="C43" s="37" t="s">
        <v>191</v>
      </c>
      <c r="D43" s="726" t="s">
        <v>548</v>
      </c>
      <c r="E43" s="727" t="s">
        <v>469</v>
      </c>
      <c r="F43" s="726" t="s">
        <v>548</v>
      </c>
      <c r="G43" s="727" t="s">
        <v>490</v>
      </c>
      <c r="H43" s="726" t="s">
        <v>548</v>
      </c>
      <c r="I43" s="727" t="s">
        <v>490</v>
      </c>
      <c r="J43" s="726" t="s">
        <v>558</v>
      </c>
      <c r="K43" s="727" t="s">
        <v>490</v>
      </c>
      <c r="M43" s="34"/>
      <c r="N43" s="9" t="s">
        <v>192</v>
      </c>
      <c r="O43" s="726"/>
      <c r="P43" s="727"/>
      <c r="Q43" s="726"/>
      <c r="R43" s="727"/>
      <c r="S43" s="726"/>
      <c r="T43" s="727"/>
      <c r="U43" s="726"/>
      <c r="V43" s="727"/>
      <c r="X43" s="7"/>
      <c r="Y43" s="5" t="s">
        <v>189</v>
      </c>
      <c r="Z43" s="738"/>
      <c r="AA43" s="724"/>
      <c r="AB43" s="730"/>
      <c r="AC43" s="731"/>
      <c r="AD43" s="723"/>
      <c r="AE43" s="724"/>
      <c r="AF43" s="723"/>
      <c r="AG43" s="724"/>
    </row>
    <row r="44" customHeight="1" spans="2:33">
      <c r="B44" s="34" t="s">
        <v>637</v>
      </c>
      <c r="C44" s="37" t="s">
        <v>191</v>
      </c>
      <c r="D44" s="726" t="s">
        <v>530</v>
      </c>
      <c r="E44" s="727" t="s">
        <v>497</v>
      </c>
      <c r="F44" s="726" t="s">
        <v>519</v>
      </c>
      <c r="G44" s="727" t="s">
        <v>497</v>
      </c>
      <c r="H44" s="726" t="s">
        <v>519</v>
      </c>
      <c r="I44" s="727" t="s">
        <v>497</v>
      </c>
      <c r="J44" s="726" t="s">
        <v>519</v>
      </c>
      <c r="K44" s="727" t="s">
        <v>579</v>
      </c>
      <c r="X44" s="7"/>
      <c r="Y44" s="5" t="s">
        <v>189</v>
      </c>
      <c r="Z44" s="738"/>
      <c r="AA44" s="724"/>
      <c r="AB44" s="730"/>
      <c r="AC44" s="731"/>
      <c r="AD44" s="723"/>
      <c r="AE44" s="724"/>
      <c r="AF44" s="723"/>
      <c r="AG44" s="724"/>
    </row>
    <row r="45" customHeight="1" spans="2:33">
      <c r="B45" s="34" t="s">
        <v>638</v>
      </c>
      <c r="C45" s="37" t="s">
        <v>191</v>
      </c>
      <c r="D45" s="726" t="s">
        <v>548</v>
      </c>
      <c r="E45" s="727"/>
      <c r="F45" s="726" t="s">
        <v>548</v>
      </c>
      <c r="G45" s="727" t="s">
        <v>469</v>
      </c>
      <c r="H45" s="726" t="s">
        <v>548</v>
      </c>
      <c r="I45" s="727" t="s">
        <v>490</v>
      </c>
      <c r="J45" s="726" t="s">
        <v>558</v>
      </c>
      <c r="K45" s="727" t="s">
        <v>490</v>
      </c>
    </row>
    <row r="46" customHeight="1" spans="2:33">
      <c r="B46" s="34" t="s">
        <v>639</v>
      </c>
      <c r="C46" s="37" t="s">
        <v>191</v>
      </c>
      <c r="D46" s="726" t="s">
        <v>548</v>
      </c>
      <c r="E46" s="727" t="s">
        <v>522</v>
      </c>
      <c r="F46" s="726" t="s">
        <v>548</v>
      </c>
      <c r="G46" s="727" t="s">
        <v>526</v>
      </c>
      <c r="H46" s="726" t="s">
        <v>548</v>
      </c>
      <c r="I46" s="727" t="s">
        <v>526</v>
      </c>
      <c r="J46" s="726" t="s">
        <v>558</v>
      </c>
      <c r="K46" s="727" t="s">
        <v>526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customHeight="1" spans="2:33">
      <c r="B47" s="34" t="s">
        <v>640</v>
      </c>
      <c r="C47" s="37" t="s">
        <v>191</v>
      </c>
      <c r="D47" s="726" t="s">
        <v>540</v>
      </c>
      <c r="E47" s="727" t="s">
        <v>497</v>
      </c>
      <c r="F47" s="726" t="s">
        <v>641</v>
      </c>
      <c r="G47" s="727" t="s">
        <v>497</v>
      </c>
      <c r="H47" s="726" t="s">
        <v>641</v>
      </c>
      <c r="I47" s="727" t="s">
        <v>497</v>
      </c>
      <c r="J47" s="726" t="s">
        <v>641</v>
      </c>
      <c r="K47" s="727" t="s">
        <v>579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customHeight="1" spans="2:33">
      <c r="B48" s="34" t="s">
        <v>642</v>
      </c>
      <c r="C48" s="37" t="s">
        <v>191</v>
      </c>
      <c r="D48" s="726" t="s">
        <v>519</v>
      </c>
      <c r="E48" s="727"/>
      <c r="F48" s="726" t="s">
        <v>519</v>
      </c>
      <c r="G48" s="727" t="s">
        <v>469</v>
      </c>
      <c r="H48" s="726" t="s">
        <v>519</v>
      </c>
      <c r="I48" s="727" t="s">
        <v>490</v>
      </c>
      <c r="J48" s="726" t="s">
        <v>549</v>
      </c>
      <c r="K48" s="727" t="s">
        <v>490</v>
      </c>
      <c r="V48" s="14"/>
      <c r="W48" s="739"/>
      <c r="X48" s="14"/>
      <c r="Y48" s="739"/>
      <c r="Z48" s="739"/>
      <c r="AA48" s="739"/>
      <c r="AB48" s="739"/>
      <c r="AC48" s="739"/>
      <c r="AD48" s="739"/>
      <c r="AE48" s="14"/>
      <c r="AF48" s="14"/>
      <c r="AG48" s="14"/>
    </row>
    <row r="49" customHeight="1" spans="2:33">
      <c r="B49" s="34" t="s">
        <v>643</v>
      </c>
      <c r="C49" s="37" t="s">
        <v>191</v>
      </c>
      <c r="D49" s="726" t="s">
        <v>612</v>
      </c>
      <c r="E49" s="727" t="s">
        <v>469</v>
      </c>
      <c r="F49" s="726" t="s">
        <v>612</v>
      </c>
      <c r="G49" s="727" t="s">
        <v>490</v>
      </c>
      <c r="H49" s="726" t="s">
        <v>612</v>
      </c>
      <c r="I49" s="727" t="s">
        <v>490</v>
      </c>
      <c r="J49" s="726" t="s">
        <v>623</v>
      </c>
      <c r="K49" s="727" t="s">
        <v>490</v>
      </c>
      <c r="V49" s="14"/>
      <c r="W49" s="14"/>
      <c r="X49" s="14"/>
      <c r="Y49" s="21"/>
      <c r="Z49" s="14"/>
      <c r="AA49" s="14"/>
      <c r="AB49" s="14"/>
      <c r="AC49" s="14"/>
      <c r="AD49" s="14"/>
      <c r="AE49" s="14"/>
      <c r="AF49" s="14"/>
      <c r="AG49" s="14"/>
    </row>
    <row r="50" customHeight="1" spans="2:33">
      <c r="B50" s="34" t="s">
        <v>644</v>
      </c>
      <c r="C50" s="37" t="s">
        <v>191</v>
      </c>
      <c r="D50" s="726" t="s">
        <v>548</v>
      </c>
      <c r="E50" s="727" t="s">
        <v>612</v>
      </c>
      <c r="F50" s="726" t="s">
        <v>548</v>
      </c>
      <c r="G50" s="727" t="s">
        <v>623</v>
      </c>
      <c r="H50" s="726" t="s">
        <v>548</v>
      </c>
      <c r="I50" s="727" t="s">
        <v>623</v>
      </c>
      <c r="J50" s="726" t="s">
        <v>558</v>
      </c>
      <c r="K50" s="727" t="s">
        <v>623</v>
      </c>
      <c r="V50" s="14"/>
      <c r="W50" s="14"/>
      <c r="X50" s="14"/>
      <c r="Y50" s="14"/>
      <c r="Z50" s="739"/>
      <c r="AA50" s="739"/>
      <c r="AB50" s="739"/>
      <c r="AC50" s="739"/>
      <c r="AD50" s="739"/>
      <c r="AE50" s="739"/>
      <c r="AF50" s="739"/>
      <c r="AG50" s="739"/>
    </row>
    <row r="51" customHeight="1" spans="2:33">
      <c r="B51" s="34" t="s">
        <v>645</v>
      </c>
      <c r="C51" s="37" t="s">
        <v>191</v>
      </c>
      <c r="D51" s="726" t="s">
        <v>504</v>
      </c>
      <c r="E51" s="727" t="s">
        <v>589</v>
      </c>
      <c r="F51" s="726" t="s">
        <v>612</v>
      </c>
      <c r="G51" s="727" t="s">
        <v>589</v>
      </c>
      <c r="H51" s="726" t="s">
        <v>612</v>
      </c>
      <c r="I51" s="727" t="s">
        <v>589</v>
      </c>
      <c r="J51" s="726" t="s">
        <v>623</v>
      </c>
      <c r="K51" s="727" t="s">
        <v>589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customHeight="1" spans="2:33">
      <c r="B52" s="34" t="s">
        <v>646</v>
      </c>
      <c r="C52" s="37" t="s">
        <v>191</v>
      </c>
      <c r="D52" s="726" t="s">
        <v>522</v>
      </c>
      <c r="E52" s="727" t="s">
        <v>469</v>
      </c>
      <c r="F52" s="726" t="s">
        <v>526</v>
      </c>
      <c r="G52" s="727" t="s">
        <v>469</v>
      </c>
      <c r="H52" s="726" t="s">
        <v>526</v>
      </c>
      <c r="I52" s="727" t="s">
        <v>490</v>
      </c>
      <c r="J52" s="726" t="s">
        <v>564</v>
      </c>
      <c r="K52" s="727" t="s">
        <v>490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customHeight="1" spans="2:33">
      <c r="B53" s="34" t="s">
        <v>647</v>
      </c>
      <c r="C53" s="37" t="s">
        <v>191</v>
      </c>
      <c r="D53" s="726" t="s">
        <v>522</v>
      </c>
      <c r="E53" s="727" t="s">
        <v>497</v>
      </c>
      <c r="F53" s="726" t="s">
        <v>526</v>
      </c>
      <c r="G53" s="727" t="s">
        <v>497</v>
      </c>
      <c r="H53" s="726" t="s">
        <v>526</v>
      </c>
      <c r="I53" s="727" t="s">
        <v>497</v>
      </c>
      <c r="J53" s="726" t="s">
        <v>526</v>
      </c>
      <c r="K53" s="727" t="s">
        <v>579</v>
      </c>
    </row>
    <row r="54" customHeight="1" spans="2:33">
      <c r="B54" s="34" t="s">
        <v>648</v>
      </c>
      <c r="C54" s="37" t="s">
        <v>191</v>
      </c>
      <c r="D54" s="726" t="s">
        <v>548</v>
      </c>
      <c r="E54" s="727" t="s">
        <v>493</v>
      </c>
      <c r="F54" s="726" t="s">
        <v>548</v>
      </c>
      <c r="G54" s="727" t="s">
        <v>497</v>
      </c>
      <c r="H54" s="726" t="s">
        <v>558</v>
      </c>
      <c r="I54" s="727" t="s">
        <v>497</v>
      </c>
      <c r="J54" s="726" t="s">
        <v>576</v>
      </c>
      <c r="K54" s="727" t="s">
        <v>497</v>
      </c>
    </row>
    <row r="55" customHeight="1" spans="2:33">
      <c r="B55" s="34" t="s">
        <v>649</v>
      </c>
      <c r="C55" s="37" t="s">
        <v>191</v>
      </c>
      <c r="D55" s="726" t="s">
        <v>530</v>
      </c>
      <c r="E55" s="727" t="s">
        <v>526</v>
      </c>
      <c r="F55" s="726" t="s">
        <v>519</v>
      </c>
      <c r="G55" s="727" t="s">
        <v>526</v>
      </c>
      <c r="H55" s="726" t="s">
        <v>519</v>
      </c>
      <c r="I55" s="727" t="s">
        <v>526</v>
      </c>
      <c r="J55" s="726" t="s">
        <v>519</v>
      </c>
      <c r="K55" s="727" t="s">
        <v>564</v>
      </c>
    </row>
    <row r="56" customHeight="1" spans="2:33">
      <c r="B56" s="34" t="s">
        <v>650</v>
      </c>
      <c r="C56" s="37" t="s">
        <v>191</v>
      </c>
      <c r="D56" s="726" t="s">
        <v>548</v>
      </c>
      <c r="E56" s="727" t="s">
        <v>490</v>
      </c>
      <c r="F56" s="726" t="s">
        <v>548</v>
      </c>
      <c r="G56" s="727" t="s">
        <v>573</v>
      </c>
      <c r="H56" s="726" t="s">
        <v>548</v>
      </c>
      <c r="I56" s="727" t="s">
        <v>573</v>
      </c>
      <c r="J56" s="726" t="s">
        <v>558</v>
      </c>
      <c r="K56" s="727" t="s">
        <v>573</v>
      </c>
    </row>
    <row r="57" customHeight="1" spans="2:33">
      <c r="B57" s="34" t="s">
        <v>651</v>
      </c>
      <c r="C57" s="37" t="s">
        <v>191</v>
      </c>
      <c r="D57" s="726" t="s">
        <v>495</v>
      </c>
      <c r="E57" s="727" t="s">
        <v>497</v>
      </c>
      <c r="F57" s="726" t="s">
        <v>589</v>
      </c>
      <c r="G57" s="727" t="s">
        <v>497</v>
      </c>
      <c r="H57" s="726" t="s">
        <v>589</v>
      </c>
      <c r="I57" s="727" t="s">
        <v>497</v>
      </c>
      <c r="J57" s="726" t="s">
        <v>589</v>
      </c>
      <c r="K57" s="727" t="s">
        <v>579</v>
      </c>
    </row>
    <row r="58" customHeight="1" spans="2:33">
      <c r="B58" s="34" t="s">
        <v>652</v>
      </c>
      <c r="C58" s="37" t="s">
        <v>191</v>
      </c>
      <c r="D58" s="726" t="s">
        <v>653</v>
      </c>
      <c r="E58" s="727" t="s">
        <v>469</v>
      </c>
      <c r="F58" s="726" t="s">
        <v>519</v>
      </c>
      <c r="G58" s="727" t="s">
        <v>490</v>
      </c>
      <c r="H58" s="726" t="s">
        <v>549</v>
      </c>
      <c r="I58" s="727" t="s">
        <v>490</v>
      </c>
      <c r="J58" s="726" t="s">
        <v>549</v>
      </c>
      <c r="K58" s="727" t="s">
        <v>573</v>
      </c>
    </row>
    <row r="59" customHeight="1" spans="2:33">
      <c r="B59" s="34" t="s">
        <v>654</v>
      </c>
      <c r="C59" s="37" t="s">
        <v>191</v>
      </c>
      <c r="D59" s="726" t="s">
        <v>497</v>
      </c>
      <c r="E59" s="727" t="s">
        <v>469</v>
      </c>
      <c r="F59" s="726" t="s">
        <v>497</v>
      </c>
      <c r="G59" s="727" t="s">
        <v>490</v>
      </c>
      <c r="H59" s="726" t="s">
        <v>497</v>
      </c>
      <c r="I59" s="727" t="s">
        <v>490</v>
      </c>
      <c r="J59" s="726" t="s">
        <v>579</v>
      </c>
      <c r="K59" s="727" t="s">
        <v>490</v>
      </c>
    </row>
    <row r="60" customHeight="1" spans="2:33">
      <c r="B60" s="34" t="s">
        <v>655</v>
      </c>
      <c r="C60" s="37" t="s">
        <v>191</v>
      </c>
      <c r="D60" s="740" t="s">
        <v>510</v>
      </c>
      <c r="E60" s="727" t="s">
        <v>589</v>
      </c>
      <c r="F60" s="740" t="s">
        <v>548</v>
      </c>
      <c r="G60" s="727" t="s">
        <v>589</v>
      </c>
      <c r="H60" s="740" t="s">
        <v>548</v>
      </c>
      <c r="I60" s="727" t="s">
        <v>589</v>
      </c>
      <c r="J60" s="740" t="s">
        <v>548</v>
      </c>
      <c r="K60" s="727" t="s">
        <v>593</v>
      </c>
    </row>
    <row r="61" customHeight="1" spans="2:33">
      <c r="B61" s="34" t="s">
        <v>656</v>
      </c>
      <c r="C61" s="37" t="s">
        <v>191</v>
      </c>
      <c r="D61" s="726" t="s">
        <v>526</v>
      </c>
      <c r="E61" s="727" t="s">
        <v>493</v>
      </c>
      <c r="F61" s="726" t="s">
        <v>526</v>
      </c>
      <c r="G61" s="727" t="s">
        <v>497</v>
      </c>
      <c r="H61" s="726" t="s">
        <v>526</v>
      </c>
      <c r="I61" s="727" t="s">
        <v>497</v>
      </c>
      <c r="J61" s="726" t="s">
        <v>564</v>
      </c>
      <c r="K61" s="727" t="s">
        <v>497</v>
      </c>
    </row>
    <row r="62" customHeight="1" spans="2:33">
      <c r="B62" s="34" t="s">
        <v>657</v>
      </c>
      <c r="C62" s="37" t="s">
        <v>191</v>
      </c>
      <c r="D62" s="726" t="s">
        <v>495</v>
      </c>
      <c r="E62" s="727" t="s">
        <v>490</v>
      </c>
      <c r="F62" s="726" t="s">
        <v>589</v>
      </c>
      <c r="G62" s="727" t="s">
        <v>490</v>
      </c>
      <c r="H62" s="726" t="s">
        <v>589</v>
      </c>
      <c r="I62" s="727" t="s">
        <v>490</v>
      </c>
      <c r="J62" s="726" t="s">
        <v>589</v>
      </c>
      <c r="K62" s="727" t="s">
        <v>573</v>
      </c>
    </row>
    <row r="63" customHeight="1" spans="2:33">
      <c r="B63" s="34" t="s">
        <v>658</v>
      </c>
      <c r="C63" s="37" t="s">
        <v>191</v>
      </c>
      <c r="D63" s="726" t="s">
        <v>589</v>
      </c>
      <c r="E63" s="727" t="s">
        <v>659</v>
      </c>
      <c r="F63" s="726" t="s">
        <v>589</v>
      </c>
      <c r="G63" s="727" t="s">
        <v>660</v>
      </c>
      <c r="H63" s="726" t="s">
        <v>589</v>
      </c>
      <c r="I63" s="727" t="s">
        <v>660</v>
      </c>
      <c r="J63" s="726" t="s">
        <v>593</v>
      </c>
      <c r="K63" s="727" t="s">
        <v>660</v>
      </c>
    </row>
    <row r="64" customHeight="1" spans="2:33">
      <c r="B64" s="34" t="s">
        <v>661</v>
      </c>
      <c r="C64" s="37" t="s">
        <v>191</v>
      </c>
      <c r="D64" s="726"/>
      <c r="E64" s="727"/>
      <c r="F64" s="740"/>
      <c r="G64" s="727"/>
      <c r="H64" s="726"/>
      <c r="I64" s="727"/>
      <c r="J64" s="726"/>
      <c r="K64" s="727"/>
    </row>
    <row r="65" customHeight="1" spans="2:11">
      <c r="B65" s="34"/>
      <c r="C65" s="37" t="s">
        <v>191</v>
      </c>
      <c r="D65" s="726"/>
      <c r="E65" s="727"/>
      <c r="F65" s="740"/>
      <c r="G65" s="727"/>
      <c r="H65" s="726"/>
      <c r="I65" s="727"/>
      <c r="J65" s="726"/>
      <c r="K65" s="727"/>
    </row>
    <row r="66" customHeight="1" spans="2:11">
      <c r="B66" s="34"/>
      <c r="C66" s="37" t="s">
        <v>191</v>
      </c>
      <c r="D66" s="726"/>
      <c r="E66" s="727"/>
      <c r="F66" s="740"/>
      <c r="G66" s="727"/>
      <c r="H66" s="726"/>
      <c r="I66" s="727"/>
      <c r="J66" s="726"/>
      <c r="K66" s="727"/>
    </row>
    <row r="67" customHeight="1" spans="2:11">
      <c r="B67" s="34"/>
      <c r="C67" s="37" t="s">
        <v>191</v>
      </c>
      <c r="D67" s="726"/>
      <c r="E67" s="727"/>
      <c r="F67" s="740"/>
      <c r="G67" s="727"/>
      <c r="H67" s="726"/>
      <c r="I67" s="727"/>
      <c r="J67" s="726"/>
      <c r="K67" s="727"/>
    </row>
    <row r="72" customHeight="1" spans="2:11">
      <c r="D72" s="741" t="s">
        <v>662</v>
      </c>
      <c r="E72" s="742"/>
      <c r="F72" s="41"/>
      <c r="G72" s="41"/>
      <c r="H72" s="41"/>
      <c r="I72" s="41"/>
    </row>
    <row r="73" customHeight="1" spans="2:11">
      <c r="D73" s="741" t="s">
        <v>663</v>
      </c>
      <c r="E73" s="742"/>
      <c r="F73" s="41"/>
      <c r="G73" s="41"/>
      <c r="H73" s="41"/>
      <c r="I73" s="41"/>
    </row>
    <row r="74" customHeight="1" spans="2:11">
      <c r="D74" s="741" t="s">
        <v>664</v>
      </c>
      <c r="E74" s="742"/>
      <c r="F74" s="41"/>
      <c r="G74" s="41"/>
      <c r="H74" s="41"/>
      <c r="I74" s="41"/>
    </row>
    <row r="75" customHeight="1" spans="2:11">
      <c r="D75" s="741" t="s">
        <v>663</v>
      </c>
      <c r="E75" s="742"/>
      <c r="F75" s="41"/>
      <c r="G75" s="41"/>
      <c r="H75" s="41"/>
      <c r="I75" s="41"/>
    </row>
    <row r="76" customHeight="1" spans="2:11">
      <c r="D76" s="741" t="s">
        <v>665</v>
      </c>
      <c r="E76" s="742"/>
      <c r="F76" s="41"/>
      <c r="G76" s="41"/>
      <c r="H76" s="41"/>
      <c r="I76" s="41"/>
    </row>
    <row r="77" customHeight="1" spans="2:11">
      <c r="D77" s="741" t="s">
        <v>663</v>
      </c>
      <c r="E77" s="742"/>
      <c r="F77" s="41"/>
      <c r="G77" s="41"/>
      <c r="H77" s="41"/>
      <c r="I77" s="41"/>
    </row>
    <row r="78" customHeight="1" spans="2:11">
      <c r="D78" s="741" t="s">
        <v>666</v>
      </c>
      <c r="E78" s="742"/>
      <c r="F78" s="41"/>
      <c r="G78" s="41"/>
      <c r="H78" s="41"/>
      <c r="I78" s="41"/>
    </row>
    <row r="79" customHeight="1" spans="2:11">
      <c r="D79" s="741" t="s">
        <v>663</v>
      </c>
      <c r="E79" s="742"/>
      <c r="F79" s="41"/>
      <c r="G79" s="41"/>
      <c r="H79" s="41"/>
      <c r="I79" s="41"/>
    </row>
    <row r="80" customHeight="1" spans="2:11">
      <c r="D80" s="741" t="s">
        <v>667</v>
      </c>
      <c r="E80" s="742"/>
      <c r="F80" s="41"/>
      <c r="G80" s="41"/>
      <c r="H80" s="41"/>
      <c r="I80" s="41"/>
    </row>
    <row r="81" customHeight="1" spans="4:11">
      <c r="D81" s="741" t="s">
        <v>663</v>
      </c>
      <c r="E81" s="742"/>
      <c r="F81" s="41"/>
      <c r="G81" s="41"/>
      <c r="H81" s="41"/>
      <c r="I81" s="41"/>
    </row>
    <row r="82" customHeight="1" spans="4:11">
      <c r="D82" s="741" t="s">
        <v>668</v>
      </c>
      <c r="E82" s="742"/>
      <c r="F82" s="41"/>
      <c r="G82" s="41"/>
      <c r="H82" s="41"/>
      <c r="I82" s="41"/>
      <c r="J82" s="26"/>
      <c r="K82" s="26"/>
    </row>
    <row r="83" customHeight="1" spans="4:11">
      <c r="D83" s="741" t="s">
        <v>663</v>
      </c>
      <c r="E83" s="742"/>
      <c r="F83" s="41"/>
      <c r="G83" s="41"/>
      <c r="H83" s="41"/>
      <c r="I83" s="41"/>
    </row>
    <row r="84" customHeight="1" spans="4:11">
      <c r="D84" s="743" t="s">
        <v>669</v>
      </c>
      <c r="E84" s="743"/>
      <c r="F84" s="5" t="s">
        <v>670</v>
      </c>
      <c r="G84" s="5"/>
      <c r="H84" s="5" t="s">
        <v>671</v>
      </c>
      <c r="I84" s="21"/>
    </row>
    <row r="85" customHeight="1" spans="4:11">
      <c r="D85" s="741" t="s">
        <v>663</v>
      </c>
      <c r="E85" s="741"/>
      <c r="F85" s="13"/>
      <c r="G85" s="13"/>
      <c r="H85" s="5" t="s">
        <v>663</v>
      </c>
      <c r="I85" s="21"/>
    </row>
    <row r="86" customHeight="1" spans="4:11">
      <c r="D86" s="741" t="s">
        <v>672</v>
      </c>
      <c r="E86" s="741"/>
      <c r="F86" s="5" t="s">
        <v>670</v>
      </c>
      <c r="G86" s="5"/>
      <c r="H86" s="5" t="s">
        <v>673</v>
      </c>
      <c r="I86" s="21"/>
    </row>
    <row r="87" customHeight="1" spans="4:11">
      <c r="D87" s="741" t="s">
        <v>663</v>
      </c>
      <c r="E87" s="741"/>
      <c r="F87" s="13"/>
      <c r="G87" s="13"/>
      <c r="H87" s="5" t="s">
        <v>663</v>
      </c>
      <c r="I87" s="21"/>
    </row>
    <row r="88" customHeight="1" spans="4:11">
      <c r="D88" s="741" t="s">
        <v>674</v>
      </c>
      <c r="E88" s="741"/>
      <c r="F88" s="5" t="s">
        <v>670</v>
      </c>
      <c r="G88" s="5"/>
      <c r="H88" s="5" t="s">
        <v>675</v>
      </c>
      <c r="I88" s="21"/>
    </row>
    <row r="89" customHeight="1" spans="4:11">
      <c r="D89" s="741" t="s">
        <v>663</v>
      </c>
      <c r="E89" s="741"/>
      <c r="F89" s="13"/>
      <c r="G89" s="13"/>
      <c r="H89" s="5" t="s">
        <v>663</v>
      </c>
      <c r="I89" s="21"/>
    </row>
    <row r="90" customHeight="1" spans="4:11">
      <c r="D90" s="741" t="s">
        <v>676</v>
      </c>
      <c r="E90" s="741"/>
      <c r="F90" s="5" t="s">
        <v>670</v>
      </c>
      <c r="G90" s="5"/>
      <c r="H90" s="5" t="s">
        <v>677</v>
      </c>
      <c r="I90" s="21"/>
    </row>
    <row r="91" customHeight="1" spans="4:11">
      <c r="D91" s="741" t="s">
        <v>663</v>
      </c>
      <c r="E91" s="741"/>
      <c r="F91" s="13"/>
      <c r="G91" s="13"/>
      <c r="H91" s="5" t="s">
        <v>663</v>
      </c>
      <c r="I91" s="21"/>
    </row>
    <row r="92" customHeight="1" spans="4:11">
      <c r="D92" s="741" t="s">
        <v>678</v>
      </c>
      <c r="E92" s="741"/>
      <c r="F92" s="5" t="s">
        <v>670</v>
      </c>
      <c r="G92" s="5"/>
      <c r="H92" s="5" t="s">
        <v>679</v>
      </c>
      <c r="I92" s="21"/>
    </row>
    <row r="93" customHeight="1" spans="4:11">
      <c r="D93" s="741" t="s">
        <v>663</v>
      </c>
      <c r="E93" s="741"/>
      <c r="F93" s="13"/>
      <c r="G93" s="13"/>
      <c r="H93" s="5" t="s">
        <v>663</v>
      </c>
      <c r="I93" s="21"/>
    </row>
    <row r="94" customHeight="1" spans="4:11">
      <c r="D94" s="741" t="s">
        <v>680</v>
      </c>
      <c r="E94" s="741"/>
      <c r="F94" s="5" t="s">
        <v>670</v>
      </c>
      <c r="G94" s="5"/>
      <c r="H94" s="5" t="s">
        <v>681</v>
      </c>
      <c r="I94" s="21"/>
    </row>
    <row r="95" customHeight="1" spans="4:11">
      <c r="D95" s="741" t="s">
        <v>663</v>
      </c>
      <c r="E95" s="741"/>
      <c r="F95" s="13"/>
      <c r="G95" s="13"/>
      <c r="H95" s="5" t="s">
        <v>663</v>
      </c>
      <c r="I95" s="21"/>
    </row>
    <row r="96" customHeight="1" spans="4:11">
      <c r="D96" s="741" t="s">
        <v>682</v>
      </c>
      <c r="E96" s="741"/>
      <c r="F96" s="5" t="s">
        <v>670</v>
      </c>
      <c r="G96" s="5"/>
      <c r="H96" s="5" t="s">
        <v>683</v>
      </c>
      <c r="I96" s="21"/>
    </row>
    <row r="97" customHeight="1" spans="6:9">
      <c r="F97" s="41"/>
      <c r="G97" s="41"/>
      <c r="H97" s="5" t="s">
        <v>663</v>
      </c>
      <c r="I97" s="21"/>
    </row>
    <row r="98" customHeight="1" spans="6:9">
      <c r="F98" s="41"/>
      <c r="G98" s="41"/>
      <c r="H98" s="5" t="s">
        <v>684</v>
      </c>
      <c r="I98" s="21"/>
    </row>
    <row r="99" customHeight="1" spans="6:9">
      <c r="F99" s="41"/>
      <c r="G99" s="41"/>
      <c r="H99" s="5" t="s">
        <v>663</v>
      </c>
      <c r="I99" s="21"/>
    </row>
    <row r="100" customHeight="1" spans="6:9">
      <c r="F100" s="41"/>
      <c r="G100" s="41"/>
      <c r="H100" s="5" t="s">
        <v>685</v>
      </c>
      <c r="I100" s="21"/>
    </row>
    <row r="101" customHeight="1" spans="6:9">
      <c r="F101" s="41"/>
      <c r="G101" s="41"/>
      <c r="H101" s="5" t="s">
        <v>663</v>
      </c>
      <c r="I101" s="21"/>
    </row>
    <row r="102" customHeight="1" spans="6:9">
      <c r="F102" s="41"/>
      <c r="G102" s="41"/>
      <c r="H102" s="5" t="s">
        <v>686</v>
      </c>
      <c r="I102" s="21"/>
    </row>
    <row r="103" customHeight="1" spans="6:9">
      <c r="F103" s="41"/>
      <c r="G103" s="41"/>
      <c r="H103" s="5" t="s">
        <v>663</v>
      </c>
      <c r="I103" s="21"/>
    </row>
    <row r="104" customHeight="1" spans="6:9">
      <c r="F104" s="41"/>
      <c r="G104" s="41"/>
      <c r="H104" s="5" t="s">
        <v>687</v>
      </c>
      <c r="I104" s="21"/>
    </row>
    <row r="105" customHeight="1" spans="6:9">
      <c r="H105" s="5" t="s">
        <v>663</v>
      </c>
      <c r="I105" s="21"/>
    </row>
    <row r="106" customHeight="1" spans="6:9">
      <c r="H106" s="5" t="s">
        <v>688</v>
      </c>
      <c r="I106" s="21"/>
    </row>
  </sheetData>
  <mergeCells count="138">
    <mergeCell ref="D2:E2"/>
    <mergeCell ref="F2:G2"/>
    <mergeCell ref="H2:I2"/>
    <mergeCell ref="J2:K2"/>
    <mergeCell ref="O2:P2"/>
    <mergeCell ref="Q2:R2"/>
    <mergeCell ref="S2:T2"/>
    <mergeCell ref="U2:V2"/>
    <mergeCell ref="Z2:AA2"/>
    <mergeCell ref="AB2:AC2"/>
    <mergeCell ref="AD2:AE2"/>
    <mergeCell ref="AF2:AG2"/>
    <mergeCell ref="D3:E3"/>
    <mergeCell ref="F3:G3"/>
    <mergeCell ref="H3:I3"/>
    <mergeCell ref="J3:K3"/>
    <mergeCell ref="O3:P3"/>
    <mergeCell ref="Q3:R3"/>
    <mergeCell ref="S3:T3"/>
    <mergeCell ref="U3:V3"/>
    <mergeCell ref="Z3:AA3"/>
    <mergeCell ref="AB3:AC3"/>
    <mergeCell ref="AD3:AE3"/>
    <mergeCell ref="AF3:AG3"/>
    <mergeCell ref="D4:E4"/>
    <mergeCell ref="F4:G4"/>
    <mergeCell ref="H4:I4"/>
    <mergeCell ref="J4:K4"/>
    <mergeCell ref="O4:P4"/>
    <mergeCell ref="Q4:R4"/>
    <mergeCell ref="S4:T4"/>
    <mergeCell ref="U4:V4"/>
    <mergeCell ref="Z4:AA4"/>
    <mergeCell ref="AB4:AC4"/>
    <mergeCell ref="AD4:AE4"/>
    <mergeCell ref="AF4:AG4"/>
    <mergeCell ref="D5:E5"/>
    <mergeCell ref="F5:G5"/>
    <mergeCell ref="H5:I5"/>
    <mergeCell ref="J5:K5"/>
    <mergeCell ref="O5:P5"/>
    <mergeCell ref="Q5:R5"/>
    <mergeCell ref="S5:T5"/>
    <mergeCell ref="U5:V5"/>
    <mergeCell ref="Z5:AA5"/>
    <mergeCell ref="AB5:AC5"/>
    <mergeCell ref="AD5:AE5"/>
    <mergeCell ref="AF5:AG5"/>
    <mergeCell ref="H6:K6"/>
    <mergeCell ref="O6:P6"/>
    <mergeCell ref="Q6:R6"/>
    <mergeCell ref="S6:T6"/>
    <mergeCell ref="U6:V6"/>
    <mergeCell ref="AD6:AE6"/>
    <mergeCell ref="AF6:AG6"/>
    <mergeCell ref="O7:P7"/>
    <mergeCell ref="Q7:R7"/>
    <mergeCell ref="S7:T7"/>
    <mergeCell ref="U7:V7"/>
    <mergeCell ref="Z7:AA7"/>
    <mergeCell ref="AB7:AC7"/>
    <mergeCell ref="AD7:AE7"/>
    <mergeCell ref="AF7:AG7"/>
    <mergeCell ref="D8:E8"/>
    <mergeCell ref="F8:G8"/>
    <mergeCell ref="H8:I8"/>
    <mergeCell ref="J8:K8"/>
    <mergeCell ref="O8:P8"/>
    <mergeCell ref="Q8:R8"/>
    <mergeCell ref="S8:T8"/>
    <mergeCell ref="U8:V8"/>
    <mergeCell ref="Z8:AA8"/>
    <mergeCell ref="AB8:AC8"/>
    <mergeCell ref="AD8:AE8"/>
    <mergeCell ref="AF8:AG8"/>
    <mergeCell ref="D9:E9"/>
    <mergeCell ref="F9:G9"/>
    <mergeCell ref="H9:I9"/>
    <mergeCell ref="J9:K9"/>
    <mergeCell ref="S9:T9"/>
    <mergeCell ref="U9:V9"/>
    <mergeCell ref="D10:E10"/>
    <mergeCell ref="F10:G10"/>
    <mergeCell ref="O10:P10"/>
    <mergeCell ref="Q10:R10"/>
    <mergeCell ref="S10:T10"/>
    <mergeCell ref="U10:V10"/>
    <mergeCell ref="D11:E11"/>
    <mergeCell ref="F11:G11"/>
    <mergeCell ref="H11:I11"/>
    <mergeCell ref="O11:P11"/>
    <mergeCell ref="Q11:R11"/>
    <mergeCell ref="S11:T11"/>
    <mergeCell ref="Z11:AA11"/>
    <mergeCell ref="AB11:AC11"/>
    <mergeCell ref="AD11:AE11"/>
    <mergeCell ref="AF11:AG11"/>
    <mergeCell ref="D12:E12"/>
    <mergeCell ref="F12:G12"/>
    <mergeCell ref="H12:I12"/>
    <mergeCell ref="Z12:AA12"/>
    <mergeCell ref="AB12:AC12"/>
    <mergeCell ref="AD12:AE12"/>
    <mergeCell ref="AF12:AG12"/>
    <mergeCell ref="D13:E13"/>
    <mergeCell ref="F13:G13"/>
    <mergeCell ref="H13:I13"/>
    <mergeCell ref="O13:P13"/>
    <mergeCell ref="Q13:R13"/>
    <mergeCell ref="S13:T13"/>
    <mergeCell ref="Z13:AA13"/>
    <mergeCell ref="AB13:AC13"/>
    <mergeCell ref="AD13:AE13"/>
    <mergeCell ref="O14:P14"/>
    <mergeCell ref="Q14:R14"/>
    <mergeCell ref="S14:T14"/>
    <mergeCell ref="Z14:AA14"/>
    <mergeCell ref="AB14:AC14"/>
    <mergeCell ref="AD14:AE14"/>
    <mergeCell ref="AF14:AG14"/>
    <mergeCell ref="O15:P15"/>
    <mergeCell ref="Q15:R15"/>
    <mergeCell ref="S15:T15"/>
    <mergeCell ref="Z15:AA15"/>
    <mergeCell ref="AB15:AC15"/>
    <mergeCell ref="AD15:AE15"/>
    <mergeCell ref="D20:E20"/>
    <mergeCell ref="F20:G20"/>
    <mergeCell ref="H20:I20"/>
    <mergeCell ref="J20:K20"/>
    <mergeCell ref="O20:P20"/>
    <mergeCell ref="Q20:R20"/>
    <mergeCell ref="S20:T20"/>
    <mergeCell ref="U20:V20"/>
    <mergeCell ref="Z20:AA20"/>
    <mergeCell ref="AB20:AC20"/>
    <mergeCell ref="AD20:AE20"/>
    <mergeCell ref="AF20:AG2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T242"/>
  <sheetViews>
    <sheetView zoomScale="85" zoomScaleNormal="85" topLeftCell="Z53" workbookViewId="0">
      <selection activeCell="V87" sqref="V87"/>
    </sheetView>
  </sheetViews>
  <sheetFormatPr defaultColWidth="9" defaultRowHeight="13.5"/>
  <cols>
    <col min="1" max="3" width="8.625" style="621" customWidth="1"/>
    <col min="4" max="4" width="15.625" style="622" customWidth="1"/>
    <col min="5" max="7" width="15.625" style="623" customWidth="1"/>
    <col min="8" max="8" width="10.625" style="621" customWidth="1"/>
    <col min="9" max="9" width="11" style="621" customWidth="1"/>
    <col min="10" max="10" width="12.2" style="621" customWidth="1"/>
    <col min="11" max="11" width="2.625" style="621" customWidth="1"/>
    <col min="12" max="12" width="15.625" style="624" customWidth="1"/>
    <col min="13" max="15" width="15.625" style="621" customWidth="1"/>
    <col min="16" max="16" width="10.625" style="621" customWidth="1"/>
    <col min="17" max="17" width="13.375" style="621" customWidth="1"/>
    <col min="18" max="18" width="10.4333333333333" style="621" customWidth="1"/>
    <col min="19" max="19" width="2.625" style="621" customWidth="1"/>
    <col min="20" max="20" width="15.625" style="624" customWidth="1"/>
    <col min="21" max="23" width="15.625" style="621" customWidth="1"/>
    <col min="24" max="24" width="12.625" style="621" customWidth="1"/>
    <col min="25" max="25" width="10.375" style="621" customWidth="1"/>
    <col min="26" max="26" width="8.23333333333333" style="621" customWidth="1"/>
    <col min="27" max="27" width="2.625" style="621" customWidth="1"/>
    <col min="28" max="28" width="15.625" style="624" customWidth="1"/>
    <col min="29" max="31" width="15.625" style="621" customWidth="1"/>
    <col min="32" max="32" width="12.625" style="621" customWidth="1"/>
    <col min="33" max="33" width="15.75" style="621" customWidth="1"/>
    <col min="34" max="34" width="9.7" style="621" customWidth="1"/>
    <col min="35" max="39" width="9" style="621"/>
    <col min="40" max="40" width="12" style="621" customWidth="1"/>
    <col min="41" max="41" width="15.625" style="625" customWidth="1"/>
    <col min="42" max="44" width="15.625" style="621" customWidth="1"/>
    <col min="45" max="46" width="15.625" style="626" customWidth="1"/>
    <col min="47" max="16384" width="9" style="621"/>
  </cols>
  <sheetData>
    <row r="1" ht="25.5" customHeight="1" spans="4:46">
      <c r="D1" s="627" t="s">
        <v>191</v>
      </c>
      <c r="E1" s="628"/>
      <c r="F1" s="628"/>
      <c r="G1" s="628"/>
      <c r="H1" s="628"/>
      <c r="I1" s="628"/>
      <c r="J1" s="628"/>
      <c r="L1" s="629" t="s">
        <v>189</v>
      </c>
      <c r="M1" s="630"/>
      <c r="N1" s="630"/>
      <c r="O1" s="630"/>
      <c r="P1" s="630"/>
      <c r="Q1" s="630"/>
      <c r="R1" s="631"/>
      <c r="T1" s="627" t="s">
        <v>190</v>
      </c>
      <c r="U1" s="628"/>
      <c r="V1" s="628"/>
      <c r="W1" s="628"/>
      <c r="X1" s="628"/>
      <c r="Y1" s="628"/>
      <c r="Z1" s="628"/>
      <c r="AB1" s="627" t="s">
        <v>192</v>
      </c>
      <c r="AC1" s="628"/>
      <c r="AD1" s="628"/>
      <c r="AE1" s="628"/>
      <c r="AF1" s="628"/>
      <c r="AG1" s="628"/>
      <c r="AH1" s="628"/>
    </row>
    <row r="2" spans="4:46">
      <c r="D2" s="632" t="s">
        <v>264</v>
      </c>
      <c r="E2" s="633" t="s">
        <v>689</v>
      </c>
      <c r="F2" s="633" t="s">
        <v>690</v>
      </c>
      <c r="G2" s="634" t="s">
        <v>691</v>
      </c>
      <c r="H2" s="633" t="s">
        <v>692</v>
      </c>
      <c r="I2" s="633" t="s">
        <v>693</v>
      </c>
      <c r="J2" s="633" t="s">
        <v>694</v>
      </c>
      <c r="K2" s="635"/>
      <c r="L2" s="632" t="s">
        <v>264</v>
      </c>
      <c r="M2" s="633" t="s">
        <v>689</v>
      </c>
      <c r="N2" s="633" t="s">
        <v>690</v>
      </c>
      <c r="O2" s="634" t="s">
        <v>691</v>
      </c>
      <c r="P2" s="633" t="s">
        <v>692</v>
      </c>
      <c r="Q2" s="633" t="s">
        <v>695</v>
      </c>
      <c r="R2" s="633" t="s">
        <v>694</v>
      </c>
      <c r="S2" s="635"/>
      <c r="T2" s="632" t="s">
        <v>264</v>
      </c>
      <c r="U2" s="633" t="s">
        <v>689</v>
      </c>
      <c r="V2" s="633" t="s">
        <v>690</v>
      </c>
      <c r="W2" s="634" t="s">
        <v>691</v>
      </c>
      <c r="X2" s="636" t="s">
        <v>692</v>
      </c>
      <c r="Y2" s="636" t="s">
        <v>693</v>
      </c>
      <c r="Z2" s="636" t="s">
        <v>694</v>
      </c>
      <c r="AA2" s="635"/>
      <c r="AB2" s="632" t="s">
        <v>264</v>
      </c>
      <c r="AC2" s="633" t="s">
        <v>689</v>
      </c>
      <c r="AD2" s="633" t="s">
        <v>690</v>
      </c>
      <c r="AE2" s="634" t="s">
        <v>691</v>
      </c>
      <c r="AF2" s="633" t="s">
        <v>692</v>
      </c>
      <c r="AG2" s="633" t="s">
        <v>693</v>
      </c>
      <c r="AH2" s="633" t="s">
        <v>694</v>
      </c>
      <c r="AI2" s="637"/>
      <c r="AO2" s="638" t="s">
        <v>191</v>
      </c>
      <c r="AP2" s="639" t="s">
        <v>689</v>
      </c>
      <c r="AQ2" s="639" t="s">
        <v>690</v>
      </c>
      <c r="AR2" s="640" t="s">
        <v>691</v>
      </c>
      <c r="AS2" s="639" t="s">
        <v>692</v>
      </c>
      <c r="AT2" s="639"/>
    </row>
    <row r="3" spans="4:46">
      <c r="D3" s="632" t="s">
        <v>331</v>
      </c>
      <c r="E3" s="641" t="s">
        <v>36</v>
      </c>
      <c r="F3" s="641" t="s">
        <v>62</v>
      </c>
      <c r="G3" s="642" t="s">
        <v>39</v>
      </c>
      <c r="H3" s="636" t="s">
        <v>696</v>
      </c>
      <c r="I3" s="636" t="s">
        <v>697</v>
      </c>
      <c r="J3" s="633">
        <v>19</v>
      </c>
      <c r="K3" s="637"/>
      <c r="L3" s="632" t="s">
        <v>337</v>
      </c>
      <c r="M3" s="641" t="s">
        <v>48</v>
      </c>
      <c r="N3" s="642" t="s">
        <v>13</v>
      </c>
      <c r="O3" s="642" t="s">
        <v>356</v>
      </c>
      <c r="P3" s="633" t="s">
        <v>696</v>
      </c>
      <c r="Q3" s="633" t="s">
        <v>697</v>
      </c>
      <c r="R3" s="633">
        <v>19</v>
      </c>
      <c r="S3" s="635"/>
      <c r="T3" s="632" t="s">
        <v>329</v>
      </c>
      <c r="U3" s="641" t="s">
        <v>46</v>
      </c>
      <c r="V3" s="642" t="s">
        <v>19</v>
      </c>
      <c r="W3" s="642" t="s">
        <v>698</v>
      </c>
      <c r="X3" s="636" t="s">
        <v>696</v>
      </c>
      <c r="Y3" s="636" t="s">
        <v>697</v>
      </c>
      <c r="Z3" s="636">
        <v>7</v>
      </c>
      <c r="AA3" s="635"/>
      <c r="AB3" s="632" t="s">
        <v>335</v>
      </c>
      <c r="AC3" s="641" t="s">
        <v>699</v>
      </c>
      <c r="AD3" s="642" t="s">
        <v>19</v>
      </c>
      <c r="AE3" s="642" t="s">
        <v>29</v>
      </c>
      <c r="AF3" s="632" t="s">
        <v>700</v>
      </c>
      <c r="AG3" s="636" t="s">
        <v>697</v>
      </c>
      <c r="AH3" s="636">
        <v>5</v>
      </c>
      <c r="AI3" s="637"/>
      <c r="AO3" s="643" t="s">
        <v>331</v>
      </c>
      <c r="AP3" s="644" t="s">
        <v>36</v>
      </c>
      <c r="AQ3" s="644" t="s">
        <v>62</v>
      </c>
      <c r="AR3" s="645" t="s">
        <v>39</v>
      </c>
    </row>
    <row r="4" spans="4:46">
      <c r="D4" s="632" t="s">
        <v>275</v>
      </c>
      <c r="E4" s="641" t="s">
        <v>155</v>
      </c>
      <c r="F4" s="641" t="s">
        <v>701</v>
      </c>
      <c r="G4" s="642" t="s">
        <v>49</v>
      </c>
      <c r="H4" s="636" t="s">
        <v>702</v>
      </c>
      <c r="I4" s="636" t="s">
        <v>703</v>
      </c>
      <c r="J4" s="633">
        <v>19</v>
      </c>
      <c r="K4" s="637"/>
      <c r="L4" s="632" t="s">
        <v>333</v>
      </c>
      <c r="M4" s="641" t="s">
        <v>147</v>
      </c>
      <c r="N4" s="641" t="s">
        <v>704</v>
      </c>
      <c r="O4" s="642" t="s">
        <v>705</v>
      </c>
      <c r="P4" s="636" t="s">
        <v>706</v>
      </c>
      <c r="Q4" s="636" t="s">
        <v>697</v>
      </c>
      <c r="R4" s="633">
        <v>19</v>
      </c>
      <c r="S4" s="635"/>
      <c r="T4" s="632" t="s">
        <v>272</v>
      </c>
      <c r="U4" s="641" t="s">
        <v>121</v>
      </c>
      <c r="V4" s="642" t="s">
        <v>707</v>
      </c>
      <c r="W4" s="642" t="s">
        <v>708</v>
      </c>
      <c r="X4" s="632" t="s">
        <v>700</v>
      </c>
      <c r="Y4" s="636" t="s">
        <v>703</v>
      </c>
      <c r="Z4" s="636">
        <v>1</v>
      </c>
      <c r="AA4" s="635"/>
      <c r="AB4" s="632" t="s">
        <v>278</v>
      </c>
      <c r="AC4" s="641" t="s">
        <v>709</v>
      </c>
      <c r="AD4" s="641" t="s">
        <v>710</v>
      </c>
      <c r="AE4" s="642" t="s">
        <v>15</v>
      </c>
      <c r="AF4" s="636" t="s">
        <v>702</v>
      </c>
      <c r="AG4" s="636" t="s">
        <v>703</v>
      </c>
      <c r="AH4" s="636">
        <v>1</v>
      </c>
      <c r="AI4" s="637"/>
      <c r="AO4" s="643" t="s">
        <v>275</v>
      </c>
      <c r="AP4" s="644" t="s">
        <v>155</v>
      </c>
      <c r="AQ4" s="644" t="s">
        <v>701</v>
      </c>
      <c r="AR4" s="645" t="s">
        <v>49</v>
      </c>
      <c r="AS4" s="626" t="s">
        <v>702</v>
      </c>
    </row>
    <row r="5" spans="4:46">
      <c r="D5" s="632" t="s">
        <v>361</v>
      </c>
      <c r="E5" s="641" t="s">
        <v>135</v>
      </c>
      <c r="F5" s="642" t="s">
        <v>711</v>
      </c>
      <c r="G5" s="642" t="s">
        <v>356</v>
      </c>
      <c r="H5" s="632" t="s">
        <v>700</v>
      </c>
      <c r="I5" s="636" t="s">
        <v>712</v>
      </c>
      <c r="J5" s="633">
        <v>19</v>
      </c>
      <c r="K5" s="637"/>
      <c r="L5" s="632" t="s">
        <v>267</v>
      </c>
      <c r="M5" s="641" t="s">
        <v>713</v>
      </c>
      <c r="N5" s="642" t="s">
        <v>708</v>
      </c>
      <c r="O5" s="642" t="s">
        <v>707</v>
      </c>
      <c r="P5" s="636" t="s">
        <v>714</v>
      </c>
      <c r="Q5" s="636" t="s">
        <v>703</v>
      </c>
      <c r="R5" s="633">
        <v>19</v>
      </c>
      <c r="S5" s="635"/>
      <c r="T5" s="632" t="s">
        <v>365</v>
      </c>
      <c r="U5" s="641" t="s">
        <v>124</v>
      </c>
      <c r="V5" s="642" t="s">
        <v>715</v>
      </c>
      <c r="W5" s="642" t="s">
        <v>708</v>
      </c>
      <c r="X5" s="632" t="s">
        <v>700</v>
      </c>
      <c r="Y5" s="636" t="s">
        <v>712</v>
      </c>
      <c r="Z5" s="636">
        <v>1</v>
      </c>
      <c r="AA5" s="635"/>
      <c r="AB5" s="632" t="s">
        <v>369</v>
      </c>
      <c r="AC5" s="641" t="s">
        <v>110</v>
      </c>
      <c r="AD5" s="642" t="s">
        <v>73</v>
      </c>
      <c r="AE5" s="642" t="s">
        <v>716</v>
      </c>
      <c r="AF5" s="636" t="s">
        <v>706</v>
      </c>
      <c r="AG5" s="636" t="s">
        <v>712</v>
      </c>
      <c r="AH5" s="636">
        <v>2</v>
      </c>
      <c r="AI5" s="637"/>
      <c r="AO5" s="643" t="s">
        <v>361</v>
      </c>
      <c r="AP5" s="644" t="s">
        <v>135</v>
      </c>
      <c r="AQ5" s="645" t="s">
        <v>711</v>
      </c>
      <c r="AR5" s="645" t="s">
        <v>356</v>
      </c>
      <c r="AS5" s="626" t="s">
        <v>717</v>
      </c>
    </row>
    <row r="6" spans="4:46">
      <c r="D6" s="632" t="s">
        <v>305</v>
      </c>
      <c r="E6" s="641" t="s">
        <v>132</v>
      </c>
      <c r="F6" s="642" t="s">
        <v>49</v>
      </c>
      <c r="G6" s="642" t="s">
        <v>39</v>
      </c>
      <c r="H6" s="636" t="s">
        <v>696</v>
      </c>
      <c r="I6" s="636" t="s">
        <v>718</v>
      </c>
      <c r="J6" s="633">
        <v>19</v>
      </c>
      <c r="K6" s="637"/>
      <c r="L6" s="632" t="s">
        <v>294</v>
      </c>
      <c r="M6" s="641" t="s">
        <v>106</v>
      </c>
      <c r="N6" s="642" t="s">
        <v>22</v>
      </c>
      <c r="O6" s="642" t="s">
        <v>719</v>
      </c>
      <c r="P6" s="632" t="s">
        <v>700</v>
      </c>
      <c r="Q6" s="636" t="s">
        <v>718</v>
      </c>
      <c r="R6" s="633">
        <v>9</v>
      </c>
      <c r="S6" s="635"/>
      <c r="T6" s="632" t="s">
        <v>291</v>
      </c>
      <c r="U6" s="641" t="s">
        <v>121</v>
      </c>
      <c r="V6" s="642" t="s">
        <v>3</v>
      </c>
      <c r="W6" s="642" t="s">
        <v>720</v>
      </c>
      <c r="X6" s="636" t="s">
        <v>706</v>
      </c>
      <c r="Y6" s="636" t="s">
        <v>718</v>
      </c>
      <c r="Z6" s="636">
        <v>1</v>
      </c>
      <c r="AA6" s="635"/>
      <c r="AB6" s="632" t="s">
        <v>367</v>
      </c>
      <c r="AC6" s="641" t="s">
        <v>58</v>
      </c>
      <c r="AD6" s="641" t="s">
        <v>709</v>
      </c>
      <c r="AE6" s="642" t="s">
        <v>2</v>
      </c>
      <c r="AF6" s="632" t="s">
        <v>717</v>
      </c>
      <c r="AG6" s="636" t="s">
        <v>712</v>
      </c>
      <c r="AH6" s="636">
        <v>6</v>
      </c>
      <c r="AI6" s="637"/>
      <c r="AO6" s="643" t="s">
        <v>305</v>
      </c>
      <c r="AP6" s="644" t="s">
        <v>132</v>
      </c>
      <c r="AQ6" s="645" t="s">
        <v>49</v>
      </c>
      <c r="AR6" s="645" t="s">
        <v>39</v>
      </c>
      <c r="AS6" s="626" t="s">
        <v>700</v>
      </c>
    </row>
    <row r="7" spans="4:46">
      <c r="D7" s="632" t="s">
        <v>383</v>
      </c>
      <c r="E7" s="641" t="s">
        <v>699</v>
      </c>
      <c r="F7" s="641" t="s">
        <v>710</v>
      </c>
      <c r="G7" s="642" t="s">
        <v>716</v>
      </c>
      <c r="H7" s="636" t="s">
        <v>696</v>
      </c>
      <c r="I7" s="636" t="s">
        <v>721</v>
      </c>
      <c r="J7" s="633">
        <v>19</v>
      </c>
      <c r="K7" s="637"/>
      <c r="L7" s="632" t="s">
        <v>287</v>
      </c>
      <c r="M7" s="641" t="s">
        <v>701</v>
      </c>
      <c r="N7" s="642" t="s">
        <v>707</v>
      </c>
      <c r="O7" s="642" t="s">
        <v>49</v>
      </c>
      <c r="P7" s="632" t="s">
        <v>700</v>
      </c>
      <c r="Q7" s="636" t="s">
        <v>721</v>
      </c>
      <c r="R7" s="633">
        <v>19</v>
      </c>
      <c r="S7" s="635"/>
      <c r="T7" s="632" t="s">
        <v>353</v>
      </c>
      <c r="U7" s="641" t="s">
        <v>125</v>
      </c>
      <c r="V7" s="642" t="s">
        <v>59</v>
      </c>
      <c r="W7" s="642" t="s">
        <v>32</v>
      </c>
      <c r="X7" s="632" t="s">
        <v>700</v>
      </c>
      <c r="Y7" s="636" t="s">
        <v>718</v>
      </c>
      <c r="Z7" s="636">
        <v>1</v>
      </c>
      <c r="AA7" s="635"/>
      <c r="AB7" s="632" t="s">
        <v>299</v>
      </c>
      <c r="AC7" s="641" t="s">
        <v>117</v>
      </c>
      <c r="AD7" s="642" t="s">
        <v>18</v>
      </c>
      <c r="AE7" s="642" t="s">
        <v>32</v>
      </c>
      <c r="AF7" s="632" t="s">
        <v>700</v>
      </c>
      <c r="AG7" s="636" t="s">
        <v>718</v>
      </c>
      <c r="AH7" s="636">
        <v>1</v>
      </c>
      <c r="AI7" s="637"/>
      <c r="AO7" s="643" t="s">
        <v>383</v>
      </c>
      <c r="AP7" s="644" t="s">
        <v>699</v>
      </c>
      <c r="AQ7" s="644" t="s">
        <v>710</v>
      </c>
      <c r="AR7" s="645" t="s">
        <v>716</v>
      </c>
      <c r="AS7" s="626" t="s">
        <v>722</v>
      </c>
    </row>
    <row r="8" spans="4:46">
      <c r="D8" s="632" t="s">
        <v>343</v>
      </c>
      <c r="E8" s="641" t="s">
        <v>57</v>
      </c>
      <c r="F8" s="642" t="s">
        <v>59</v>
      </c>
      <c r="G8" s="642" t="s">
        <v>44</v>
      </c>
      <c r="H8" s="636" t="s">
        <v>696</v>
      </c>
      <c r="I8" s="636" t="s">
        <v>723</v>
      </c>
      <c r="J8" s="633">
        <v>19</v>
      </c>
      <c r="K8" s="637"/>
      <c r="L8" s="632" t="s">
        <v>345</v>
      </c>
      <c r="M8" s="641" t="s">
        <v>57</v>
      </c>
      <c r="N8" s="641" t="s">
        <v>724</v>
      </c>
      <c r="O8" s="642" t="s">
        <v>44</v>
      </c>
      <c r="P8" s="636" t="s">
        <v>696</v>
      </c>
      <c r="Q8" s="636" t="s">
        <v>723</v>
      </c>
      <c r="R8" s="633">
        <v>5</v>
      </c>
      <c r="S8" s="635"/>
      <c r="T8" s="632" t="s">
        <v>171</v>
      </c>
      <c r="U8" s="641" t="s">
        <v>47</v>
      </c>
      <c r="V8" s="641" t="s">
        <v>713</v>
      </c>
      <c r="W8" s="642" t="s">
        <v>49</v>
      </c>
      <c r="X8" s="632" t="s">
        <v>725</v>
      </c>
      <c r="Y8" s="636" t="s">
        <v>721</v>
      </c>
      <c r="Z8" s="636">
        <v>6</v>
      </c>
      <c r="AA8" s="635"/>
      <c r="AB8" s="632" t="s">
        <v>281</v>
      </c>
      <c r="AC8" s="641" t="s">
        <v>155</v>
      </c>
      <c r="AD8" s="641" t="s">
        <v>710</v>
      </c>
      <c r="AE8" s="642" t="s">
        <v>15</v>
      </c>
      <c r="AF8" s="636" t="s">
        <v>726</v>
      </c>
      <c r="AG8" s="636" t="s">
        <v>721</v>
      </c>
      <c r="AH8" s="636">
        <v>1</v>
      </c>
      <c r="AI8" s="637"/>
      <c r="AO8" s="643" t="s">
        <v>343</v>
      </c>
      <c r="AP8" s="644" t="s">
        <v>57</v>
      </c>
      <c r="AQ8" s="645" t="s">
        <v>59</v>
      </c>
      <c r="AR8" s="645" t="s">
        <v>44</v>
      </c>
      <c r="AS8" s="626" t="s">
        <v>727</v>
      </c>
    </row>
    <row r="9" spans="4:46">
      <c r="D9" s="632" t="s">
        <v>339</v>
      </c>
      <c r="E9" s="641" t="s">
        <v>65</v>
      </c>
      <c r="F9" s="641" t="s">
        <v>110</v>
      </c>
      <c r="G9" s="642" t="s">
        <v>715</v>
      </c>
      <c r="H9" s="636" t="s">
        <v>728</v>
      </c>
      <c r="I9" s="636" t="s">
        <v>723</v>
      </c>
      <c r="J9" s="633">
        <v>19</v>
      </c>
      <c r="K9" s="637"/>
      <c r="L9" s="632" t="s">
        <v>356</v>
      </c>
      <c r="M9" s="641" t="s">
        <v>125</v>
      </c>
      <c r="N9" s="642" t="s">
        <v>13</v>
      </c>
      <c r="O9" s="642" t="s">
        <v>356</v>
      </c>
      <c r="P9" s="636" t="s">
        <v>696</v>
      </c>
      <c r="Q9" s="636" t="s">
        <v>729</v>
      </c>
      <c r="R9" s="633">
        <v>5</v>
      </c>
      <c r="S9" s="635"/>
      <c r="T9" s="632" t="s">
        <v>374</v>
      </c>
      <c r="U9" s="641" t="s">
        <v>135</v>
      </c>
      <c r="V9" s="642" t="s">
        <v>13</v>
      </c>
      <c r="W9" s="642" t="s">
        <v>73</v>
      </c>
      <c r="X9" s="636" t="s">
        <v>706</v>
      </c>
      <c r="Y9" s="636" t="s">
        <v>729</v>
      </c>
      <c r="Z9" s="636">
        <v>1</v>
      </c>
      <c r="AA9" s="635"/>
      <c r="AB9" s="632" t="s">
        <v>284</v>
      </c>
      <c r="AC9" s="641" t="s">
        <v>713</v>
      </c>
      <c r="AD9" s="642" t="s">
        <v>15</v>
      </c>
      <c r="AE9" s="642" t="s">
        <v>73</v>
      </c>
      <c r="AF9" s="632" t="s">
        <v>700</v>
      </c>
      <c r="AG9" s="636" t="s">
        <v>721</v>
      </c>
      <c r="AH9" s="636">
        <v>1</v>
      </c>
      <c r="AI9" s="637"/>
      <c r="AO9" s="643" t="s">
        <v>339</v>
      </c>
      <c r="AP9" s="644" t="s">
        <v>65</v>
      </c>
      <c r="AQ9" s="644" t="s">
        <v>110</v>
      </c>
      <c r="AR9" s="645" t="s">
        <v>715</v>
      </c>
      <c r="AS9" s="646" t="s">
        <v>730</v>
      </c>
    </row>
    <row r="10" spans="4:46">
      <c r="D10" s="632" t="s">
        <v>312</v>
      </c>
      <c r="E10" s="641" t="s">
        <v>117</v>
      </c>
      <c r="F10" s="642" t="s">
        <v>731</v>
      </c>
      <c r="G10" s="642" t="s">
        <v>732</v>
      </c>
      <c r="H10" s="632" t="s">
        <v>700</v>
      </c>
      <c r="I10" s="636" t="s">
        <v>733</v>
      </c>
      <c r="J10" s="633">
        <v>19</v>
      </c>
      <c r="K10" s="637"/>
      <c r="L10" s="632" t="s">
        <v>372</v>
      </c>
      <c r="M10" s="641" t="s">
        <v>48</v>
      </c>
      <c r="N10" s="641" t="s">
        <v>125</v>
      </c>
      <c r="O10" s="642" t="s">
        <v>356</v>
      </c>
      <c r="P10" s="636" t="s">
        <v>728</v>
      </c>
      <c r="Q10" s="636" t="s">
        <v>729</v>
      </c>
      <c r="R10" s="633">
        <v>5</v>
      </c>
      <c r="S10" s="635"/>
      <c r="T10" s="632" t="s">
        <v>349</v>
      </c>
      <c r="U10" s="641" t="s">
        <v>734</v>
      </c>
      <c r="V10" s="642" t="s">
        <v>14</v>
      </c>
      <c r="W10" s="642" t="s">
        <v>71</v>
      </c>
      <c r="X10" s="636" t="s">
        <v>696</v>
      </c>
      <c r="Y10" s="636" t="s">
        <v>735</v>
      </c>
      <c r="Z10" s="636">
        <v>1</v>
      </c>
      <c r="AA10" s="635"/>
      <c r="AB10" s="632" t="s">
        <v>127</v>
      </c>
      <c r="AC10" s="641" t="s">
        <v>61</v>
      </c>
      <c r="AD10" s="641" t="s">
        <v>734</v>
      </c>
      <c r="AE10" s="642" t="s">
        <v>71</v>
      </c>
      <c r="AF10" s="632" t="s">
        <v>736</v>
      </c>
      <c r="AG10" s="647" t="s">
        <v>735</v>
      </c>
      <c r="AH10" s="636">
        <v>0</v>
      </c>
      <c r="AI10" s="637"/>
      <c r="AO10" s="643" t="s">
        <v>312</v>
      </c>
      <c r="AP10" s="644" t="s">
        <v>117</v>
      </c>
      <c r="AQ10" s="645" t="s">
        <v>731</v>
      </c>
      <c r="AR10" s="645" t="s">
        <v>732</v>
      </c>
      <c r="AS10" s="626" t="s">
        <v>737</v>
      </c>
    </row>
    <row r="11" spans="4:46">
      <c r="D11" s="632" t="s">
        <v>321</v>
      </c>
      <c r="E11" s="641" t="s">
        <v>117</v>
      </c>
      <c r="F11" s="642" t="s">
        <v>731</v>
      </c>
      <c r="G11" s="642" t="s">
        <v>732</v>
      </c>
      <c r="H11" s="632" t="s">
        <v>700</v>
      </c>
      <c r="I11" s="636" t="s">
        <v>733</v>
      </c>
      <c r="J11" s="633">
        <v>19</v>
      </c>
      <c r="K11" s="637"/>
      <c r="L11" s="632" t="s">
        <v>315</v>
      </c>
      <c r="M11" s="641" t="s">
        <v>106</v>
      </c>
      <c r="N11" s="642" t="s">
        <v>32</v>
      </c>
      <c r="O11" s="642" t="s">
        <v>738</v>
      </c>
      <c r="P11" s="636" t="s">
        <v>706</v>
      </c>
      <c r="Q11" s="636" t="s">
        <v>733</v>
      </c>
      <c r="R11" s="633">
        <v>7</v>
      </c>
      <c r="S11" s="635"/>
      <c r="T11" s="632" t="s">
        <v>385</v>
      </c>
      <c r="U11" s="641" t="s">
        <v>57</v>
      </c>
      <c r="V11" s="642" t="s">
        <v>14</v>
      </c>
      <c r="W11" s="642" t="s">
        <v>71</v>
      </c>
      <c r="X11" s="636" t="s">
        <v>728</v>
      </c>
      <c r="Y11" s="636" t="s">
        <v>735</v>
      </c>
      <c r="Z11" s="636">
        <v>1</v>
      </c>
      <c r="AA11" s="635"/>
      <c r="AB11" s="632" t="s">
        <v>318</v>
      </c>
      <c r="AC11" s="641" t="s">
        <v>106</v>
      </c>
      <c r="AD11" s="642" t="s">
        <v>32</v>
      </c>
      <c r="AE11" s="642" t="s">
        <v>738</v>
      </c>
      <c r="AF11" s="632" t="s">
        <v>700</v>
      </c>
      <c r="AG11" s="636" t="s">
        <v>733</v>
      </c>
      <c r="AH11" s="636">
        <v>1</v>
      </c>
      <c r="AI11" s="637"/>
      <c r="AO11" s="643" t="s">
        <v>321</v>
      </c>
      <c r="AP11" s="644" t="s">
        <v>117</v>
      </c>
      <c r="AQ11" s="645" t="s">
        <v>731</v>
      </c>
      <c r="AR11" s="645" t="s">
        <v>732</v>
      </c>
      <c r="AS11" s="626" t="s">
        <v>737</v>
      </c>
    </row>
    <row r="12" spans="4:46">
      <c r="D12" s="632" t="s">
        <v>326</v>
      </c>
      <c r="E12" s="641" t="s">
        <v>124</v>
      </c>
      <c r="F12" s="642" t="s">
        <v>739</v>
      </c>
      <c r="G12" s="642" t="s">
        <v>719</v>
      </c>
      <c r="H12" s="632" t="s">
        <v>717</v>
      </c>
      <c r="I12" s="636" t="s">
        <v>733</v>
      </c>
      <c r="J12" s="633">
        <v>19</v>
      </c>
      <c r="K12" s="637"/>
      <c r="L12" s="632" t="s">
        <v>302</v>
      </c>
      <c r="M12" s="641" t="s">
        <v>121</v>
      </c>
      <c r="N12" s="642" t="s">
        <v>740</v>
      </c>
      <c r="O12" s="642" t="s">
        <v>71</v>
      </c>
      <c r="P12" s="636" t="s">
        <v>728</v>
      </c>
      <c r="Q12" s="636" t="s">
        <v>741</v>
      </c>
      <c r="R12" s="633">
        <v>19</v>
      </c>
      <c r="S12" s="635"/>
      <c r="T12" s="632" t="s">
        <v>351</v>
      </c>
      <c r="U12" s="641" t="s">
        <v>742</v>
      </c>
      <c r="V12" s="642" t="s">
        <v>9</v>
      </c>
      <c r="W12" s="642" t="s">
        <v>73</v>
      </c>
      <c r="X12" s="636" t="s">
        <v>696</v>
      </c>
      <c r="Y12" s="636" t="s">
        <v>741</v>
      </c>
      <c r="Z12" s="636">
        <v>2</v>
      </c>
      <c r="AA12" s="635"/>
      <c r="AB12" s="632" t="s">
        <v>324</v>
      </c>
      <c r="AC12" s="641" t="s">
        <v>743</v>
      </c>
      <c r="AD12" s="642" t="s">
        <v>73</v>
      </c>
      <c r="AE12" s="642" t="s">
        <v>708</v>
      </c>
      <c r="AF12" s="632" t="s">
        <v>700</v>
      </c>
      <c r="AG12" s="636" t="s">
        <v>733</v>
      </c>
      <c r="AH12" s="636">
        <v>1</v>
      </c>
      <c r="AI12" s="637"/>
      <c r="AO12" s="643" t="s">
        <v>326</v>
      </c>
      <c r="AP12" s="644" t="s">
        <v>124</v>
      </c>
      <c r="AQ12" s="645" t="s">
        <v>739</v>
      </c>
      <c r="AR12" s="645" t="s">
        <v>719</v>
      </c>
      <c r="AS12" s="626" t="s">
        <v>737</v>
      </c>
    </row>
    <row r="13" spans="4:46">
      <c r="D13" s="632" t="s">
        <v>308</v>
      </c>
      <c r="E13" s="641" t="s">
        <v>135</v>
      </c>
      <c r="F13" s="641" t="s">
        <v>132</v>
      </c>
      <c r="G13" s="642" t="s">
        <v>719</v>
      </c>
      <c r="H13" s="636" t="s">
        <v>696</v>
      </c>
      <c r="I13" s="636" t="s">
        <v>741</v>
      </c>
      <c r="J13" s="633">
        <v>9</v>
      </c>
      <c r="K13" s="637"/>
      <c r="L13" s="632" t="s">
        <v>744</v>
      </c>
      <c r="M13" s="641" t="s">
        <v>699</v>
      </c>
      <c r="N13" s="642" t="s">
        <v>24</v>
      </c>
      <c r="O13" s="642" t="s">
        <v>71</v>
      </c>
      <c r="P13" s="636" t="s">
        <v>728</v>
      </c>
      <c r="Q13" s="636" t="s">
        <v>741</v>
      </c>
      <c r="R13" s="633">
        <v>5</v>
      </c>
      <c r="S13" s="635"/>
      <c r="T13" s="632" t="s">
        <v>745</v>
      </c>
      <c r="U13" s="641" t="s">
        <v>704</v>
      </c>
      <c r="V13" s="642" t="s">
        <v>24</v>
      </c>
      <c r="W13" s="642" t="s">
        <v>20</v>
      </c>
      <c r="X13" s="636" t="s">
        <v>728</v>
      </c>
      <c r="Y13" s="636" t="s">
        <v>741</v>
      </c>
      <c r="Z13" s="636">
        <v>1</v>
      </c>
      <c r="AA13" s="635"/>
      <c r="AB13" s="632" t="s">
        <v>746</v>
      </c>
      <c r="AC13" s="641" t="s">
        <v>121</v>
      </c>
      <c r="AD13" s="641" t="s">
        <v>747</v>
      </c>
      <c r="AE13" s="642" t="s">
        <v>738</v>
      </c>
      <c r="AF13" s="636" t="s">
        <v>706</v>
      </c>
      <c r="AG13" s="636" t="s">
        <v>741</v>
      </c>
      <c r="AH13" s="636">
        <v>1</v>
      </c>
      <c r="AI13" s="637"/>
      <c r="AO13" s="643" t="s">
        <v>308</v>
      </c>
      <c r="AP13" s="644" t="s">
        <v>135</v>
      </c>
      <c r="AQ13" s="644" t="s">
        <v>132</v>
      </c>
      <c r="AR13" s="645" t="s">
        <v>719</v>
      </c>
      <c r="AS13" s="626" t="s">
        <v>737</v>
      </c>
    </row>
    <row r="14" spans="4:46">
      <c r="D14" s="632" t="s">
        <v>381</v>
      </c>
      <c r="E14" s="641" t="s">
        <v>58</v>
      </c>
      <c r="F14" s="641" t="s">
        <v>110</v>
      </c>
      <c r="G14" s="642" t="s">
        <v>29</v>
      </c>
      <c r="H14" s="636" t="s">
        <v>728</v>
      </c>
      <c r="I14" s="636" t="s">
        <v>748</v>
      </c>
      <c r="J14" s="633">
        <v>19</v>
      </c>
      <c r="K14" s="637"/>
      <c r="L14" s="632" t="s">
        <v>377</v>
      </c>
      <c r="M14" s="641" t="s">
        <v>58</v>
      </c>
      <c r="N14" s="641" t="s">
        <v>724</v>
      </c>
      <c r="O14" s="642" t="s">
        <v>2</v>
      </c>
      <c r="P14" s="636" t="s">
        <v>706</v>
      </c>
      <c r="Q14" s="636" t="s">
        <v>748</v>
      </c>
      <c r="R14" s="633">
        <v>7</v>
      </c>
      <c r="S14" s="635"/>
      <c r="T14" s="632" t="s">
        <v>379</v>
      </c>
      <c r="U14" s="641" t="s">
        <v>36</v>
      </c>
      <c r="V14" s="641" t="s">
        <v>704</v>
      </c>
      <c r="W14" s="642" t="s">
        <v>716</v>
      </c>
      <c r="X14" s="636" t="s">
        <v>728</v>
      </c>
      <c r="Y14" s="636" t="s">
        <v>748</v>
      </c>
      <c r="Z14" s="636">
        <v>1</v>
      </c>
      <c r="AA14" s="635"/>
      <c r="AB14" s="632" t="s">
        <v>749</v>
      </c>
      <c r="AC14" s="641" t="s">
        <v>125</v>
      </c>
      <c r="AD14" s="641" t="s">
        <v>117</v>
      </c>
      <c r="AE14" s="642" t="s">
        <v>22</v>
      </c>
      <c r="AF14" s="636" t="s">
        <v>706</v>
      </c>
      <c r="AG14" s="636" t="s">
        <v>748</v>
      </c>
      <c r="AH14" s="636">
        <v>1</v>
      </c>
      <c r="AI14" s="637"/>
      <c r="AO14" s="643" t="s">
        <v>381</v>
      </c>
      <c r="AP14" s="644" t="s">
        <v>58</v>
      </c>
      <c r="AQ14" s="644" t="s">
        <v>110</v>
      </c>
      <c r="AR14" s="645" t="s">
        <v>29</v>
      </c>
      <c r="AS14" s="646" t="s">
        <v>730</v>
      </c>
    </row>
    <row r="15" spans="4:46">
      <c r="D15" s="632" t="s">
        <v>387</v>
      </c>
      <c r="E15" s="641" t="s">
        <v>47</v>
      </c>
      <c r="F15" s="642" t="s">
        <v>750</v>
      </c>
      <c r="G15" s="642" t="s">
        <v>716</v>
      </c>
      <c r="H15" s="636" t="s">
        <v>728</v>
      </c>
      <c r="I15" s="636" t="s">
        <v>751</v>
      </c>
      <c r="J15" s="633">
        <v>7</v>
      </c>
      <c r="K15" s="637"/>
      <c r="L15" s="632" t="s">
        <v>363</v>
      </c>
      <c r="M15" s="641" t="s">
        <v>135</v>
      </c>
      <c r="N15" s="642" t="s">
        <v>750</v>
      </c>
      <c r="O15" s="642" t="s">
        <v>711</v>
      </c>
      <c r="P15" s="636" t="s">
        <v>728</v>
      </c>
      <c r="Q15" s="636" t="s">
        <v>751</v>
      </c>
      <c r="R15" s="633">
        <v>7</v>
      </c>
      <c r="S15" s="635"/>
      <c r="T15" s="632" t="s">
        <v>358</v>
      </c>
      <c r="U15" s="641" t="s">
        <v>125</v>
      </c>
      <c r="V15" s="642" t="s">
        <v>740</v>
      </c>
      <c r="W15" s="642" t="s">
        <v>356</v>
      </c>
      <c r="X15" s="632" t="s">
        <v>700</v>
      </c>
      <c r="Y15" s="636" t="s">
        <v>751</v>
      </c>
      <c r="Z15" s="636">
        <v>1</v>
      </c>
      <c r="AA15" s="635"/>
      <c r="AB15" s="632" t="s">
        <v>752</v>
      </c>
      <c r="AC15" s="641" t="s">
        <v>701</v>
      </c>
      <c r="AD15" s="641" t="s">
        <v>753</v>
      </c>
      <c r="AE15" s="642" t="s">
        <v>716</v>
      </c>
      <c r="AF15" s="636" t="s">
        <v>728</v>
      </c>
      <c r="AG15" s="636" t="s">
        <v>751</v>
      </c>
      <c r="AH15" s="636">
        <v>1</v>
      </c>
      <c r="AI15" s="637"/>
      <c r="AO15" s="643" t="s">
        <v>387</v>
      </c>
      <c r="AP15" s="644" t="s">
        <v>47</v>
      </c>
      <c r="AQ15" s="645" t="s">
        <v>750</v>
      </c>
      <c r="AR15" s="645" t="s">
        <v>716</v>
      </c>
      <c r="AS15" s="646" t="s">
        <v>730</v>
      </c>
    </row>
    <row r="16" spans="4:46">
      <c r="D16" s="632" t="s">
        <v>392</v>
      </c>
      <c r="E16" s="641" t="s">
        <v>135</v>
      </c>
      <c r="F16" s="642" t="s">
        <v>26</v>
      </c>
      <c r="G16" s="642" t="s">
        <v>99</v>
      </c>
      <c r="H16" s="632" t="s">
        <v>717</v>
      </c>
      <c r="I16" s="636" t="s">
        <v>754</v>
      </c>
      <c r="J16" s="633">
        <v>19</v>
      </c>
      <c r="K16" s="637"/>
      <c r="L16" s="632" t="s">
        <v>390</v>
      </c>
      <c r="M16" s="641" t="s">
        <v>742</v>
      </c>
      <c r="N16" s="642" t="s">
        <v>755</v>
      </c>
      <c r="O16" s="642" t="s">
        <v>99</v>
      </c>
      <c r="P16" s="632" t="s">
        <v>717</v>
      </c>
      <c r="Q16" s="636" t="s">
        <v>754</v>
      </c>
      <c r="R16" s="633">
        <v>0</v>
      </c>
      <c r="S16" s="635"/>
      <c r="T16" s="632" t="s">
        <v>397</v>
      </c>
      <c r="U16" s="641" t="s">
        <v>110</v>
      </c>
      <c r="V16" s="642" t="s">
        <v>24</v>
      </c>
      <c r="W16" s="642" t="s">
        <v>756</v>
      </c>
      <c r="X16" s="632" t="s">
        <v>717</v>
      </c>
      <c r="Y16" s="636" t="s">
        <v>754</v>
      </c>
      <c r="Z16" s="636">
        <v>0</v>
      </c>
      <c r="AA16" s="635"/>
      <c r="AB16" s="632" t="s">
        <v>399</v>
      </c>
      <c r="AC16" s="641" t="s">
        <v>132</v>
      </c>
      <c r="AD16" s="642" t="s">
        <v>757</v>
      </c>
      <c r="AE16" s="642" t="s">
        <v>99</v>
      </c>
      <c r="AF16" s="632" t="s">
        <v>700</v>
      </c>
      <c r="AG16" s="636" t="s">
        <v>754</v>
      </c>
      <c r="AH16" s="636">
        <v>0</v>
      </c>
      <c r="AI16" s="637"/>
      <c r="AO16" s="643" t="s">
        <v>392</v>
      </c>
      <c r="AP16" s="644" t="s">
        <v>135</v>
      </c>
      <c r="AQ16" s="645" t="s">
        <v>26</v>
      </c>
      <c r="AR16" s="645" t="s">
        <v>99</v>
      </c>
      <c r="AS16" s="626" t="s">
        <v>737</v>
      </c>
    </row>
    <row r="17" spans="3:46">
      <c r="D17" s="632" t="s">
        <v>403</v>
      </c>
      <c r="E17" s="642" t="s">
        <v>10</v>
      </c>
      <c r="F17" s="642" t="s">
        <v>720</v>
      </c>
      <c r="G17" s="642" t="s">
        <v>758</v>
      </c>
      <c r="H17" s="632" t="s">
        <v>759</v>
      </c>
      <c r="I17" s="636" t="s">
        <v>760</v>
      </c>
      <c r="J17" s="633">
        <v>19</v>
      </c>
      <c r="K17" s="637"/>
      <c r="L17" s="632" t="s">
        <v>395</v>
      </c>
      <c r="M17" s="641" t="s">
        <v>709</v>
      </c>
      <c r="N17" s="642" t="s">
        <v>99</v>
      </c>
      <c r="O17" s="642" t="s">
        <v>756</v>
      </c>
      <c r="P17" s="632" t="s">
        <v>717</v>
      </c>
      <c r="Q17" s="636" t="s">
        <v>754</v>
      </c>
      <c r="R17" s="633">
        <v>0</v>
      </c>
      <c r="S17" s="635"/>
      <c r="T17" s="632" t="s">
        <v>401</v>
      </c>
      <c r="U17" s="641" t="s">
        <v>125</v>
      </c>
      <c r="V17" s="642" t="s">
        <v>761</v>
      </c>
      <c r="W17" s="642" t="s">
        <v>758</v>
      </c>
      <c r="X17" s="632" t="s">
        <v>717</v>
      </c>
      <c r="Y17" s="636" t="s">
        <v>754</v>
      </c>
      <c r="Z17" s="636">
        <v>0</v>
      </c>
      <c r="AA17" s="635"/>
      <c r="AB17" s="632" t="s">
        <v>405</v>
      </c>
      <c r="AC17" s="641" t="s">
        <v>57</v>
      </c>
      <c r="AD17" s="642" t="s">
        <v>762</v>
      </c>
      <c r="AE17" s="642" t="s">
        <v>738</v>
      </c>
      <c r="AF17" s="632" t="s">
        <v>700</v>
      </c>
      <c r="AG17" s="636" t="s">
        <v>760</v>
      </c>
      <c r="AH17" s="636">
        <v>1</v>
      </c>
      <c r="AI17" s="637"/>
      <c r="AO17" s="643" t="s">
        <v>403</v>
      </c>
      <c r="AP17" s="645" t="s">
        <v>10</v>
      </c>
      <c r="AQ17" s="645" t="s">
        <v>720</v>
      </c>
      <c r="AR17" s="645" t="s">
        <v>758</v>
      </c>
      <c r="AS17" s="626" t="s">
        <v>763</v>
      </c>
    </row>
    <row r="18" spans="3:46">
      <c r="C18" s="648"/>
      <c r="D18" s="632" t="s">
        <v>412</v>
      </c>
      <c r="E18" s="642" t="s">
        <v>73</v>
      </c>
      <c r="F18" s="642" t="s">
        <v>764</v>
      </c>
      <c r="G18" s="642" t="s">
        <v>756</v>
      </c>
      <c r="H18" s="632" t="s">
        <v>717</v>
      </c>
      <c r="I18" s="636" t="s">
        <v>760</v>
      </c>
      <c r="J18" s="633">
        <v>7</v>
      </c>
      <c r="K18" s="637"/>
      <c r="L18" s="632" t="s">
        <v>409</v>
      </c>
      <c r="M18" s="642" t="s">
        <v>765</v>
      </c>
      <c r="N18" s="642" t="s">
        <v>766</v>
      </c>
      <c r="O18" s="642" t="s">
        <v>708</v>
      </c>
      <c r="P18" s="632" t="s">
        <v>717</v>
      </c>
      <c r="Q18" s="636" t="s">
        <v>760</v>
      </c>
      <c r="R18" s="633">
        <v>0</v>
      </c>
      <c r="S18" s="635"/>
      <c r="T18" s="632" t="s">
        <v>407</v>
      </c>
      <c r="U18" s="642" t="s">
        <v>9</v>
      </c>
      <c r="V18" s="642" t="s">
        <v>99</v>
      </c>
      <c r="W18" s="642" t="s">
        <v>758</v>
      </c>
      <c r="X18" s="632" t="s">
        <v>717</v>
      </c>
      <c r="Y18" s="636" t="s">
        <v>760</v>
      </c>
      <c r="Z18" s="636">
        <v>1</v>
      </c>
      <c r="AA18" s="635"/>
      <c r="AB18" s="632" t="s">
        <v>414</v>
      </c>
      <c r="AC18" s="641" t="s">
        <v>742</v>
      </c>
      <c r="AD18" s="642" t="s">
        <v>767</v>
      </c>
      <c r="AE18" s="642" t="s">
        <v>738</v>
      </c>
      <c r="AF18" s="632" t="s">
        <v>700</v>
      </c>
      <c r="AG18" s="636" t="s">
        <v>760</v>
      </c>
      <c r="AH18" s="636">
        <v>1</v>
      </c>
      <c r="AI18" s="637"/>
      <c r="AO18" s="643" t="s">
        <v>412</v>
      </c>
      <c r="AP18" s="645" t="s">
        <v>73</v>
      </c>
      <c r="AQ18" s="645" t="s">
        <v>764</v>
      </c>
      <c r="AR18" s="645" t="s">
        <v>756</v>
      </c>
      <c r="AS18" s="648" t="s">
        <v>737</v>
      </c>
      <c r="AT18" s="648"/>
    </row>
    <row r="19" spans="3:46">
      <c r="C19" s="648"/>
      <c r="D19" s="632" t="s">
        <v>768</v>
      </c>
      <c r="E19" s="641" t="s">
        <v>62</v>
      </c>
      <c r="F19" s="641" t="s">
        <v>61</v>
      </c>
      <c r="G19" s="642" t="s">
        <v>9</v>
      </c>
      <c r="H19" s="632" t="s">
        <v>717</v>
      </c>
      <c r="I19" s="636" t="s">
        <v>769</v>
      </c>
      <c r="J19" s="633">
        <v>19</v>
      </c>
      <c r="K19" s="637"/>
      <c r="L19" s="632" t="s">
        <v>770</v>
      </c>
      <c r="M19" s="641" t="s">
        <v>41</v>
      </c>
      <c r="N19" s="641" t="s">
        <v>53</v>
      </c>
      <c r="O19" s="642" t="s">
        <v>39</v>
      </c>
      <c r="P19" s="636" t="s">
        <v>728</v>
      </c>
      <c r="Q19" s="636" t="s">
        <v>769</v>
      </c>
      <c r="R19" s="633">
        <v>5</v>
      </c>
      <c r="S19" s="635"/>
      <c r="T19" s="632" t="s">
        <v>771</v>
      </c>
      <c r="U19" s="641" t="s">
        <v>48</v>
      </c>
      <c r="V19" s="641" t="s">
        <v>46</v>
      </c>
      <c r="W19" s="642" t="s">
        <v>740</v>
      </c>
      <c r="X19" s="632" t="s">
        <v>717</v>
      </c>
      <c r="Y19" s="636" t="s">
        <v>769</v>
      </c>
      <c r="Z19" s="636">
        <v>1</v>
      </c>
      <c r="AA19" s="635"/>
      <c r="AB19" s="632" t="s">
        <v>772</v>
      </c>
      <c r="AC19" s="641" t="s">
        <v>58</v>
      </c>
      <c r="AD19" s="641" t="s">
        <v>36</v>
      </c>
      <c r="AE19" s="642" t="s">
        <v>19</v>
      </c>
      <c r="AF19" s="632" t="s">
        <v>773</v>
      </c>
      <c r="AG19" s="636" t="s">
        <v>769</v>
      </c>
      <c r="AH19" s="636">
        <v>1</v>
      </c>
      <c r="AI19" s="637"/>
      <c r="AO19" s="643" t="s">
        <v>768</v>
      </c>
      <c r="AP19" s="644" t="s">
        <v>62</v>
      </c>
      <c r="AQ19" s="644" t="s">
        <v>61</v>
      </c>
      <c r="AR19" s="645" t="s">
        <v>9</v>
      </c>
      <c r="AS19" s="648" t="s">
        <v>773</v>
      </c>
      <c r="AT19" s="648"/>
    </row>
    <row r="20" spans="3:46">
      <c r="C20" s="648"/>
      <c r="D20" s="632" t="s">
        <v>774</v>
      </c>
      <c r="E20" s="641" t="s">
        <v>155</v>
      </c>
      <c r="F20" s="641" t="s">
        <v>42</v>
      </c>
      <c r="G20" s="642" t="s">
        <v>22</v>
      </c>
      <c r="H20" s="632" t="s">
        <v>737</v>
      </c>
      <c r="I20" s="636" t="s">
        <v>775</v>
      </c>
      <c r="J20" s="633">
        <v>19</v>
      </c>
      <c r="K20" s="637"/>
      <c r="L20" s="632" t="s">
        <v>776</v>
      </c>
      <c r="M20" s="641" t="s">
        <v>51</v>
      </c>
      <c r="N20" s="641" t="s">
        <v>66</v>
      </c>
      <c r="O20" s="642" t="s">
        <v>711</v>
      </c>
      <c r="P20" s="632" t="s">
        <v>737</v>
      </c>
      <c r="Q20" s="636" t="s">
        <v>769</v>
      </c>
      <c r="R20" s="633">
        <v>2</v>
      </c>
      <c r="S20" s="635"/>
      <c r="T20" s="632" t="s">
        <v>777</v>
      </c>
      <c r="U20" s="641" t="s">
        <v>43</v>
      </c>
      <c r="V20" s="641" t="s">
        <v>65</v>
      </c>
      <c r="W20" s="642" t="s">
        <v>3</v>
      </c>
      <c r="X20" s="632" t="s">
        <v>737</v>
      </c>
      <c r="Y20" s="636" t="s">
        <v>775</v>
      </c>
      <c r="Z20" s="636">
        <v>1</v>
      </c>
      <c r="AA20" s="635"/>
      <c r="AB20" s="632" t="s">
        <v>778</v>
      </c>
      <c r="AC20" s="641" t="s">
        <v>738</v>
      </c>
      <c r="AD20" s="641" t="s">
        <v>747</v>
      </c>
      <c r="AE20" s="642" t="s">
        <v>715</v>
      </c>
      <c r="AF20" s="632" t="s">
        <v>773</v>
      </c>
      <c r="AG20" s="636" t="s">
        <v>779</v>
      </c>
      <c r="AH20" s="636">
        <v>0</v>
      </c>
      <c r="AI20" s="637"/>
      <c r="AO20" s="643" t="s">
        <v>774</v>
      </c>
      <c r="AP20" s="644" t="s">
        <v>155</v>
      </c>
      <c r="AQ20" s="644" t="s">
        <v>42</v>
      </c>
      <c r="AR20" s="645" t="s">
        <v>22</v>
      </c>
      <c r="AS20" s="648" t="s">
        <v>773</v>
      </c>
      <c r="AT20" s="648"/>
    </row>
    <row r="21" spans="3:46">
      <c r="C21" s="648"/>
      <c r="D21" s="632" t="s">
        <v>780</v>
      </c>
      <c r="E21" s="641" t="s">
        <v>47</v>
      </c>
      <c r="F21" s="641" t="s">
        <v>147</v>
      </c>
      <c r="G21" s="642" t="s">
        <v>731</v>
      </c>
      <c r="H21" s="632" t="s">
        <v>737</v>
      </c>
      <c r="I21" s="636" t="s">
        <v>775</v>
      </c>
      <c r="J21" s="633">
        <v>19</v>
      </c>
      <c r="K21" s="637"/>
      <c r="L21" s="632" t="s">
        <v>781</v>
      </c>
      <c r="M21" s="641" t="s">
        <v>56</v>
      </c>
      <c r="N21" s="641" t="s">
        <v>38</v>
      </c>
      <c r="O21" s="642" t="s">
        <v>59</v>
      </c>
      <c r="P21" s="632" t="s">
        <v>717</v>
      </c>
      <c r="Q21" s="636" t="s">
        <v>775</v>
      </c>
      <c r="R21" s="633">
        <v>0</v>
      </c>
      <c r="S21" s="635"/>
      <c r="T21" s="632" t="s">
        <v>782</v>
      </c>
      <c r="U21" s="641" t="s">
        <v>709</v>
      </c>
      <c r="V21" s="641" t="s">
        <v>125</v>
      </c>
      <c r="W21" s="642" t="s">
        <v>720</v>
      </c>
      <c r="X21" s="632" t="s">
        <v>773</v>
      </c>
      <c r="Y21" s="636" t="s">
        <v>779</v>
      </c>
      <c r="Z21" s="636">
        <v>1</v>
      </c>
      <c r="AA21" s="635"/>
      <c r="AB21" s="632" t="s">
        <v>783</v>
      </c>
      <c r="AC21" s="641" t="s">
        <v>704</v>
      </c>
      <c r="AD21" s="641" t="s">
        <v>724</v>
      </c>
      <c r="AE21" s="642" t="s">
        <v>29</v>
      </c>
      <c r="AF21" s="632" t="s">
        <v>737</v>
      </c>
      <c r="AG21" s="636" t="s">
        <v>784</v>
      </c>
      <c r="AH21" s="636">
        <v>1</v>
      </c>
      <c r="AI21" s="637"/>
      <c r="AO21" s="643" t="s">
        <v>780</v>
      </c>
      <c r="AP21" s="644" t="s">
        <v>47</v>
      </c>
      <c r="AQ21" s="644" t="s">
        <v>147</v>
      </c>
      <c r="AR21" s="645" t="s">
        <v>731</v>
      </c>
      <c r="AS21" s="648" t="s">
        <v>773</v>
      </c>
      <c r="AT21" s="648"/>
    </row>
    <row r="22" spans="3:46">
      <c r="C22" s="648"/>
      <c r="D22" s="632" t="s">
        <v>785</v>
      </c>
      <c r="E22" s="641" t="s">
        <v>57</v>
      </c>
      <c r="F22" s="641" t="s">
        <v>110</v>
      </c>
      <c r="G22" s="642" t="s">
        <v>18</v>
      </c>
      <c r="H22" s="632" t="s">
        <v>717</v>
      </c>
      <c r="I22" s="636" t="s">
        <v>779</v>
      </c>
      <c r="J22" s="633">
        <v>5</v>
      </c>
      <c r="K22" s="637"/>
      <c r="L22" s="632" t="s">
        <v>786</v>
      </c>
      <c r="M22" s="641" t="s">
        <v>57</v>
      </c>
      <c r="N22" s="641" t="s">
        <v>110</v>
      </c>
      <c r="O22" s="642" t="s">
        <v>13</v>
      </c>
      <c r="P22" s="632" t="s">
        <v>717</v>
      </c>
      <c r="Q22" s="636" t="s">
        <v>779</v>
      </c>
      <c r="R22" s="633">
        <v>2</v>
      </c>
      <c r="S22" s="635"/>
      <c r="T22" s="632" t="s">
        <v>787</v>
      </c>
      <c r="U22" s="641" t="s">
        <v>106</v>
      </c>
      <c r="V22" s="641" t="s">
        <v>117</v>
      </c>
      <c r="W22" s="642" t="s">
        <v>71</v>
      </c>
      <c r="X22" s="632" t="s">
        <v>773</v>
      </c>
      <c r="Y22" s="636" t="s">
        <v>779</v>
      </c>
      <c r="Z22" s="636">
        <v>1</v>
      </c>
      <c r="AA22" s="635"/>
      <c r="AB22" s="632" t="s">
        <v>788</v>
      </c>
      <c r="AC22" s="641" t="s">
        <v>38</v>
      </c>
      <c r="AD22" s="641" t="s">
        <v>43</v>
      </c>
      <c r="AE22" s="642" t="s">
        <v>767</v>
      </c>
      <c r="AF22" s="632" t="s">
        <v>737</v>
      </c>
      <c r="AG22" s="636" t="s">
        <v>789</v>
      </c>
      <c r="AH22" s="636">
        <v>1</v>
      </c>
      <c r="AI22" s="637"/>
      <c r="AO22" s="643" t="s">
        <v>785</v>
      </c>
      <c r="AP22" s="644" t="s">
        <v>57</v>
      </c>
      <c r="AQ22" s="644" t="s">
        <v>110</v>
      </c>
      <c r="AR22" s="645" t="s">
        <v>18</v>
      </c>
      <c r="AS22" s="648" t="s">
        <v>737</v>
      </c>
      <c r="AT22" s="648"/>
    </row>
    <row r="23" spans="3:46">
      <c r="C23" s="648"/>
      <c r="D23" s="632" t="s">
        <v>790</v>
      </c>
      <c r="E23" s="641" t="s">
        <v>791</v>
      </c>
      <c r="F23" s="641" t="s">
        <v>743</v>
      </c>
      <c r="G23" s="642" t="s">
        <v>44</v>
      </c>
      <c r="H23" s="632" t="s">
        <v>737</v>
      </c>
      <c r="I23" s="636" t="s">
        <v>784</v>
      </c>
      <c r="J23" s="633">
        <v>19</v>
      </c>
      <c r="K23" s="637"/>
      <c r="L23" s="632" t="s">
        <v>792</v>
      </c>
      <c r="M23" s="641" t="s">
        <v>57</v>
      </c>
      <c r="N23" s="641" t="s">
        <v>699</v>
      </c>
      <c r="O23" s="642" t="s">
        <v>73</v>
      </c>
      <c r="P23" s="632" t="s">
        <v>700</v>
      </c>
      <c r="Q23" s="636" t="s">
        <v>779</v>
      </c>
      <c r="R23" s="633">
        <v>1</v>
      </c>
      <c r="S23" s="635"/>
      <c r="T23" s="632" t="s">
        <v>793</v>
      </c>
      <c r="U23" s="641" t="s">
        <v>794</v>
      </c>
      <c r="V23" s="641" t="s">
        <v>753</v>
      </c>
      <c r="W23" s="642" t="s">
        <v>705</v>
      </c>
      <c r="X23" s="632" t="s">
        <v>737</v>
      </c>
      <c r="Y23" s="636" t="s">
        <v>784</v>
      </c>
      <c r="Z23" s="636">
        <v>1</v>
      </c>
      <c r="AA23" s="635"/>
      <c r="AB23" s="632" t="s">
        <v>795</v>
      </c>
      <c r="AC23" s="641" t="s">
        <v>110</v>
      </c>
      <c r="AD23" s="641" t="s">
        <v>699</v>
      </c>
      <c r="AE23" s="642" t="s">
        <v>32</v>
      </c>
      <c r="AF23" s="632" t="s">
        <v>737</v>
      </c>
      <c r="AG23" s="636" t="s">
        <v>796</v>
      </c>
      <c r="AH23" s="636">
        <v>1</v>
      </c>
      <c r="AI23" s="637"/>
      <c r="AO23" s="643" t="s">
        <v>790</v>
      </c>
      <c r="AP23" s="644" t="s">
        <v>791</v>
      </c>
      <c r="AQ23" s="644" t="s">
        <v>743</v>
      </c>
      <c r="AR23" s="645" t="s">
        <v>44</v>
      </c>
      <c r="AS23" s="648" t="s">
        <v>773</v>
      </c>
      <c r="AT23" s="648"/>
    </row>
    <row r="24" spans="3:46">
      <c r="C24" s="648"/>
      <c r="D24" s="632" t="s">
        <v>797</v>
      </c>
      <c r="E24" s="641" t="s">
        <v>132</v>
      </c>
      <c r="F24" s="641" t="s">
        <v>48</v>
      </c>
      <c r="G24" s="649" t="s">
        <v>750</v>
      </c>
      <c r="H24" s="636" t="s">
        <v>798</v>
      </c>
      <c r="I24" s="636" t="s">
        <v>799</v>
      </c>
      <c r="J24" s="633">
        <v>19</v>
      </c>
      <c r="K24" s="637"/>
      <c r="L24" s="632" t="s">
        <v>800</v>
      </c>
      <c r="M24" s="641" t="s">
        <v>734</v>
      </c>
      <c r="N24" s="641" t="s">
        <v>124</v>
      </c>
      <c r="O24" s="642" t="s">
        <v>719</v>
      </c>
      <c r="P24" s="632" t="s">
        <v>737</v>
      </c>
      <c r="Q24" s="636" t="s">
        <v>784</v>
      </c>
      <c r="R24" s="633">
        <v>1</v>
      </c>
      <c r="S24" s="635"/>
      <c r="T24" s="632" t="s">
        <v>801</v>
      </c>
      <c r="U24" s="641" t="s">
        <v>710</v>
      </c>
      <c r="V24" s="641" t="s">
        <v>742</v>
      </c>
      <c r="W24" s="642" t="s">
        <v>758</v>
      </c>
      <c r="X24" s="636" t="s">
        <v>798</v>
      </c>
      <c r="Y24" s="636" t="s">
        <v>799</v>
      </c>
      <c r="Z24" s="636">
        <v>1</v>
      </c>
      <c r="AA24" s="635"/>
      <c r="AB24" s="632" t="s">
        <v>802</v>
      </c>
      <c r="AC24" s="641" t="s">
        <v>734</v>
      </c>
      <c r="AD24" s="641" t="s">
        <v>124</v>
      </c>
      <c r="AE24" s="642" t="s">
        <v>803</v>
      </c>
      <c r="AF24" s="632" t="s">
        <v>773</v>
      </c>
      <c r="AG24" s="636" t="s">
        <v>804</v>
      </c>
      <c r="AH24" s="636">
        <v>0</v>
      </c>
      <c r="AI24" s="637"/>
      <c r="AO24" s="643" t="s">
        <v>797</v>
      </c>
      <c r="AP24" s="644" t="s">
        <v>132</v>
      </c>
      <c r="AQ24" s="644" t="s">
        <v>48</v>
      </c>
      <c r="AR24" s="645" t="s">
        <v>750</v>
      </c>
      <c r="AS24" s="648" t="s">
        <v>798</v>
      </c>
      <c r="AT24" s="648"/>
    </row>
    <row r="25" spans="3:46">
      <c r="C25" s="648"/>
      <c r="D25" s="632" t="s">
        <v>805</v>
      </c>
      <c r="E25" s="641" t="s">
        <v>46</v>
      </c>
      <c r="F25" s="641" t="s">
        <v>53</v>
      </c>
      <c r="G25" s="642" t="s">
        <v>10</v>
      </c>
      <c r="H25" s="632" t="s">
        <v>737</v>
      </c>
      <c r="I25" s="636" t="s">
        <v>799</v>
      </c>
      <c r="J25" s="633">
        <v>19</v>
      </c>
      <c r="K25" s="637"/>
      <c r="L25" s="632" t="s">
        <v>806</v>
      </c>
      <c r="M25" s="641" t="s">
        <v>807</v>
      </c>
      <c r="N25" s="641" t="s">
        <v>701</v>
      </c>
      <c r="O25" s="642" t="s">
        <v>15</v>
      </c>
      <c r="P25" s="632" t="s">
        <v>773</v>
      </c>
      <c r="Q25" s="636" t="s">
        <v>784</v>
      </c>
      <c r="R25" s="633">
        <v>1</v>
      </c>
      <c r="S25" s="635"/>
      <c r="T25" s="632" t="s">
        <v>808</v>
      </c>
      <c r="U25" s="641" t="s">
        <v>66</v>
      </c>
      <c r="V25" s="641" t="s">
        <v>56</v>
      </c>
      <c r="W25" s="642" t="s">
        <v>762</v>
      </c>
      <c r="X25" s="632" t="s">
        <v>737</v>
      </c>
      <c r="Y25" s="636" t="s">
        <v>789</v>
      </c>
      <c r="Z25" s="636">
        <v>1</v>
      </c>
      <c r="AA25" s="635"/>
      <c r="AB25" s="632" t="s">
        <v>809</v>
      </c>
      <c r="AC25" s="641" t="s">
        <v>51</v>
      </c>
      <c r="AD25" s="641" t="s">
        <v>66</v>
      </c>
      <c r="AE25" s="642" t="s">
        <v>757</v>
      </c>
      <c r="AF25" s="632" t="s">
        <v>773</v>
      </c>
      <c r="AG25" s="636" t="s">
        <v>810</v>
      </c>
      <c r="AH25" s="636">
        <v>0</v>
      </c>
      <c r="AI25" s="637"/>
      <c r="AO25" s="643" t="s">
        <v>805</v>
      </c>
      <c r="AP25" s="644" t="s">
        <v>46</v>
      </c>
      <c r="AQ25" s="644" t="s">
        <v>53</v>
      </c>
      <c r="AR25" s="645" t="s">
        <v>10</v>
      </c>
      <c r="AS25" s="648" t="s">
        <v>773</v>
      </c>
      <c r="AT25" s="648"/>
    </row>
    <row r="26" spans="3:46">
      <c r="C26" s="648"/>
      <c r="D26" s="632" t="s">
        <v>811</v>
      </c>
      <c r="E26" s="641" t="s">
        <v>41</v>
      </c>
      <c r="F26" s="641" t="s">
        <v>36</v>
      </c>
      <c r="G26" s="642" t="s">
        <v>14</v>
      </c>
      <c r="H26" s="632" t="s">
        <v>737</v>
      </c>
      <c r="I26" s="636" t="s">
        <v>789</v>
      </c>
      <c r="J26" s="633">
        <v>19</v>
      </c>
      <c r="K26" s="637"/>
      <c r="L26" s="632" t="s">
        <v>812</v>
      </c>
      <c r="M26" s="641" t="s">
        <v>713</v>
      </c>
      <c r="N26" s="641" t="s">
        <v>813</v>
      </c>
      <c r="O26" s="642" t="s">
        <v>356</v>
      </c>
      <c r="P26" s="636" t="s">
        <v>798</v>
      </c>
      <c r="Q26" s="636" t="s">
        <v>799</v>
      </c>
      <c r="R26" s="633">
        <v>1</v>
      </c>
      <c r="S26" s="635"/>
      <c r="T26" s="632" t="s">
        <v>814</v>
      </c>
      <c r="U26" s="641" t="s">
        <v>65</v>
      </c>
      <c r="V26" s="641" t="s">
        <v>155</v>
      </c>
      <c r="W26" s="642" t="s">
        <v>698</v>
      </c>
      <c r="X26" s="632" t="s">
        <v>717</v>
      </c>
      <c r="Y26" s="636" t="s">
        <v>789</v>
      </c>
      <c r="Z26" s="636">
        <v>1</v>
      </c>
      <c r="AA26" s="635"/>
      <c r="AB26" s="632" t="s">
        <v>815</v>
      </c>
      <c r="AC26" s="641" t="s">
        <v>57</v>
      </c>
      <c r="AD26" s="641" t="s">
        <v>110</v>
      </c>
      <c r="AE26" s="642" t="s">
        <v>716</v>
      </c>
      <c r="AF26" s="632" t="s">
        <v>773</v>
      </c>
      <c r="AG26" s="636" t="s">
        <v>266</v>
      </c>
      <c r="AH26" s="636">
        <v>6</v>
      </c>
      <c r="AI26" s="637"/>
      <c r="AO26" s="643" t="s">
        <v>811</v>
      </c>
      <c r="AP26" s="644" t="s">
        <v>41</v>
      </c>
      <c r="AQ26" s="644" t="s">
        <v>36</v>
      </c>
      <c r="AR26" s="645" t="s">
        <v>14</v>
      </c>
      <c r="AS26" s="648" t="s">
        <v>737</v>
      </c>
      <c r="AT26" s="648"/>
    </row>
    <row r="27" spans="3:46">
      <c r="C27" s="650"/>
      <c r="D27" s="632" t="s">
        <v>816</v>
      </c>
      <c r="E27" s="641" t="s">
        <v>43</v>
      </c>
      <c r="F27" s="641" t="s">
        <v>65</v>
      </c>
      <c r="G27" s="642" t="s">
        <v>781</v>
      </c>
      <c r="H27" s="632" t="s">
        <v>773</v>
      </c>
      <c r="I27" s="636" t="s">
        <v>796</v>
      </c>
      <c r="J27" s="633">
        <v>19</v>
      </c>
      <c r="K27" s="637"/>
      <c r="L27" s="632" t="s">
        <v>817</v>
      </c>
      <c r="M27" s="641" t="s">
        <v>62</v>
      </c>
      <c r="N27" s="641" t="s">
        <v>61</v>
      </c>
      <c r="O27" s="642" t="s">
        <v>732</v>
      </c>
      <c r="P27" s="632" t="s">
        <v>737</v>
      </c>
      <c r="Q27" s="636" t="s">
        <v>789</v>
      </c>
      <c r="R27" s="633">
        <v>1</v>
      </c>
      <c r="S27" s="635"/>
      <c r="T27" s="632" t="s">
        <v>818</v>
      </c>
      <c r="U27" s="641" t="s">
        <v>147</v>
      </c>
      <c r="V27" s="641" t="s">
        <v>57</v>
      </c>
      <c r="W27" s="642" t="s">
        <v>2</v>
      </c>
      <c r="X27" s="632" t="s">
        <v>773</v>
      </c>
      <c r="Y27" s="636" t="s">
        <v>796</v>
      </c>
      <c r="Z27" s="636">
        <v>0</v>
      </c>
      <c r="AA27" s="635"/>
      <c r="AB27" s="632" t="s">
        <v>819</v>
      </c>
      <c r="AC27" s="641" t="s">
        <v>125</v>
      </c>
      <c r="AD27" s="641" t="s">
        <v>121</v>
      </c>
      <c r="AE27" s="642" t="s">
        <v>99</v>
      </c>
      <c r="AF27" s="632" t="s">
        <v>773</v>
      </c>
      <c r="AG27" s="636" t="s">
        <v>820</v>
      </c>
      <c r="AH27" s="636">
        <v>7</v>
      </c>
      <c r="AI27" s="637"/>
      <c r="AO27" s="643" t="s">
        <v>816</v>
      </c>
      <c r="AP27" s="644" t="s">
        <v>43</v>
      </c>
      <c r="AQ27" s="644" t="s">
        <v>65</v>
      </c>
      <c r="AR27" s="645" t="s">
        <v>781</v>
      </c>
      <c r="AS27" s="626" t="s">
        <v>773</v>
      </c>
    </row>
    <row r="28" spans="3:46">
      <c r="C28" s="650"/>
      <c r="D28" s="632" t="s">
        <v>821</v>
      </c>
      <c r="E28" s="641" t="s">
        <v>106</v>
      </c>
      <c r="F28" s="641" t="s">
        <v>117</v>
      </c>
      <c r="G28" s="649" t="s">
        <v>822</v>
      </c>
      <c r="H28" s="632" t="s">
        <v>773</v>
      </c>
      <c r="I28" s="636" t="s">
        <v>804</v>
      </c>
      <c r="J28" s="633">
        <v>0</v>
      </c>
      <c r="K28" s="637"/>
      <c r="L28" s="632" t="s">
        <v>823</v>
      </c>
      <c r="M28" s="641" t="s">
        <v>58</v>
      </c>
      <c r="N28" s="641" t="s">
        <v>51</v>
      </c>
      <c r="O28" s="642" t="s">
        <v>739</v>
      </c>
      <c r="P28" s="632" t="s">
        <v>737</v>
      </c>
      <c r="Q28" s="636" t="s">
        <v>789</v>
      </c>
      <c r="R28" s="633">
        <v>1</v>
      </c>
      <c r="S28" s="635"/>
      <c r="T28" s="632" t="s">
        <v>824</v>
      </c>
      <c r="U28" s="641" t="s">
        <v>738</v>
      </c>
      <c r="V28" s="641" t="s">
        <v>747</v>
      </c>
      <c r="W28" s="642" t="s">
        <v>756</v>
      </c>
      <c r="X28" s="632" t="s">
        <v>773</v>
      </c>
      <c r="Y28" s="636" t="s">
        <v>804</v>
      </c>
      <c r="Z28" s="636">
        <v>1</v>
      </c>
      <c r="AA28" s="635"/>
      <c r="AB28" s="632" t="s">
        <v>825</v>
      </c>
      <c r="AC28" s="641" t="s">
        <v>43</v>
      </c>
      <c r="AD28" s="641" t="s">
        <v>65</v>
      </c>
      <c r="AE28" s="642" t="s">
        <v>716</v>
      </c>
      <c r="AF28" s="632" t="s">
        <v>773</v>
      </c>
      <c r="AG28" s="636" t="s">
        <v>695</v>
      </c>
      <c r="AH28" s="636">
        <v>8</v>
      </c>
      <c r="AI28" s="637"/>
      <c r="AO28" s="643" t="s">
        <v>821</v>
      </c>
      <c r="AP28" s="644" t="s">
        <v>106</v>
      </c>
      <c r="AQ28" s="644" t="s">
        <v>117</v>
      </c>
      <c r="AR28" s="645" t="s">
        <v>822</v>
      </c>
      <c r="AS28" s="626" t="s">
        <v>773</v>
      </c>
    </row>
    <row r="29" spans="3:46">
      <c r="C29" s="650"/>
      <c r="D29" s="632" t="s">
        <v>826</v>
      </c>
      <c r="E29" s="641" t="s">
        <v>41</v>
      </c>
      <c r="F29" s="641" t="s">
        <v>58</v>
      </c>
      <c r="G29" s="642" t="s">
        <v>761</v>
      </c>
      <c r="H29" s="632" t="s">
        <v>773</v>
      </c>
      <c r="I29" s="636" t="s">
        <v>810</v>
      </c>
      <c r="J29" s="633">
        <v>19</v>
      </c>
      <c r="K29" s="637"/>
      <c r="L29" s="632" t="s">
        <v>827</v>
      </c>
      <c r="M29" s="641" t="s">
        <v>42</v>
      </c>
      <c r="N29" s="641" t="s">
        <v>47</v>
      </c>
      <c r="O29" s="642" t="s">
        <v>707</v>
      </c>
      <c r="P29" s="632" t="s">
        <v>773</v>
      </c>
      <c r="Q29" s="636" t="s">
        <v>796</v>
      </c>
      <c r="R29" s="633">
        <v>1</v>
      </c>
      <c r="S29" s="635"/>
      <c r="T29" s="632" t="s">
        <v>828</v>
      </c>
      <c r="U29" s="641" t="s">
        <v>61</v>
      </c>
      <c r="V29" s="641" t="s">
        <v>36</v>
      </c>
      <c r="W29" s="642" t="s">
        <v>755</v>
      </c>
      <c r="X29" s="632" t="s">
        <v>773</v>
      </c>
      <c r="Y29" s="636" t="s">
        <v>810</v>
      </c>
      <c r="Z29" s="636">
        <v>0</v>
      </c>
      <c r="AA29" s="635"/>
      <c r="AB29" s="651" t="s">
        <v>380</v>
      </c>
      <c r="AC29" s="641" t="s">
        <v>61</v>
      </c>
      <c r="AD29" s="641" t="s">
        <v>36</v>
      </c>
      <c r="AE29" s="652" t="s">
        <v>49</v>
      </c>
      <c r="AF29" s="636" t="s">
        <v>829</v>
      </c>
      <c r="AG29" s="636" t="s">
        <v>830</v>
      </c>
      <c r="AH29" s="636">
        <v>0</v>
      </c>
      <c r="AI29" s="637"/>
      <c r="AO29" s="643" t="s">
        <v>826</v>
      </c>
      <c r="AP29" s="644" t="s">
        <v>41</v>
      </c>
      <c r="AQ29" s="644" t="s">
        <v>58</v>
      </c>
      <c r="AR29" s="645" t="s">
        <v>761</v>
      </c>
      <c r="AS29" s="626" t="s">
        <v>773</v>
      </c>
    </row>
    <row r="30" spans="3:46">
      <c r="C30" s="650"/>
      <c r="D30" s="632" t="s">
        <v>831</v>
      </c>
      <c r="E30" s="641" t="s">
        <v>47</v>
      </c>
      <c r="F30" s="641" t="s">
        <v>147</v>
      </c>
      <c r="G30" s="642" t="s">
        <v>766</v>
      </c>
      <c r="H30" s="632" t="s">
        <v>773</v>
      </c>
      <c r="I30" s="636" t="s">
        <v>266</v>
      </c>
      <c r="J30" s="633">
        <v>19</v>
      </c>
      <c r="K30" s="637"/>
      <c r="L30" s="632" t="s">
        <v>832</v>
      </c>
      <c r="M30" s="641" t="s">
        <v>709</v>
      </c>
      <c r="N30" s="641" t="s">
        <v>125</v>
      </c>
      <c r="O30" s="642" t="s">
        <v>49</v>
      </c>
      <c r="P30" s="632" t="s">
        <v>737</v>
      </c>
      <c r="Q30" s="636" t="s">
        <v>796</v>
      </c>
      <c r="R30" s="633">
        <v>1</v>
      </c>
      <c r="S30" s="635"/>
      <c r="T30" s="632" t="s">
        <v>833</v>
      </c>
      <c r="U30" s="641" t="s">
        <v>43</v>
      </c>
      <c r="V30" s="641" t="s">
        <v>65</v>
      </c>
      <c r="W30" s="642" t="s">
        <v>781</v>
      </c>
      <c r="X30" s="632" t="s">
        <v>773</v>
      </c>
      <c r="Y30" s="636" t="s">
        <v>266</v>
      </c>
      <c r="Z30" s="636">
        <v>1</v>
      </c>
      <c r="AA30" s="635"/>
      <c r="AB30" s="651" t="s">
        <v>370</v>
      </c>
      <c r="AC30" s="641" t="s">
        <v>110</v>
      </c>
      <c r="AD30" s="641" t="s">
        <v>699</v>
      </c>
      <c r="AE30" s="652" t="s">
        <v>767</v>
      </c>
      <c r="AF30" s="636" t="s">
        <v>829</v>
      </c>
      <c r="AG30" s="636" t="s">
        <v>834</v>
      </c>
      <c r="AH30" s="636">
        <v>1</v>
      </c>
      <c r="AI30" s="637"/>
      <c r="AO30" s="643" t="s">
        <v>831</v>
      </c>
      <c r="AP30" s="644" t="s">
        <v>47</v>
      </c>
      <c r="AQ30" s="644" t="s">
        <v>147</v>
      </c>
      <c r="AR30" s="645" t="s">
        <v>766</v>
      </c>
      <c r="AS30" s="626" t="s">
        <v>773</v>
      </c>
    </row>
    <row r="31" spans="3:46">
      <c r="C31" s="650"/>
      <c r="D31" s="632" t="s">
        <v>835</v>
      </c>
      <c r="E31" s="641" t="s">
        <v>135</v>
      </c>
      <c r="F31" s="641" t="s">
        <v>48</v>
      </c>
      <c r="G31" s="642" t="s">
        <v>22</v>
      </c>
      <c r="H31" s="632" t="s">
        <v>773</v>
      </c>
      <c r="I31" s="636" t="s">
        <v>820</v>
      </c>
      <c r="J31" s="633">
        <v>19</v>
      </c>
      <c r="K31" s="637"/>
      <c r="L31" s="632" t="s">
        <v>836</v>
      </c>
      <c r="M31" s="641" t="s">
        <v>121</v>
      </c>
      <c r="N31" s="641" t="s">
        <v>135</v>
      </c>
      <c r="O31" s="649" t="s">
        <v>708</v>
      </c>
      <c r="P31" s="632" t="s">
        <v>773</v>
      </c>
      <c r="Q31" s="636" t="s">
        <v>804</v>
      </c>
      <c r="R31" s="633">
        <v>5</v>
      </c>
      <c r="S31" s="635"/>
      <c r="T31" s="632" t="s">
        <v>837</v>
      </c>
      <c r="U31" s="641" t="s">
        <v>46</v>
      </c>
      <c r="V31" s="641" t="s">
        <v>53</v>
      </c>
      <c r="W31" s="642" t="s">
        <v>731</v>
      </c>
      <c r="X31" s="632" t="s">
        <v>773</v>
      </c>
      <c r="Y31" s="636" t="s">
        <v>820</v>
      </c>
      <c r="Z31" s="636">
        <v>8</v>
      </c>
      <c r="AA31" s="635"/>
      <c r="AB31" s="651" t="s">
        <v>344</v>
      </c>
      <c r="AC31" s="641" t="s">
        <v>106</v>
      </c>
      <c r="AD31" s="641" t="s">
        <v>117</v>
      </c>
      <c r="AE31" s="652" t="s">
        <v>766</v>
      </c>
      <c r="AF31" s="636" t="s">
        <v>829</v>
      </c>
      <c r="AG31" s="636" t="s">
        <v>838</v>
      </c>
      <c r="AH31" s="636">
        <v>1</v>
      </c>
      <c r="AI31" s="637"/>
      <c r="AO31" s="643" t="s">
        <v>835</v>
      </c>
      <c r="AP31" s="644" t="s">
        <v>135</v>
      </c>
      <c r="AQ31" s="644" t="s">
        <v>48</v>
      </c>
      <c r="AR31" s="645" t="s">
        <v>22</v>
      </c>
      <c r="AS31" s="626" t="s">
        <v>773</v>
      </c>
    </row>
    <row r="32" ht="15" customHeight="1" spans="3:46">
      <c r="C32" s="650"/>
      <c r="D32" s="632" t="s">
        <v>839</v>
      </c>
      <c r="E32" s="641" t="s">
        <v>56</v>
      </c>
      <c r="F32" s="641" t="s">
        <v>38</v>
      </c>
      <c r="G32" s="642" t="s">
        <v>708</v>
      </c>
      <c r="H32" s="632" t="s">
        <v>773</v>
      </c>
      <c r="I32" s="636" t="s">
        <v>695</v>
      </c>
      <c r="J32" s="633">
        <v>19</v>
      </c>
      <c r="K32" s="637"/>
      <c r="L32" s="632" t="s">
        <v>840</v>
      </c>
      <c r="M32" s="641" t="s">
        <v>48</v>
      </c>
      <c r="N32" s="641" t="s">
        <v>46</v>
      </c>
      <c r="O32" s="642" t="s">
        <v>26</v>
      </c>
      <c r="P32" s="632" t="s">
        <v>717</v>
      </c>
      <c r="Q32" s="636" t="s">
        <v>804</v>
      </c>
      <c r="R32" s="633">
        <v>1</v>
      </c>
      <c r="S32" s="635"/>
      <c r="T32" s="635">
        <f>COUNTA(T3:T31)</f>
        <v>29</v>
      </c>
      <c r="U32" s="637"/>
      <c r="V32" s="637"/>
      <c r="W32" s="637"/>
      <c r="X32" s="635"/>
      <c r="Y32" s="635"/>
      <c r="Z32" s="635"/>
      <c r="AA32" s="637"/>
      <c r="AB32" s="651" t="s">
        <v>396</v>
      </c>
      <c r="AC32" s="641" t="s">
        <v>56</v>
      </c>
      <c r="AD32" s="641" t="s">
        <v>61</v>
      </c>
      <c r="AE32" s="652" t="s">
        <v>841</v>
      </c>
      <c r="AF32" s="636" t="s">
        <v>829</v>
      </c>
      <c r="AG32" s="636" t="s">
        <v>842</v>
      </c>
      <c r="AH32" s="636">
        <v>0</v>
      </c>
      <c r="AI32" s="637"/>
      <c r="AO32" s="643" t="s">
        <v>839</v>
      </c>
      <c r="AP32" s="644" t="s">
        <v>56</v>
      </c>
      <c r="AQ32" s="644" t="s">
        <v>38</v>
      </c>
      <c r="AR32" s="645" t="s">
        <v>708</v>
      </c>
      <c r="AS32" s="626" t="s">
        <v>773</v>
      </c>
    </row>
    <row r="33" spans="3:45">
      <c r="C33" s="650"/>
      <c r="D33" s="651" t="s">
        <v>843</v>
      </c>
      <c r="E33" s="641" t="s">
        <v>51</v>
      </c>
      <c r="F33" s="641" t="s">
        <v>66</v>
      </c>
      <c r="G33" s="653" t="s">
        <v>24</v>
      </c>
      <c r="H33" s="636" t="s">
        <v>829</v>
      </c>
      <c r="I33" s="636" t="s">
        <v>830</v>
      </c>
      <c r="J33" s="633">
        <v>19</v>
      </c>
      <c r="K33" s="637"/>
      <c r="L33" s="632" t="s">
        <v>844</v>
      </c>
      <c r="M33" s="641" t="s">
        <v>53</v>
      </c>
      <c r="N33" s="641" t="s">
        <v>62</v>
      </c>
      <c r="O33" s="642" t="s">
        <v>764</v>
      </c>
      <c r="P33" s="632" t="s">
        <v>773</v>
      </c>
      <c r="Q33" s="636" t="s">
        <v>810</v>
      </c>
      <c r="R33" s="633">
        <v>0</v>
      </c>
      <c r="S33" s="635"/>
      <c r="T33" s="635"/>
      <c r="U33" s="637"/>
      <c r="V33" s="637"/>
      <c r="W33" s="637"/>
      <c r="X33" s="635"/>
      <c r="Y33" s="635"/>
      <c r="Z33" s="635"/>
      <c r="AA33" s="637"/>
      <c r="AB33" s="651" t="s">
        <v>325</v>
      </c>
      <c r="AC33" s="641" t="s">
        <v>42</v>
      </c>
      <c r="AD33" s="641" t="s">
        <v>47</v>
      </c>
      <c r="AE33" s="652" t="s">
        <v>845</v>
      </c>
      <c r="AF33" s="636" t="s">
        <v>829</v>
      </c>
      <c r="AG33" s="636" t="s">
        <v>846</v>
      </c>
      <c r="AH33" s="636">
        <v>0</v>
      </c>
      <c r="AI33" s="637"/>
      <c r="AO33" s="654" t="s">
        <v>843</v>
      </c>
      <c r="AP33" s="644" t="s">
        <v>51</v>
      </c>
      <c r="AQ33" s="644" t="s">
        <v>66</v>
      </c>
      <c r="AR33" s="645" t="s">
        <v>24</v>
      </c>
      <c r="AS33" s="626" t="s">
        <v>847</v>
      </c>
    </row>
    <row r="34" spans="3:45">
      <c r="C34" s="650"/>
      <c r="D34" s="651" t="s">
        <v>848</v>
      </c>
      <c r="E34" s="641" t="s">
        <v>41</v>
      </c>
      <c r="F34" s="641" t="s">
        <v>58</v>
      </c>
      <c r="G34" s="653" t="s">
        <v>707</v>
      </c>
      <c r="H34" s="636" t="s">
        <v>829</v>
      </c>
      <c r="I34" s="636" t="s">
        <v>830</v>
      </c>
      <c r="J34" s="633">
        <v>19</v>
      </c>
      <c r="K34" s="637"/>
      <c r="L34" s="632" t="s">
        <v>849</v>
      </c>
      <c r="M34" s="641" t="s">
        <v>56</v>
      </c>
      <c r="N34" s="641" t="s">
        <v>38</v>
      </c>
      <c r="O34" s="642" t="s">
        <v>765</v>
      </c>
      <c r="P34" s="636" t="s">
        <v>728</v>
      </c>
      <c r="Q34" s="636" t="s">
        <v>810</v>
      </c>
      <c r="R34" s="633">
        <v>1</v>
      </c>
      <c r="S34" s="635"/>
      <c r="T34" s="635"/>
      <c r="U34" s="637"/>
      <c r="V34" s="637"/>
      <c r="W34" s="637"/>
      <c r="X34" s="635"/>
      <c r="Y34" s="635"/>
      <c r="Z34" s="635"/>
      <c r="AA34" s="637"/>
      <c r="AB34" s="651" t="s">
        <v>341</v>
      </c>
      <c r="AC34" s="641" t="s">
        <v>121</v>
      </c>
      <c r="AD34" s="641" t="s">
        <v>51</v>
      </c>
      <c r="AE34" s="652" t="s">
        <v>512</v>
      </c>
      <c r="AF34" s="636" t="s">
        <v>829</v>
      </c>
      <c r="AG34" s="636" t="s">
        <v>850</v>
      </c>
      <c r="AH34" s="636">
        <v>0</v>
      </c>
      <c r="AI34" s="637"/>
      <c r="AO34" s="654" t="s">
        <v>848</v>
      </c>
      <c r="AP34" s="644" t="s">
        <v>41</v>
      </c>
      <c r="AQ34" s="644" t="s">
        <v>58</v>
      </c>
      <c r="AR34" s="645" t="s">
        <v>707</v>
      </c>
      <c r="AS34" s="626" t="s">
        <v>847</v>
      </c>
    </row>
    <row r="35" spans="3:45">
      <c r="C35" s="650"/>
      <c r="D35" s="651" t="s">
        <v>420</v>
      </c>
      <c r="E35" s="641" t="s">
        <v>56</v>
      </c>
      <c r="F35" s="641" t="s">
        <v>38</v>
      </c>
      <c r="G35" s="653" t="s">
        <v>26</v>
      </c>
      <c r="H35" s="636" t="s">
        <v>829</v>
      </c>
      <c r="I35" s="636" t="s">
        <v>834</v>
      </c>
      <c r="J35" s="633">
        <v>19</v>
      </c>
      <c r="K35" s="637"/>
      <c r="L35" s="632" t="s">
        <v>851</v>
      </c>
      <c r="M35" s="641" t="s">
        <v>155</v>
      </c>
      <c r="N35" s="641" t="s">
        <v>42</v>
      </c>
      <c r="O35" s="642" t="s">
        <v>24</v>
      </c>
      <c r="P35" s="632" t="s">
        <v>773</v>
      </c>
      <c r="Q35" s="636" t="s">
        <v>266</v>
      </c>
      <c r="R35" s="633">
        <v>1</v>
      </c>
      <c r="S35" s="635"/>
      <c r="T35" s="635"/>
      <c r="U35" s="637"/>
      <c r="V35" s="637"/>
      <c r="W35" s="637"/>
      <c r="X35" s="635"/>
      <c r="Y35" s="635"/>
      <c r="Z35" s="635"/>
      <c r="AA35" s="637"/>
      <c r="AB35" s="651" t="s">
        <v>852</v>
      </c>
      <c r="AC35" s="655" t="s">
        <v>53</v>
      </c>
      <c r="AD35" s="655" t="s">
        <v>62</v>
      </c>
      <c r="AE35" s="652" t="s">
        <v>512</v>
      </c>
      <c r="AF35" s="636" t="s">
        <v>829</v>
      </c>
      <c r="AG35" s="636" t="s">
        <v>853</v>
      </c>
      <c r="AH35" s="636">
        <v>6</v>
      </c>
      <c r="AI35" s="637"/>
      <c r="AO35" s="654" t="s">
        <v>420</v>
      </c>
      <c r="AP35" s="644" t="s">
        <v>56</v>
      </c>
      <c r="AQ35" s="644" t="s">
        <v>38</v>
      </c>
      <c r="AR35" s="645" t="s">
        <v>26</v>
      </c>
      <c r="AS35" s="626" t="s">
        <v>847</v>
      </c>
    </row>
    <row r="36" spans="3:45">
      <c r="C36" s="650"/>
      <c r="D36" s="651" t="s">
        <v>418</v>
      </c>
      <c r="E36" s="641" t="s">
        <v>155</v>
      </c>
      <c r="F36" s="641" t="s">
        <v>42</v>
      </c>
      <c r="G36" s="653" t="s">
        <v>765</v>
      </c>
      <c r="H36" s="636" t="s">
        <v>829</v>
      </c>
      <c r="I36" s="636" t="s">
        <v>834</v>
      </c>
      <c r="J36" s="633">
        <v>0</v>
      </c>
      <c r="K36" s="637"/>
      <c r="L36" s="632" t="s">
        <v>854</v>
      </c>
      <c r="M36" s="641" t="s">
        <v>699</v>
      </c>
      <c r="N36" s="641" t="s">
        <v>709</v>
      </c>
      <c r="O36" s="642" t="s">
        <v>20</v>
      </c>
      <c r="P36" s="632" t="s">
        <v>773</v>
      </c>
      <c r="Q36" s="636" t="s">
        <v>820</v>
      </c>
      <c r="R36" s="633">
        <v>19</v>
      </c>
      <c r="S36" s="635"/>
      <c r="T36" s="635"/>
      <c r="U36" s="637"/>
      <c r="V36" s="637"/>
      <c r="W36" s="637"/>
      <c r="X36" s="635"/>
      <c r="Y36" s="635"/>
      <c r="Z36" s="635"/>
      <c r="AA36" s="637"/>
      <c r="AB36" s="651" t="s">
        <v>855</v>
      </c>
      <c r="AC36" s="641" t="s">
        <v>147</v>
      </c>
      <c r="AD36" s="641" t="s">
        <v>36</v>
      </c>
      <c r="AE36" s="652" t="s">
        <v>856</v>
      </c>
      <c r="AF36" s="633" t="s">
        <v>829</v>
      </c>
      <c r="AG36" s="633" t="s">
        <v>857</v>
      </c>
      <c r="AH36" s="633">
        <v>1</v>
      </c>
      <c r="AI36" s="637"/>
      <c r="AO36" s="654" t="s">
        <v>418</v>
      </c>
      <c r="AP36" s="644" t="s">
        <v>155</v>
      </c>
      <c r="AQ36" s="644" t="s">
        <v>42</v>
      </c>
      <c r="AR36" s="645" t="s">
        <v>765</v>
      </c>
      <c r="AS36" s="626" t="s">
        <v>847</v>
      </c>
    </row>
    <row r="37" spans="3:45">
      <c r="C37" s="650"/>
      <c r="D37" s="651" t="s">
        <v>362</v>
      </c>
      <c r="E37" s="641" t="s">
        <v>734</v>
      </c>
      <c r="F37" s="641" t="s">
        <v>124</v>
      </c>
      <c r="G37" s="653" t="s">
        <v>3</v>
      </c>
      <c r="H37" s="636" t="s">
        <v>829</v>
      </c>
      <c r="I37" s="636" t="s">
        <v>838</v>
      </c>
      <c r="J37" s="633">
        <v>19</v>
      </c>
      <c r="K37" s="637"/>
      <c r="L37" s="632" t="s">
        <v>858</v>
      </c>
      <c r="M37" s="641" t="s">
        <v>62</v>
      </c>
      <c r="N37" s="641" t="s">
        <v>61</v>
      </c>
      <c r="O37" s="642" t="s">
        <v>13</v>
      </c>
      <c r="P37" s="632" t="s">
        <v>773</v>
      </c>
      <c r="Q37" s="636" t="s">
        <v>820</v>
      </c>
      <c r="R37" s="633">
        <v>5</v>
      </c>
      <c r="S37" s="635"/>
      <c r="T37" s="635"/>
      <c r="U37" s="637"/>
      <c r="V37" s="637"/>
      <c r="W37" s="637"/>
      <c r="X37" s="635"/>
      <c r="Y37" s="635"/>
      <c r="Z37" s="635"/>
      <c r="AA37" s="637"/>
      <c r="AB37" s="651" t="s">
        <v>859</v>
      </c>
      <c r="AC37" s="655" t="s">
        <v>53</v>
      </c>
      <c r="AD37" s="641" t="s">
        <v>121</v>
      </c>
      <c r="AE37" s="652" t="s">
        <v>731</v>
      </c>
      <c r="AF37" s="633" t="s">
        <v>829</v>
      </c>
      <c r="AG37" s="656" t="s">
        <v>857</v>
      </c>
      <c r="AH37" s="656">
        <v>1</v>
      </c>
      <c r="AI37" s="637"/>
      <c r="AO37" s="654" t="s">
        <v>362</v>
      </c>
      <c r="AP37" s="644" t="s">
        <v>734</v>
      </c>
      <c r="AQ37" s="644" t="s">
        <v>124</v>
      </c>
      <c r="AR37" s="645" t="s">
        <v>3</v>
      </c>
      <c r="AS37" s="626" t="s">
        <v>847</v>
      </c>
    </row>
    <row r="38" spans="3:45">
      <c r="C38" s="650"/>
      <c r="D38" s="651" t="s">
        <v>303</v>
      </c>
      <c r="E38" s="641" t="s">
        <v>704</v>
      </c>
      <c r="F38" s="641" t="s">
        <v>724</v>
      </c>
      <c r="G38" s="653" t="s">
        <v>860</v>
      </c>
      <c r="H38" s="636" t="s">
        <v>829</v>
      </c>
      <c r="I38" s="636" t="s">
        <v>838</v>
      </c>
      <c r="J38" s="633">
        <v>19</v>
      </c>
      <c r="K38" s="637"/>
      <c r="L38" s="632" t="s">
        <v>861</v>
      </c>
      <c r="M38" s="641" t="s">
        <v>41</v>
      </c>
      <c r="N38" s="641" t="s">
        <v>58</v>
      </c>
      <c r="O38" s="642" t="s">
        <v>32</v>
      </c>
      <c r="P38" s="632" t="s">
        <v>773</v>
      </c>
      <c r="Q38" s="636" t="s">
        <v>695</v>
      </c>
      <c r="R38" s="633">
        <v>19</v>
      </c>
      <c r="AB38" s="635">
        <f>COUNTA(AB3:AB37)</f>
        <v>35</v>
      </c>
      <c r="AH38" s="637"/>
      <c r="AI38" s="637"/>
      <c r="AO38" s="654" t="s">
        <v>303</v>
      </c>
      <c r="AP38" s="644" t="s">
        <v>704</v>
      </c>
      <c r="AQ38" s="644" t="s">
        <v>724</v>
      </c>
      <c r="AR38" s="645" t="s">
        <v>860</v>
      </c>
      <c r="AS38" s="626" t="s">
        <v>847</v>
      </c>
    </row>
    <row r="39" spans="3:45">
      <c r="C39" s="650"/>
      <c r="D39" s="651" t="s">
        <v>360</v>
      </c>
      <c r="E39" s="641" t="s">
        <v>132</v>
      </c>
      <c r="F39" s="641" t="s">
        <v>53</v>
      </c>
      <c r="G39" s="653" t="s">
        <v>732</v>
      </c>
      <c r="H39" s="636" t="s">
        <v>829</v>
      </c>
      <c r="I39" s="636" t="s">
        <v>862</v>
      </c>
      <c r="J39" s="633">
        <v>5</v>
      </c>
      <c r="K39" s="637"/>
      <c r="L39" s="632" t="s">
        <v>863</v>
      </c>
      <c r="M39" s="641" t="s">
        <v>51</v>
      </c>
      <c r="N39" s="641" t="s">
        <v>66</v>
      </c>
      <c r="O39" s="642" t="s">
        <v>49</v>
      </c>
      <c r="P39" s="632" t="s">
        <v>773</v>
      </c>
      <c r="Q39" s="636" t="s">
        <v>695</v>
      </c>
      <c r="R39" s="633">
        <v>8</v>
      </c>
      <c r="AH39" s="637"/>
      <c r="AI39" s="637"/>
      <c r="AO39" s="654" t="s">
        <v>360</v>
      </c>
      <c r="AP39" s="644" t="s">
        <v>132</v>
      </c>
      <c r="AQ39" s="644" t="s">
        <v>53</v>
      </c>
      <c r="AR39" s="645" t="s">
        <v>732</v>
      </c>
      <c r="AS39" s="626" t="s">
        <v>847</v>
      </c>
    </row>
    <row r="40" spans="3:45">
      <c r="C40" s="650"/>
      <c r="D40" s="651" t="s">
        <v>416</v>
      </c>
      <c r="E40" s="641" t="s">
        <v>58</v>
      </c>
      <c r="F40" s="641" t="s">
        <v>48</v>
      </c>
      <c r="G40" s="653" t="s">
        <v>2</v>
      </c>
      <c r="H40" s="636" t="s">
        <v>829</v>
      </c>
      <c r="I40" s="636" t="s">
        <v>842</v>
      </c>
      <c r="J40" s="633">
        <v>19</v>
      </c>
      <c r="K40" s="637"/>
      <c r="L40" s="651" t="s">
        <v>400</v>
      </c>
      <c r="M40" s="641" t="s">
        <v>48</v>
      </c>
      <c r="N40" s="641" t="s">
        <v>46</v>
      </c>
      <c r="O40" s="652" t="s">
        <v>864</v>
      </c>
      <c r="P40" s="636" t="s">
        <v>829</v>
      </c>
      <c r="Q40" s="636" t="s">
        <v>830</v>
      </c>
      <c r="R40" s="657">
        <v>0</v>
      </c>
      <c r="AH40" s="637"/>
      <c r="AI40" s="637"/>
      <c r="AO40" s="654" t="s">
        <v>416</v>
      </c>
      <c r="AP40" s="644" t="s">
        <v>58</v>
      </c>
      <c r="AQ40" s="644" t="s">
        <v>48</v>
      </c>
      <c r="AR40" s="645" t="s">
        <v>2</v>
      </c>
      <c r="AS40" s="626" t="s">
        <v>847</v>
      </c>
    </row>
    <row r="41" spans="3:45">
      <c r="C41" s="650"/>
      <c r="D41" s="651" t="s">
        <v>428</v>
      </c>
      <c r="E41" s="641" t="s">
        <v>46</v>
      </c>
      <c r="F41" s="641" t="s">
        <v>58</v>
      </c>
      <c r="G41" s="653" t="s">
        <v>2</v>
      </c>
      <c r="H41" s="636" t="s">
        <v>829</v>
      </c>
      <c r="I41" s="636" t="s">
        <v>842</v>
      </c>
      <c r="J41" s="633">
        <v>19</v>
      </c>
      <c r="K41" s="637"/>
      <c r="L41" s="651" t="s">
        <v>366</v>
      </c>
      <c r="M41" s="641" t="s">
        <v>53</v>
      </c>
      <c r="N41" s="641" t="s">
        <v>62</v>
      </c>
      <c r="O41" s="652" t="s">
        <v>856</v>
      </c>
      <c r="P41" s="636" t="s">
        <v>829</v>
      </c>
      <c r="Q41" s="636" t="s">
        <v>830</v>
      </c>
      <c r="R41" s="657">
        <v>0</v>
      </c>
      <c r="AH41" s="637"/>
      <c r="AI41" s="637"/>
      <c r="AO41" s="654" t="s">
        <v>428</v>
      </c>
      <c r="AP41" s="644" t="s">
        <v>46</v>
      </c>
      <c r="AQ41" s="644" t="s">
        <v>58</v>
      </c>
      <c r="AR41" s="645" t="s">
        <v>2</v>
      </c>
      <c r="AS41" s="626" t="s">
        <v>847</v>
      </c>
    </row>
    <row r="42" spans="3:45">
      <c r="C42" s="650"/>
      <c r="D42" s="651" t="s">
        <v>273</v>
      </c>
      <c r="E42" s="641" t="s">
        <v>36</v>
      </c>
      <c r="F42" s="641" t="s">
        <v>41</v>
      </c>
      <c r="G42" s="653" t="s">
        <v>750</v>
      </c>
      <c r="H42" s="636" t="s">
        <v>829</v>
      </c>
      <c r="I42" s="636" t="s">
        <v>842</v>
      </c>
      <c r="J42" s="633">
        <v>0</v>
      </c>
      <c r="K42" s="637"/>
      <c r="L42" s="651" t="s">
        <v>408</v>
      </c>
      <c r="M42" s="641" t="s">
        <v>43</v>
      </c>
      <c r="N42" s="641" t="s">
        <v>65</v>
      </c>
      <c r="O42" s="652" t="s">
        <v>757</v>
      </c>
      <c r="P42" s="636" t="s">
        <v>829</v>
      </c>
      <c r="Q42" s="636" t="s">
        <v>834</v>
      </c>
      <c r="R42" s="657">
        <v>0</v>
      </c>
      <c r="AH42" s="637"/>
      <c r="AI42" s="637"/>
      <c r="AO42" s="654" t="s">
        <v>273</v>
      </c>
      <c r="AP42" s="644" t="s">
        <v>36</v>
      </c>
      <c r="AQ42" s="644" t="s">
        <v>41</v>
      </c>
      <c r="AR42" s="645" t="s">
        <v>750</v>
      </c>
      <c r="AS42" s="626" t="s">
        <v>847</v>
      </c>
    </row>
    <row r="43" spans="3:45">
      <c r="C43" s="650"/>
      <c r="D43" s="651" t="s">
        <v>424</v>
      </c>
      <c r="E43" s="641" t="s">
        <v>46</v>
      </c>
      <c r="F43" s="641" t="s">
        <v>155</v>
      </c>
      <c r="G43" s="653" t="s">
        <v>39</v>
      </c>
      <c r="H43" s="636" t="s">
        <v>829</v>
      </c>
      <c r="I43" s="636" t="s">
        <v>846</v>
      </c>
      <c r="J43" s="633">
        <v>19</v>
      </c>
      <c r="K43" s="637"/>
      <c r="L43" s="651" t="s">
        <v>404</v>
      </c>
      <c r="M43" s="641" t="s">
        <v>709</v>
      </c>
      <c r="N43" s="641" t="s">
        <v>125</v>
      </c>
      <c r="O43" s="652" t="s">
        <v>99</v>
      </c>
      <c r="P43" s="633" t="s">
        <v>829</v>
      </c>
      <c r="Q43" s="633" t="s">
        <v>834</v>
      </c>
      <c r="R43" s="657">
        <v>0</v>
      </c>
      <c r="AH43" s="637"/>
      <c r="AI43" s="637"/>
      <c r="AO43" s="654" t="s">
        <v>424</v>
      </c>
      <c r="AP43" s="644" t="s">
        <v>46</v>
      </c>
      <c r="AQ43" s="644" t="s">
        <v>155</v>
      </c>
      <c r="AR43" s="645" t="s">
        <v>39</v>
      </c>
      <c r="AS43" s="626" t="s">
        <v>847</v>
      </c>
    </row>
    <row r="44" spans="3:45">
      <c r="C44" s="650"/>
      <c r="D44" s="651" t="s">
        <v>279</v>
      </c>
      <c r="E44" s="641" t="s">
        <v>57</v>
      </c>
      <c r="F44" s="641" t="s">
        <v>110</v>
      </c>
      <c r="G44" s="653" t="s">
        <v>698</v>
      </c>
      <c r="H44" s="636" t="s">
        <v>829</v>
      </c>
      <c r="I44" s="636" t="s">
        <v>846</v>
      </c>
      <c r="J44" s="633">
        <v>9</v>
      </c>
      <c r="K44" s="637"/>
      <c r="L44" s="651" t="s">
        <v>309</v>
      </c>
      <c r="M44" s="641" t="s">
        <v>121</v>
      </c>
      <c r="N44" s="641" t="s">
        <v>135</v>
      </c>
      <c r="O44" s="652" t="s">
        <v>803</v>
      </c>
      <c r="P44" s="633" t="s">
        <v>829</v>
      </c>
      <c r="Q44" s="633" t="s">
        <v>834</v>
      </c>
      <c r="R44" s="657">
        <v>1</v>
      </c>
      <c r="AH44" s="637"/>
      <c r="AI44" s="637"/>
      <c r="AO44" s="654" t="s">
        <v>279</v>
      </c>
      <c r="AP44" s="644" t="s">
        <v>57</v>
      </c>
      <c r="AQ44" s="644" t="s">
        <v>110</v>
      </c>
      <c r="AR44" s="645" t="s">
        <v>698</v>
      </c>
      <c r="AS44" s="626" t="s">
        <v>847</v>
      </c>
    </row>
    <row r="45" spans="3:45">
      <c r="C45" s="650"/>
      <c r="D45" s="651" t="s">
        <v>285</v>
      </c>
      <c r="E45" s="641" t="s">
        <v>135</v>
      </c>
      <c r="F45" s="641" t="s">
        <v>738</v>
      </c>
      <c r="G45" s="653" t="s">
        <v>9</v>
      </c>
      <c r="H45" s="636" t="s">
        <v>829</v>
      </c>
      <c r="I45" s="636" t="s">
        <v>850</v>
      </c>
      <c r="J45" s="633">
        <v>0</v>
      </c>
      <c r="K45" s="637"/>
      <c r="L45" s="651" t="s">
        <v>282</v>
      </c>
      <c r="M45" s="641" t="s">
        <v>738</v>
      </c>
      <c r="N45" s="641" t="s">
        <v>747</v>
      </c>
      <c r="O45" s="652" t="s">
        <v>22</v>
      </c>
      <c r="P45" s="633" t="s">
        <v>829</v>
      </c>
      <c r="Q45" s="633" t="s">
        <v>838</v>
      </c>
      <c r="R45" s="657">
        <v>1</v>
      </c>
      <c r="AH45" s="637"/>
      <c r="AI45" s="637"/>
      <c r="AO45" s="654" t="s">
        <v>285</v>
      </c>
      <c r="AP45" s="644" t="s">
        <v>135</v>
      </c>
      <c r="AQ45" s="644" t="s">
        <v>738</v>
      </c>
      <c r="AR45" s="645" t="s">
        <v>9</v>
      </c>
      <c r="AS45" s="626" t="s">
        <v>847</v>
      </c>
    </row>
    <row r="46" spans="3:45">
      <c r="C46" s="650"/>
      <c r="D46" s="651" t="s">
        <v>327</v>
      </c>
      <c r="E46" s="641" t="s">
        <v>747</v>
      </c>
      <c r="F46" s="641" t="s">
        <v>106</v>
      </c>
      <c r="G46" s="653" t="s">
        <v>781</v>
      </c>
      <c r="H46" s="636" t="s">
        <v>829</v>
      </c>
      <c r="I46" s="636" t="s">
        <v>850</v>
      </c>
      <c r="J46" s="633">
        <v>0</v>
      </c>
      <c r="K46" s="637"/>
      <c r="L46" s="651" t="s">
        <v>300</v>
      </c>
      <c r="M46" s="641" t="s">
        <v>794</v>
      </c>
      <c r="N46" s="641" t="s">
        <v>753</v>
      </c>
      <c r="O46" s="652" t="s">
        <v>32</v>
      </c>
      <c r="P46" s="633" t="s">
        <v>829</v>
      </c>
      <c r="Q46" s="633" t="s">
        <v>838</v>
      </c>
      <c r="R46" s="657">
        <v>1</v>
      </c>
      <c r="AH46" s="637"/>
      <c r="AI46" s="637"/>
      <c r="AO46" s="654" t="s">
        <v>327</v>
      </c>
      <c r="AP46" s="644" t="s">
        <v>747</v>
      </c>
      <c r="AQ46" s="644" t="s">
        <v>106</v>
      </c>
      <c r="AR46" s="645" t="s">
        <v>781</v>
      </c>
      <c r="AS46" s="626" t="s">
        <v>847</v>
      </c>
    </row>
    <row r="47" spans="3:45">
      <c r="C47" s="650"/>
      <c r="D47" s="651" t="s">
        <v>865</v>
      </c>
      <c r="E47" s="641" t="s">
        <v>117</v>
      </c>
      <c r="F47" s="641" t="s">
        <v>734</v>
      </c>
      <c r="G47" s="653" t="s">
        <v>720</v>
      </c>
      <c r="H47" s="636" t="s">
        <v>829</v>
      </c>
      <c r="I47" s="636" t="s">
        <v>850</v>
      </c>
      <c r="J47" s="633">
        <v>9</v>
      </c>
      <c r="K47" s="637"/>
      <c r="L47" s="651" t="s">
        <v>350</v>
      </c>
      <c r="M47" s="641" t="s">
        <v>791</v>
      </c>
      <c r="N47" s="641" t="s">
        <v>743</v>
      </c>
      <c r="O47" s="652" t="s">
        <v>18</v>
      </c>
      <c r="P47" s="633" t="s">
        <v>829</v>
      </c>
      <c r="Q47" s="633" t="s">
        <v>838</v>
      </c>
      <c r="R47" s="657">
        <v>1</v>
      </c>
      <c r="AH47" s="637"/>
      <c r="AI47" s="637"/>
      <c r="AO47" s="654" t="s">
        <v>865</v>
      </c>
      <c r="AP47" s="644" t="s">
        <v>117</v>
      </c>
      <c r="AQ47" s="644" t="s">
        <v>734</v>
      </c>
      <c r="AR47" s="645" t="s">
        <v>720</v>
      </c>
      <c r="AS47" s="626" t="s">
        <v>847</v>
      </c>
    </row>
    <row r="48" spans="3:45">
      <c r="C48" s="650"/>
      <c r="D48" s="651" t="s">
        <v>332</v>
      </c>
      <c r="E48" s="641" t="s">
        <v>724</v>
      </c>
      <c r="F48" s="641" t="s">
        <v>807</v>
      </c>
      <c r="G48" s="653" t="s">
        <v>866</v>
      </c>
      <c r="H48" s="636" t="s">
        <v>829</v>
      </c>
      <c r="I48" s="636" t="s">
        <v>867</v>
      </c>
      <c r="J48" s="633">
        <v>5</v>
      </c>
      <c r="K48" s="637"/>
      <c r="L48" s="651" t="s">
        <v>378</v>
      </c>
      <c r="M48" s="641" t="s">
        <v>807</v>
      </c>
      <c r="N48" s="641" t="s">
        <v>701</v>
      </c>
      <c r="O48" s="652" t="s">
        <v>59</v>
      </c>
      <c r="P48" s="633" t="s">
        <v>829</v>
      </c>
      <c r="Q48" s="633" t="s">
        <v>862</v>
      </c>
      <c r="R48" s="657">
        <v>1</v>
      </c>
      <c r="AH48" s="637"/>
      <c r="AI48" s="637"/>
      <c r="AO48" s="654" t="s">
        <v>332</v>
      </c>
      <c r="AP48" s="644" t="s">
        <v>724</v>
      </c>
      <c r="AQ48" s="644" t="s">
        <v>807</v>
      </c>
      <c r="AR48" s="645" t="s">
        <v>866</v>
      </c>
      <c r="AS48" s="626" t="s">
        <v>847</v>
      </c>
    </row>
    <row r="49" ht="15" customHeight="1" spans="3:46">
      <c r="C49" s="650"/>
      <c r="D49" s="651" t="s">
        <v>868</v>
      </c>
      <c r="E49" s="641" t="s">
        <v>48</v>
      </c>
      <c r="F49" s="641" t="s">
        <v>46</v>
      </c>
      <c r="G49" s="653" t="s">
        <v>845</v>
      </c>
      <c r="H49" s="636" t="s">
        <v>829</v>
      </c>
      <c r="I49" s="636" t="s">
        <v>853</v>
      </c>
      <c r="J49" s="633">
        <v>19</v>
      </c>
      <c r="K49" s="637"/>
      <c r="L49" s="651" t="s">
        <v>415</v>
      </c>
      <c r="M49" s="641" t="s">
        <v>57</v>
      </c>
      <c r="N49" s="641" t="s">
        <v>65</v>
      </c>
      <c r="O49" s="652" t="s">
        <v>73</v>
      </c>
      <c r="P49" s="633" t="s">
        <v>829</v>
      </c>
      <c r="Q49" s="633" t="s">
        <v>862</v>
      </c>
      <c r="R49" s="657">
        <v>1</v>
      </c>
      <c r="S49" s="635"/>
      <c r="Y49" s="635"/>
      <c r="Z49" s="635"/>
      <c r="AA49" s="637"/>
      <c r="AB49" s="635"/>
      <c r="AC49" s="637"/>
      <c r="AD49" s="637"/>
      <c r="AE49" s="637"/>
      <c r="AF49" s="637"/>
      <c r="AG49" s="637"/>
      <c r="AH49" s="637"/>
      <c r="AI49" s="637"/>
      <c r="AO49" s="654" t="s">
        <v>868</v>
      </c>
      <c r="AP49" s="644" t="s">
        <v>48</v>
      </c>
      <c r="AQ49" s="644" t="s">
        <v>46</v>
      </c>
      <c r="AR49" s="645" t="s">
        <v>845</v>
      </c>
      <c r="AS49" s="626" t="s">
        <v>847</v>
      </c>
    </row>
    <row r="50" ht="15" customHeight="1" spans="3:46">
      <c r="C50" s="650"/>
      <c r="D50" s="651" t="s">
        <v>869</v>
      </c>
      <c r="E50" s="641" t="s">
        <v>61</v>
      </c>
      <c r="F50" s="641" t="s">
        <v>36</v>
      </c>
      <c r="G50" s="653" t="s">
        <v>720</v>
      </c>
      <c r="H50" s="636" t="s">
        <v>829</v>
      </c>
      <c r="I50" s="636" t="s">
        <v>853</v>
      </c>
      <c r="J50" s="633">
        <v>19</v>
      </c>
      <c r="K50" s="637"/>
      <c r="L50" s="651" t="s">
        <v>364</v>
      </c>
      <c r="M50" s="641" t="s">
        <v>713</v>
      </c>
      <c r="N50" s="641" t="s">
        <v>813</v>
      </c>
      <c r="O50" s="652" t="s">
        <v>870</v>
      </c>
      <c r="P50" s="633" t="s">
        <v>829</v>
      </c>
      <c r="Q50" s="633" t="s">
        <v>862</v>
      </c>
      <c r="R50" s="657">
        <v>0</v>
      </c>
      <c r="S50" s="635"/>
      <c r="T50" s="658" t="s">
        <v>871</v>
      </c>
      <c r="U50" s="659" t="s">
        <v>872</v>
      </c>
      <c r="V50" s="659" t="s">
        <v>873</v>
      </c>
      <c r="W50" s="659" t="s">
        <v>874</v>
      </c>
      <c r="X50" s="660" t="s">
        <v>875</v>
      </c>
      <c r="Y50" s="635"/>
      <c r="Z50" s="635"/>
      <c r="AA50" s="637"/>
      <c r="AB50" s="658" t="s">
        <v>876</v>
      </c>
      <c r="AC50" s="659" t="s">
        <v>877</v>
      </c>
      <c r="AD50" s="659" t="s">
        <v>878</v>
      </c>
      <c r="AE50" s="659" t="s">
        <v>879</v>
      </c>
      <c r="AF50" s="660" t="s">
        <v>880</v>
      </c>
      <c r="AH50" s="637"/>
      <c r="AI50" s="637"/>
      <c r="AO50" s="654" t="s">
        <v>869</v>
      </c>
      <c r="AP50" s="644" t="s">
        <v>61</v>
      </c>
      <c r="AQ50" s="644" t="s">
        <v>36</v>
      </c>
      <c r="AR50" s="645" t="s">
        <v>720</v>
      </c>
      <c r="AS50" s="626" t="s">
        <v>847</v>
      </c>
    </row>
    <row r="51" spans="3:46">
      <c r="D51" s="651" t="s">
        <v>881</v>
      </c>
      <c r="E51" s="641" t="s">
        <v>61</v>
      </c>
      <c r="F51" s="641" t="s">
        <v>709</v>
      </c>
      <c r="G51" s="653" t="s">
        <v>71</v>
      </c>
      <c r="H51" s="633" t="s">
        <v>829</v>
      </c>
      <c r="I51" s="633" t="s">
        <v>857</v>
      </c>
      <c r="J51" s="633">
        <v>19</v>
      </c>
      <c r="K51" s="637"/>
      <c r="L51" s="651" t="s">
        <v>348</v>
      </c>
      <c r="M51" s="641" t="s">
        <v>710</v>
      </c>
      <c r="N51" s="641" t="s">
        <v>742</v>
      </c>
      <c r="O51" s="652" t="s">
        <v>882</v>
      </c>
      <c r="P51" s="633" t="s">
        <v>829</v>
      </c>
      <c r="Q51" s="633" t="s">
        <v>862</v>
      </c>
      <c r="R51" s="657">
        <v>1</v>
      </c>
      <c r="T51" s="661" t="s">
        <v>883</v>
      </c>
      <c r="U51" s="662">
        <v>35</v>
      </c>
      <c r="V51" s="662">
        <v>20</v>
      </c>
      <c r="W51" s="662"/>
      <c r="X51" s="663">
        <v>1</v>
      </c>
      <c r="Z51" s="635"/>
      <c r="AA51" s="637"/>
      <c r="AB51" s="664">
        <v>1</v>
      </c>
      <c r="AC51" s="662">
        <v>3900</v>
      </c>
      <c r="AD51" s="662">
        <v>31200</v>
      </c>
      <c r="AE51" s="662">
        <v>7800</v>
      </c>
      <c r="AF51" s="663">
        <v>3900</v>
      </c>
      <c r="AH51" s="637"/>
      <c r="AI51" s="637"/>
      <c r="AO51" s="665">
        <f>COUNTA(AO3:AO50)</f>
        <v>48</v>
      </c>
    </row>
    <row r="52" spans="3:46">
      <c r="D52" s="651" t="s">
        <v>884</v>
      </c>
      <c r="E52" s="641" t="s">
        <v>47</v>
      </c>
      <c r="F52" s="641" t="s">
        <v>704</v>
      </c>
      <c r="G52" s="653" t="s">
        <v>885</v>
      </c>
      <c r="H52" s="633" t="s">
        <v>829</v>
      </c>
      <c r="I52" s="633" t="s">
        <v>857</v>
      </c>
      <c r="J52" s="633">
        <v>19</v>
      </c>
      <c r="K52" s="635"/>
      <c r="L52" s="651" t="s">
        <v>886</v>
      </c>
      <c r="M52" s="641" t="s">
        <v>51</v>
      </c>
      <c r="N52" s="641" t="s">
        <v>66</v>
      </c>
      <c r="O52" s="652" t="s">
        <v>24</v>
      </c>
      <c r="P52" s="633" t="s">
        <v>829</v>
      </c>
      <c r="Q52" s="633" t="s">
        <v>842</v>
      </c>
      <c r="R52" s="657">
        <v>0</v>
      </c>
      <c r="T52" s="661" t="s">
        <v>887</v>
      </c>
      <c r="U52" s="662">
        <v>49</v>
      </c>
      <c r="V52" s="662">
        <v>25</v>
      </c>
      <c r="W52" s="662"/>
      <c r="X52" s="663">
        <v>1</v>
      </c>
      <c r="Z52" s="635"/>
      <c r="AA52" s="637"/>
      <c r="AB52" s="666">
        <v>2</v>
      </c>
      <c r="AC52" s="662">
        <v>4410</v>
      </c>
      <c r="AD52" s="662">
        <v>35280</v>
      </c>
      <c r="AE52" s="662">
        <v>8820</v>
      </c>
      <c r="AF52" s="663">
        <v>4410</v>
      </c>
      <c r="AH52" s="637"/>
      <c r="AI52" s="637"/>
      <c r="AO52" s="665"/>
    </row>
    <row r="53" spans="3:46">
      <c r="D53" s="635">
        <f>COUNTA(D3:D52)</f>
        <v>50</v>
      </c>
      <c r="E53" s="635"/>
      <c r="F53" s="635"/>
      <c r="G53" s="635"/>
      <c r="H53" s="635"/>
      <c r="I53" s="635"/>
      <c r="J53" s="635"/>
      <c r="K53" s="635"/>
      <c r="L53" s="651" t="s">
        <v>346</v>
      </c>
      <c r="M53" s="641" t="s">
        <v>56</v>
      </c>
      <c r="N53" s="641" t="s">
        <v>38</v>
      </c>
      <c r="O53" s="652" t="s">
        <v>19</v>
      </c>
      <c r="P53" s="633" t="s">
        <v>829</v>
      </c>
      <c r="Q53" s="633" t="s">
        <v>846</v>
      </c>
      <c r="R53" s="657">
        <v>1</v>
      </c>
      <c r="T53" s="661" t="s">
        <v>888</v>
      </c>
      <c r="U53" s="662">
        <v>69</v>
      </c>
      <c r="V53" s="662">
        <v>35</v>
      </c>
      <c r="W53" s="662"/>
      <c r="X53" s="663">
        <v>1</v>
      </c>
      <c r="Z53" s="635"/>
      <c r="AA53" s="637"/>
      <c r="AB53" s="666">
        <v>3</v>
      </c>
      <c r="AC53" s="662">
        <v>5000</v>
      </c>
      <c r="AD53" s="662">
        <v>40000</v>
      </c>
      <c r="AE53" s="662">
        <v>10000</v>
      </c>
      <c r="AF53" s="663">
        <v>5000</v>
      </c>
      <c r="AH53" s="637"/>
      <c r="AI53" s="637"/>
      <c r="AO53" s="665"/>
    </row>
    <row r="54" spans="3:46">
      <c r="D54" s="635"/>
      <c r="E54" s="635"/>
      <c r="F54" s="635"/>
      <c r="G54" s="635"/>
      <c r="H54" s="635"/>
      <c r="I54" s="635"/>
      <c r="J54" s="635"/>
      <c r="K54" s="635"/>
      <c r="L54" s="651" t="s">
        <v>376</v>
      </c>
      <c r="M54" s="641" t="s">
        <v>46</v>
      </c>
      <c r="N54" s="641" t="s">
        <v>43</v>
      </c>
      <c r="O54" s="652" t="s">
        <v>19</v>
      </c>
      <c r="P54" s="633" t="s">
        <v>829</v>
      </c>
      <c r="Q54" s="633" t="s">
        <v>846</v>
      </c>
      <c r="R54" s="657">
        <v>0</v>
      </c>
      <c r="T54" s="661" t="s">
        <v>889</v>
      </c>
      <c r="U54" s="662">
        <v>97</v>
      </c>
      <c r="V54" s="662">
        <v>50</v>
      </c>
      <c r="W54" s="662"/>
      <c r="X54" s="663">
        <v>1</v>
      </c>
      <c r="Z54" s="635"/>
      <c r="AA54" s="637"/>
      <c r="AB54" s="664">
        <v>4</v>
      </c>
      <c r="AC54" s="662">
        <v>5650</v>
      </c>
      <c r="AD54" s="662">
        <v>45200</v>
      </c>
      <c r="AE54" s="662">
        <v>11300</v>
      </c>
      <c r="AF54" s="663">
        <v>5650</v>
      </c>
      <c r="AH54" s="637"/>
      <c r="AI54" s="637"/>
      <c r="AO54" s="665"/>
    </row>
    <row r="55" spans="3:46">
      <c r="D55" s="635"/>
      <c r="E55" s="635"/>
      <c r="F55" s="635"/>
      <c r="G55" s="635"/>
      <c r="H55" s="635"/>
      <c r="I55" s="635"/>
      <c r="J55" s="635"/>
      <c r="K55" s="635"/>
      <c r="L55" s="651" t="s">
        <v>890</v>
      </c>
      <c r="M55" s="641" t="s">
        <v>147</v>
      </c>
      <c r="N55" s="641" t="s">
        <v>699</v>
      </c>
      <c r="O55" s="667" t="s">
        <v>891</v>
      </c>
      <c r="P55" s="633" t="s">
        <v>829</v>
      </c>
      <c r="Q55" s="633" t="s">
        <v>846</v>
      </c>
      <c r="R55" s="657">
        <v>0</v>
      </c>
      <c r="T55" s="661" t="s">
        <v>892</v>
      </c>
      <c r="U55" s="662">
        <v>136</v>
      </c>
      <c r="V55" s="662">
        <v>0</v>
      </c>
      <c r="W55" s="662">
        <v>1</v>
      </c>
      <c r="X55" s="663">
        <v>2</v>
      </c>
      <c r="Z55" s="635"/>
      <c r="AA55" s="637"/>
      <c r="AB55" s="666">
        <v>5</v>
      </c>
      <c r="AC55" s="662">
        <v>6400</v>
      </c>
      <c r="AD55" s="662">
        <v>51200</v>
      </c>
      <c r="AE55" s="662">
        <v>12800</v>
      </c>
      <c r="AF55" s="663">
        <v>6400</v>
      </c>
      <c r="AH55" s="637"/>
      <c r="AI55" s="637"/>
      <c r="AO55" s="668" t="s">
        <v>189</v>
      </c>
      <c r="AP55" s="639" t="s">
        <v>689</v>
      </c>
      <c r="AQ55" s="639" t="s">
        <v>690</v>
      </c>
      <c r="AR55" s="640" t="s">
        <v>691</v>
      </c>
      <c r="AS55" s="639" t="s">
        <v>692</v>
      </c>
      <c r="AT55" s="639"/>
    </row>
    <row r="56" spans="3:46">
      <c r="D56" s="635"/>
      <c r="E56" s="635"/>
      <c r="F56" s="635"/>
      <c r="G56" s="635"/>
      <c r="H56" s="635"/>
      <c r="I56" s="635"/>
      <c r="J56" s="635"/>
      <c r="K56" s="635"/>
      <c r="L56" s="651" t="s">
        <v>402</v>
      </c>
      <c r="M56" s="641" t="s">
        <v>709</v>
      </c>
      <c r="N56" s="641" t="s">
        <v>125</v>
      </c>
      <c r="O56" s="652" t="s">
        <v>777</v>
      </c>
      <c r="P56" s="633" t="s">
        <v>829</v>
      </c>
      <c r="Q56" s="633" t="s">
        <v>850</v>
      </c>
      <c r="R56" s="657">
        <v>1</v>
      </c>
      <c r="T56" s="661" t="s">
        <v>893</v>
      </c>
      <c r="U56" s="662">
        <v>191</v>
      </c>
      <c r="V56" s="662">
        <v>95</v>
      </c>
      <c r="W56" s="662"/>
      <c r="X56" s="663">
        <v>2</v>
      </c>
      <c r="Z56" s="635"/>
      <c r="AA56" s="637"/>
      <c r="AB56" s="666">
        <v>6</v>
      </c>
      <c r="AC56" s="662">
        <v>7230</v>
      </c>
      <c r="AD56" s="662">
        <v>57840</v>
      </c>
      <c r="AE56" s="662">
        <v>14460</v>
      </c>
      <c r="AF56" s="663">
        <v>7230</v>
      </c>
      <c r="AH56" s="637"/>
      <c r="AI56" s="637"/>
      <c r="AO56" s="643" t="s">
        <v>337</v>
      </c>
      <c r="AP56" s="644" t="s">
        <v>48</v>
      </c>
      <c r="AQ56" s="645" t="s">
        <v>13</v>
      </c>
      <c r="AR56" s="645" t="s">
        <v>356</v>
      </c>
      <c r="AS56" s="626" t="s">
        <v>894</v>
      </c>
    </row>
    <row r="57" spans="3:46">
      <c r="D57" s="635"/>
      <c r="E57" s="635"/>
      <c r="F57" s="635"/>
      <c r="G57" s="635"/>
      <c r="H57" s="635"/>
      <c r="I57" s="635"/>
      <c r="J57" s="635"/>
      <c r="K57" s="635"/>
      <c r="L57" s="651" t="s">
        <v>426</v>
      </c>
      <c r="M57" s="641" t="s">
        <v>124</v>
      </c>
      <c r="N57" s="641" t="s">
        <v>794</v>
      </c>
      <c r="O57" s="652" t="s">
        <v>777</v>
      </c>
      <c r="P57" s="633" t="s">
        <v>829</v>
      </c>
      <c r="Q57" s="633" t="s">
        <v>850</v>
      </c>
      <c r="R57" s="657">
        <v>0</v>
      </c>
      <c r="T57" s="661" t="s">
        <v>895</v>
      </c>
      <c r="U57" s="662">
        <v>268</v>
      </c>
      <c r="V57" s="662">
        <v>0</v>
      </c>
      <c r="W57" s="662">
        <v>1</v>
      </c>
      <c r="X57" s="663">
        <v>3</v>
      </c>
      <c r="Z57" s="635"/>
      <c r="AA57" s="637"/>
      <c r="AB57" s="664">
        <v>7</v>
      </c>
      <c r="AC57" s="662">
        <v>8180</v>
      </c>
      <c r="AD57" s="662">
        <v>65440</v>
      </c>
      <c r="AE57" s="662">
        <v>16360</v>
      </c>
      <c r="AF57" s="663">
        <v>8180</v>
      </c>
      <c r="AH57" s="637"/>
      <c r="AI57" s="637"/>
      <c r="AO57" s="643" t="s">
        <v>333</v>
      </c>
      <c r="AP57" s="644" t="s">
        <v>147</v>
      </c>
      <c r="AQ57" s="644" t="s">
        <v>704</v>
      </c>
      <c r="AR57" s="645" t="s">
        <v>705</v>
      </c>
      <c r="AS57" s="626" t="s">
        <v>894</v>
      </c>
    </row>
    <row r="58" spans="3:46">
      <c r="D58" s="669" t="s">
        <v>896</v>
      </c>
      <c r="E58" s="669" t="s">
        <v>191</v>
      </c>
      <c r="F58" s="669" t="s">
        <v>189</v>
      </c>
      <c r="G58" s="669" t="s">
        <v>190</v>
      </c>
      <c r="H58" s="669" t="s">
        <v>192</v>
      </c>
      <c r="I58" s="635"/>
      <c r="J58" s="635"/>
      <c r="K58" s="635"/>
      <c r="L58" s="651" t="s">
        <v>398</v>
      </c>
      <c r="M58" s="641" t="s">
        <v>753</v>
      </c>
      <c r="N58" s="641" t="s">
        <v>791</v>
      </c>
      <c r="O58" s="652" t="s">
        <v>897</v>
      </c>
      <c r="P58" s="633" t="s">
        <v>829</v>
      </c>
      <c r="Q58" s="633" t="s">
        <v>867</v>
      </c>
      <c r="R58" s="657">
        <v>1</v>
      </c>
      <c r="T58" s="661" t="s">
        <v>898</v>
      </c>
      <c r="U58" s="662">
        <v>376</v>
      </c>
      <c r="V58" s="662">
        <v>160</v>
      </c>
      <c r="W58" s="662"/>
      <c r="X58" s="663">
        <v>3</v>
      </c>
      <c r="Z58" s="635"/>
      <c r="AA58" s="637"/>
      <c r="AB58" s="666">
        <v>8</v>
      </c>
      <c r="AC58" s="662">
        <v>9250</v>
      </c>
      <c r="AD58" s="662">
        <v>74000</v>
      </c>
      <c r="AE58" s="662">
        <v>18500</v>
      </c>
      <c r="AF58" s="663">
        <v>9250</v>
      </c>
      <c r="AH58" s="637"/>
      <c r="AI58" s="637"/>
      <c r="AO58" s="643" t="s">
        <v>267</v>
      </c>
      <c r="AP58" s="644" t="s">
        <v>713</v>
      </c>
      <c r="AQ58" s="645" t="s">
        <v>708</v>
      </c>
      <c r="AR58" s="645" t="s">
        <v>707</v>
      </c>
      <c r="AS58" s="626" t="s">
        <v>899</v>
      </c>
    </row>
    <row r="59" spans="3:46">
      <c r="D59" s="669" t="s">
        <v>900</v>
      </c>
      <c r="E59" s="669">
        <v>73220</v>
      </c>
      <c r="F59" s="669">
        <v>585760</v>
      </c>
      <c r="G59" s="669">
        <v>146440</v>
      </c>
      <c r="H59" s="669">
        <v>73220</v>
      </c>
      <c r="I59" s="635"/>
      <c r="J59" s="635"/>
      <c r="K59" s="635"/>
      <c r="L59" s="651" t="s">
        <v>384</v>
      </c>
      <c r="M59" s="641" t="s">
        <v>743</v>
      </c>
      <c r="N59" s="641" t="s">
        <v>704</v>
      </c>
      <c r="O59" s="652" t="s">
        <v>716</v>
      </c>
      <c r="P59" s="633" t="s">
        <v>829</v>
      </c>
      <c r="Q59" s="633" t="s">
        <v>867</v>
      </c>
      <c r="R59" s="657">
        <v>0</v>
      </c>
      <c r="T59" s="661" t="s">
        <v>901</v>
      </c>
      <c r="U59" s="662">
        <v>526</v>
      </c>
      <c r="V59" s="662">
        <v>0</v>
      </c>
      <c r="W59" s="662">
        <v>1</v>
      </c>
      <c r="X59" s="663">
        <v>5</v>
      </c>
      <c r="Z59" s="635"/>
      <c r="AA59" s="637"/>
      <c r="AB59" s="666">
        <v>9</v>
      </c>
      <c r="AC59" s="662">
        <v>10460</v>
      </c>
      <c r="AD59" s="662">
        <v>83680</v>
      </c>
      <c r="AE59" s="662">
        <v>20920</v>
      </c>
      <c r="AF59" s="663">
        <v>10460</v>
      </c>
      <c r="AH59" s="637"/>
      <c r="AI59" s="637"/>
      <c r="AO59" s="643" t="s">
        <v>294</v>
      </c>
      <c r="AP59" s="644" t="s">
        <v>106</v>
      </c>
      <c r="AQ59" s="645" t="s">
        <v>22</v>
      </c>
      <c r="AR59" s="645" t="s">
        <v>719</v>
      </c>
      <c r="AS59" s="626" t="s">
        <v>737</v>
      </c>
    </row>
    <row r="60" spans="3:46">
      <c r="D60" s="669" t="s">
        <v>902</v>
      </c>
      <c r="E60" s="669">
        <v>50</v>
      </c>
      <c r="F60" s="669">
        <v>63</v>
      </c>
      <c r="G60" s="669">
        <v>29</v>
      </c>
      <c r="H60" s="669">
        <v>35</v>
      </c>
      <c r="I60" s="635"/>
      <c r="J60" s="635"/>
      <c r="K60" s="635"/>
      <c r="L60" s="651" t="s">
        <v>382</v>
      </c>
      <c r="M60" s="641" t="s">
        <v>701</v>
      </c>
      <c r="N60" s="641" t="s">
        <v>713</v>
      </c>
      <c r="O60" s="652" t="s">
        <v>903</v>
      </c>
      <c r="P60" s="633" t="s">
        <v>829</v>
      </c>
      <c r="Q60" s="633" t="s">
        <v>867</v>
      </c>
      <c r="R60" s="657">
        <v>0</v>
      </c>
      <c r="T60" s="661" t="s">
        <v>904</v>
      </c>
      <c r="U60" s="662">
        <v>188</v>
      </c>
      <c r="V60" s="662">
        <v>40</v>
      </c>
      <c r="W60" s="662"/>
      <c r="X60" s="663">
        <v>5</v>
      </c>
      <c r="Z60" s="635"/>
      <c r="AA60" s="637"/>
      <c r="AB60" s="664">
        <v>10</v>
      </c>
      <c r="AC60" s="662">
        <v>11280</v>
      </c>
      <c r="AD60" s="662">
        <v>90240</v>
      </c>
      <c r="AE60" s="662">
        <v>22560</v>
      </c>
      <c r="AF60" s="663">
        <v>11280</v>
      </c>
      <c r="AH60" s="637"/>
      <c r="AI60" s="637"/>
      <c r="AO60" s="643" t="s">
        <v>287</v>
      </c>
      <c r="AP60" s="644" t="s">
        <v>701</v>
      </c>
      <c r="AQ60" s="645" t="s">
        <v>707</v>
      </c>
      <c r="AR60" s="645" t="s">
        <v>49</v>
      </c>
      <c r="AS60" s="626" t="s">
        <v>737</v>
      </c>
    </row>
    <row r="61" spans="3:46">
      <c r="D61" s="669" t="s">
        <v>905</v>
      </c>
      <c r="E61" s="669">
        <f>E59*E60</f>
        <v>3661000</v>
      </c>
      <c r="F61" s="669">
        <f>F59*F60</f>
        <v>36902880</v>
      </c>
      <c r="G61" s="669">
        <f>G59*G60</f>
        <v>4246760</v>
      </c>
      <c r="H61" s="669">
        <f>H59*H60</f>
        <v>2562700</v>
      </c>
      <c r="I61" s="635"/>
      <c r="J61" s="635"/>
      <c r="K61" s="635"/>
      <c r="L61" s="651" t="s">
        <v>906</v>
      </c>
      <c r="M61" s="641" t="s">
        <v>813</v>
      </c>
      <c r="N61" s="641" t="s">
        <v>710</v>
      </c>
      <c r="O61" s="652" t="s">
        <v>907</v>
      </c>
      <c r="P61" s="633" t="s">
        <v>829</v>
      </c>
      <c r="Q61" s="633" t="s">
        <v>853</v>
      </c>
      <c r="R61" s="657">
        <v>19</v>
      </c>
      <c r="T61" s="661" t="s">
        <v>908</v>
      </c>
      <c r="U61" s="662">
        <v>188</v>
      </c>
      <c r="V61" s="662">
        <v>40</v>
      </c>
      <c r="W61" s="662"/>
      <c r="X61" s="663">
        <v>6</v>
      </c>
      <c r="Z61" s="635"/>
      <c r="AA61" s="637"/>
      <c r="AB61" s="666">
        <v>11</v>
      </c>
      <c r="AC61" s="662">
        <v>14180</v>
      </c>
      <c r="AD61" s="662">
        <v>113440</v>
      </c>
      <c r="AE61" s="662">
        <v>28360</v>
      </c>
      <c r="AF61" s="663">
        <v>14180</v>
      </c>
      <c r="AH61" s="637"/>
      <c r="AI61" s="637"/>
      <c r="AO61" s="643" t="s">
        <v>345</v>
      </c>
      <c r="AP61" s="644" t="s">
        <v>57</v>
      </c>
      <c r="AQ61" s="644" t="s">
        <v>724</v>
      </c>
      <c r="AR61" s="645" t="s">
        <v>44</v>
      </c>
      <c r="AS61" s="626" t="s">
        <v>909</v>
      </c>
    </row>
    <row r="62" spans="3:46">
      <c r="D62" s="635"/>
      <c r="E62" s="635"/>
      <c r="F62" s="635"/>
      <c r="G62" s="635"/>
      <c r="H62" s="635"/>
      <c r="I62" s="635"/>
      <c r="J62" s="635"/>
      <c r="K62" s="635"/>
      <c r="L62" s="651" t="s">
        <v>910</v>
      </c>
      <c r="M62" s="641" t="s">
        <v>742</v>
      </c>
      <c r="N62" s="641" t="s">
        <v>132</v>
      </c>
      <c r="O62" s="652" t="s">
        <v>856</v>
      </c>
      <c r="P62" s="633" t="s">
        <v>829</v>
      </c>
      <c r="Q62" s="633" t="s">
        <v>853</v>
      </c>
      <c r="R62" s="657">
        <v>7</v>
      </c>
      <c r="T62" s="661" t="s">
        <v>911</v>
      </c>
      <c r="U62" s="662">
        <v>188</v>
      </c>
      <c r="V62" s="662">
        <v>40</v>
      </c>
      <c r="W62" s="662"/>
      <c r="X62" s="663">
        <v>6</v>
      </c>
      <c r="Z62" s="635"/>
      <c r="AA62" s="637"/>
      <c r="AB62" s="666">
        <v>12</v>
      </c>
      <c r="AC62" s="662">
        <v>17020</v>
      </c>
      <c r="AD62" s="662">
        <v>136160</v>
      </c>
      <c r="AE62" s="662">
        <v>34040</v>
      </c>
      <c r="AF62" s="663">
        <v>17020</v>
      </c>
      <c r="AH62" s="637"/>
      <c r="AI62" s="637"/>
      <c r="AO62" s="643" t="s">
        <v>356</v>
      </c>
      <c r="AP62" s="644" t="s">
        <v>125</v>
      </c>
      <c r="AQ62" s="645" t="s">
        <v>13</v>
      </c>
      <c r="AR62" s="645" t="s">
        <v>356</v>
      </c>
      <c r="AS62" s="626" t="s">
        <v>912</v>
      </c>
    </row>
    <row r="63" spans="3:46">
      <c r="D63" s="635"/>
      <c r="E63" s="635"/>
      <c r="F63" s="635"/>
      <c r="G63" s="635"/>
      <c r="H63" s="635"/>
      <c r="I63" s="635"/>
      <c r="J63" s="635"/>
      <c r="K63" s="635"/>
      <c r="L63" s="651" t="s">
        <v>913</v>
      </c>
      <c r="M63" s="641" t="s">
        <v>53</v>
      </c>
      <c r="N63" s="641" t="s">
        <v>62</v>
      </c>
      <c r="O63" s="652" t="s">
        <v>73</v>
      </c>
      <c r="P63" s="633" t="s">
        <v>829</v>
      </c>
      <c r="Q63" s="633" t="s">
        <v>853</v>
      </c>
      <c r="R63" s="657">
        <v>19</v>
      </c>
      <c r="T63" s="664" t="s">
        <v>914</v>
      </c>
      <c r="U63" s="662">
        <v>188</v>
      </c>
      <c r="V63" s="662">
        <v>40</v>
      </c>
      <c r="W63" s="662"/>
      <c r="X63" s="663">
        <v>7</v>
      </c>
      <c r="Z63" s="635"/>
      <c r="AA63" s="637"/>
      <c r="AB63" s="664">
        <v>13</v>
      </c>
      <c r="AC63" s="662">
        <v>20430</v>
      </c>
      <c r="AD63" s="662">
        <v>163440</v>
      </c>
      <c r="AE63" s="662">
        <v>40860</v>
      </c>
      <c r="AF63" s="663">
        <v>20430</v>
      </c>
      <c r="AH63" s="637"/>
      <c r="AI63" s="637"/>
      <c r="AO63" s="643" t="s">
        <v>372</v>
      </c>
      <c r="AP63" s="644" t="s">
        <v>48</v>
      </c>
      <c r="AQ63" s="644" t="s">
        <v>125</v>
      </c>
      <c r="AR63" s="645" t="s">
        <v>356</v>
      </c>
      <c r="AS63" s="626" t="s">
        <v>737</v>
      </c>
    </row>
    <row r="64" spans="3:46">
      <c r="D64" s="635"/>
      <c r="E64" s="635"/>
      <c r="F64" s="635"/>
      <c r="G64" s="635"/>
      <c r="H64" s="635"/>
      <c r="I64" s="635"/>
      <c r="J64" s="635"/>
      <c r="K64" s="635"/>
      <c r="L64" s="651" t="s">
        <v>915</v>
      </c>
      <c r="M64" s="641" t="s">
        <v>135</v>
      </c>
      <c r="N64" s="641" t="s">
        <v>125</v>
      </c>
      <c r="O64" s="652" t="s">
        <v>916</v>
      </c>
      <c r="P64" s="633" t="s">
        <v>829</v>
      </c>
      <c r="Q64" s="633" t="s">
        <v>857</v>
      </c>
      <c r="R64" s="657">
        <v>7</v>
      </c>
      <c r="T64" s="664" t="s">
        <v>917</v>
      </c>
      <c r="U64" s="662">
        <v>188</v>
      </c>
      <c r="V64" s="662">
        <v>40</v>
      </c>
      <c r="W64" s="662"/>
      <c r="X64" s="663">
        <v>0</v>
      </c>
      <c r="Z64" s="635"/>
      <c r="AA64" s="637"/>
      <c r="AB64" s="666">
        <v>14</v>
      </c>
      <c r="AC64" s="662">
        <v>24520</v>
      </c>
      <c r="AD64" s="662">
        <v>196160</v>
      </c>
      <c r="AE64" s="662">
        <v>49040</v>
      </c>
      <c r="AF64" s="663">
        <v>24520</v>
      </c>
      <c r="AH64" s="637"/>
      <c r="AI64" s="637"/>
      <c r="AO64" s="643" t="s">
        <v>315</v>
      </c>
      <c r="AP64" s="644" t="s">
        <v>106</v>
      </c>
      <c r="AQ64" s="645" t="s">
        <v>32</v>
      </c>
      <c r="AR64" s="645" t="s">
        <v>738</v>
      </c>
      <c r="AS64" s="626" t="s">
        <v>737</v>
      </c>
    </row>
    <row r="65" spans="2:45">
      <c r="D65" s="635"/>
      <c r="E65" s="635"/>
      <c r="F65" s="635"/>
      <c r="G65" s="635"/>
      <c r="H65" s="635"/>
      <c r="I65" s="635"/>
      <c r="J65" s="635"/>
      <c r="K65" s="635"/>
      <c r="L65" s="651" t="s">
        <v>918</v>
      </c>
      <c r="M65" s="641" t="s">
        <v>46</v>
      </c>
      <c r="N65" s="641" t="s">
        <v>57</v>
      </c>
      <c r="O65" s="652" t="s">
        <v>919</v>
      </c>
      <c r="P65" s="633" t="s">
        <v>829</v>
      </c>
      <c r="Q65" s="633" t="s">
        <v>857</v>
      </c>
      <c r="R65" s="657">
        <v>7</v>
      </c>
      <c r="T65" s="661" t="s">
        <v>920</v>
      </c>
      <c r="U65" s="662">
        <v>188</v>
      </c>
      <c r="V65" s="662">
        <v>40</v>
      </c>
      <c r="W65" s="662"/>
      <c r="X65" s="663">
        <v>0</v>
      </c>
      <c r="Z65" s="635"/>
      <c r="AA65" s="637"/>
      <c r="AB65" s="666">
        <v>15</v>
      </c>
      <c r="AC65" s="662">
        <v>29420</v>
      </c>
      <c r="AD65" s="662">
        <v>235360</v>
      </c>
      <c r="AE65" s="662">
        <v>58840</v>
      </c>
      <c r="AF65" s="663">
        <v>29420</v>
      </c>
      <c r="AH65" s="637"/>
      <c r="AI65" s="637"/>
      <c r="AO65" s="643" t="s">
        <v>302</v>
      </c>
      <c r="AP65" s="644" t="s">
        <v>121</v>
      </c>
      <c r="AQ65" s="645" t="s">
        <v>740</v>
      </c>
      <c r="AR65" s="645" t="s">
        <v>71</v>
      </c>
      <c r="AS65" s="626" t="s">
        <v>894</v>
      </c>
    </row>
    <row r="66" spans="2:45">
      <c r="B66" s="670" t="s">
        <v>921</v>
      </c>
      <c r="C66" s="670">
        <f>18+19+24+22+17</f>
        <v>100</v>
      </c>
      <c r="D66" s="670" t="s">
        <v>922</v>
      </c>
      <c r="E66" s="670" t="s">
        <v>923</v>
      </c>
      <c r="F66" s="670" t="s">
        <v>924</v>
      </c>
      <c r="G66" s="670" t="s">
        <v>925</v>
      </c>
      <c r="H66" s="670" t="s">
        <v>926</v>
      </c>
      <c r="I66" s="671"/>
      <c r="J66" s="671"/>
      <c r="K66" s="635"/>
      <c r="L66" s="635">
        <f>COUNTA(L3:L65)</f>
        <v>63</v>
      </c>
      <c r="M66" s="637"/>
      <c r="N66" s="637"/>
      <c r="O66" s="637"/>
      <c r="P66" s="635"/>
      <c r="Q66" s="635"/>
      <c r="T66" s="661" t="s">
        <v>927</v>
      </c>
      <c r="U66" s="662">
        <v>288</v>
      </c>
      <c r="V66" s="662">
        <v>90</v>
      </c>
      <c r="W66" s="662"/>
      <c r="X66" s="663">
        <v>0</v>
      </c>
      <c r="Z66" s="635"/>
      <c r="AA66" s="637"/>
      <c r="AB66" s="664">
        <v>16</v>
      </c>
      <c r="AC66" s="662">
        <v>35300</v>
      </c>
      <c r="AD66" s="662">
        <v>282400</v>
      </c>
      <c r="AE66" s="662">
        <v>70600</v>
      </c>
      <c r="AF66" s="663">
        <v>35300</v>
      </c>
      <c r="AH66" s="637"/>
      <c r="AI66" s="637"/>
      <c r="AO66" s="643" t="s">
        <v>744</v>
      </c>
      <c r="AP66" s="644" t="s">
        <v>699</v>
      </c>
      <c r="AQ66" s="645" t="s">
        <v>24</v>
      </c>
      <c r="AR66" s="645" t="s">
        <v>71</v>
      </c>
      <c r="AS66" s="626" t="s">
        <v>737</v>
      </c>
    </row>
    <row r="67" spans="2:45">
      <c r="B67" s="672"/>
      <c r="C67" s="673"/>
      <c r="D67" s="674" t="s">
        <v>928</v>
      </c>
      <c r="E67" s="675" t="s">
        <v>289</v>
      </c>
      <c r="F67" s="676" t="s">
        <v>929</v>
      </c>
      <c r="G67" s="677" t="s">
        <v>930</v>
      </c>
      <c r="H67" s="676" t="s">
        <v>931</v>
      </c>
      <c r="I67" s="678"/>
      <c r="J67" s="678"/>
      <c r="T67" s="664" t="s">
        <v>932</v>
      </c>
      <c r="U67" s="662">
        <v>288</v>
      </c>
      <c r="V67" s="662">
        <v>90</v>
      </c>
      <c r="W67" s="662"/>
      <c r="X67" s="663">
        <v>0</v>
      </c>
      <c r="Z67" s="635"/>
      <c r="AA67" s="637"/>
      <c r="AB67" s="666">
        <v>17</v>
      </c>
      <c r="AC67" s="662">
        <v>42370</v>
      </c>
      <c r="AD67" s="662">
        <v>338960</v>
      </c>
      <c r="AE67" s="662">
        <v>84740</v>
      </c>
      <c r="AF67" s="663">
        <v>42370</v>
      </c>
      <c r="AO67" s="643" t="s">
        <v>377</v>
      </c>
      <c r="AP67" s="644" t="s">
        <v>58</v>
      </c>
      <c r="AQ67" s="644" t="s">
        <v>724</v>
      </c>
      <c r="AR67" s="645" t="s">
        <v>2</v>
      </c>
      <c r="AS67" s="626" t="s">
        <v>909</v>
      </c>
    </row>
    <row r="68" spans="2:45">
      <c r="B68" s="679" t="s">
        <v>933</v>
      </c>
      <c r="C68" s="680" t="s">
        <v>934</v>
      </c>
      <c r="D68" s="675" t="s">
        <v>314</v>
      </c>
      <c r="E68" s="680" t="s">
        <v>310</v>
      </c>
      <c r="F68" s="676" t="s">
        <v>935</v>
      </c>
      <c r="G68" s="681" t="s">
        <v>936</v>
      </c>
      <c r="H68" s="676" t="s">
        <v>937</v>
      </c>
      <c r="I68" s="682"/>
      <c r="J68" s="678"/>
      <c r="T68" s="664" t="s">
        <v>938</v>
      </c>
      <c r="U68" s="662">
        <v>288</v>
      </c>
      <c r="V68" s="662">
        <v>90</v>
      </c>
      <c r="W68" s="662"/>
      <c r="X68" s="663">
        <v>0</v>
      </c>
      <c r="Z68" s="635"/>
      <c r="AA68" s="637"/>
      <c r="AB68" s="666">
        <v>18</v>
      </c>
      <c r="AC68" s="662">
        <v>50840</v>
      </c>
      <c r="AD68" s="662">
        <v>406720</v>
      </c>
      <c r="AE68" s="662">
        <v>101680</v>
      </c>
      <c r="AF68" s="663">
        <v>50840</v>
      </c>
      <c r="AO68" s="643" t="s">
        <v>363</v>
      </c>
      <c r="AP68" s="644" t="s">
        <v>135</v>
      </c>
      <c r="AQ68" s="645" t="s">
        <v>750</v>
      </c>
      <c r="AR68" s="645" t="s">
        <v>711</v>
      </c>
      <c r="AS68" s="626" t="s">
        <v>894</v>
      </c>
    </row>
    <row r="69" spans="2:45">
      <c r="B69" s="683" t="s">
        <v>939</v>
      </c>
      <c r="C69" s="674" t="s">
        <v>940</v>
      </c>
      <c r="D69" s="681" t="s">
        <v>301</v>
      </c>
      <c r="E69" s="680" t="s">
        <v>298</v>
      </c>
      <c r="F69" s="674" t="s">
        <v>293</v>
      </c>
      <c r="G69" s="681" t="s">
        <v>320</v>
      </c>
      <c r="H69" s="674" t="s">
        <v>307</v>
      </c>
      <c r="I69" s="684"/>
      <c r="J69" s="684"/>
      <c r="T69" s="664" t="s">
        <v>941</v>
      </c>
      <c r="U69" s="662">
        <v>288</v>
      </c>
      <c r="V69" s="662">
        <v>90</v>
      </c>
      <c r="W69" s="662"/>
      <c r="X69" s="663">
        <v>0</v>
      </c>
      <c r="Z69" s="635"/>
      <c r="AA69" s="637"/>
      <c r="AB69" s="664">
        <v>19</v>
      </c>
      <c r="AC69" s="662">
        <v>61000</v>
      </c>
      <c r="AD69" s="662">
        <v>488000</v>
      </c>
      <c r="AE69" s="662">
        <v>122000</v>
      </c>
      <c r="AF69" s="663">
        <v>61000</v>
      </c>
      <c r="AO69" s="643" t="s">
        <v>390</v>
      </c>
      <c r="AP69" s="644" t="s">
        <v>742</v>
      </c>
      <c r="AQ69" s="645" t="s">
        <v>755</v>
      </c>
      <c r="AR69" s="645" t="s">
        <v>99</v>
      </c>
      <c r="AS69" s="626" t="s">
        <v>737</v>
      </c>
    </row>
    <row r="70" ht="14.25" spans="2:45">
      <c r="B70" s="677">
        <v>35</v>
      </c>
      <c r="C70" s="676" t="s">
        <v>942</v>
      </c>
      <c r="D70" s="685" t="s">
        <v>277</v>
      </c>
      <c r="E70" s="677" t="s">
        <v>280</v>
      </c>
      <c r="F70" s="675" t="s">
        <v>317</v>
      </c>
      <c r="G70" s="676" t="s">
        <v>943</v>
      </c>
      <c r="H70" s="679" t="s">
        <v>283</v>
      </c>
      <c r="I70" s="684"/>
      <c r="J70" s="684"/>
      <c r="N70" s="686" t="s">
        <v>944</v>
      </c>
      <c r="T70" s="687" t="s">
        <v>226</v>
      </c>
      <c r="U70" s="688">
        <f>SUM(U51:U69)</f>
        <v>4027</v>
      </c>
      <c r="V70" s="688">
        <f>SUM(V51:V69)</f>
        <v>985</v>
      </c>
      <c r="W70" s="688">
        <f>SUM(W51:W69)</f>
        <v>3</v>
      </c>
      <c r="X70" s="689">
        <f>SUM(X51:X69)</f>
        <v>43</v>
      </c>
      <c r="Z70" s="635"/>
      <c r="AA70" s="637"/>
      <c r="AB70" s="690">
        <v>20</v>
      </c>
      <c r="AC70" s="691">
        <v>73220</v>
      </c>
      <c r="AD70" s="691">
        <v>585760</v>
      </c>
      <c r="AE70" s="691">
        <v>146440</v>
      </c>
      <c r="AF70" s="692">
        <v>73220</v>
      </c>
      <c r="AO70" s="643" t="s">
        <v>395</v>
      </c>
      <c r="AP70" s="644" t="s">
        <v>709</v>
      </c>
      <c r="AQ70" s="645" t="s">
        <v>99</v>
      </c>
      <c r="AR70" s="645" t="s">
        <v>756</v>
      </c>
      <c r="AS70" s="626" t="s">
        <v>737</v>
      </c>
    </row>
    <row r="71" ht="14.25" spans="2:45">
      <c r="B71" s="672"/>
      <c r="C71" s="693"/>
      <c r="D71" s="677" t="s">
        <v>945</v>
      </c>
      <c r="E71" s="677" t="s">
        <v>946</v>
      </c>
      <c r="F71" s="676" t="s">
        <v>947</v>
      </c>
      <c r="G71" s="679" t="s">
        <v>304</v>
      </c>
      <c r="H71" s="677" t="s">
        <v>948</v>
      </c>
      <c r="I71" s="684"/>
      <c r="J71" s="684"/>
      <c r="N71" s="694" t="s">
        <v>949</v>
      </c>
      <c r="P71" s="695" t="s">
        <v>765</v>
      </c>
      <c r="T71" s="621"/>
      <c r="Z71" s="635"/>
      <c r="AA71" s="637"/>
      <c r="AB71" s="696"/>
      <c r="AC71" s="659" t="s">
        <v>877</v>
      </c>
      <c r="AD71" s="659" t="s">
        <v>878</v>
      </c>
      <c r="AE71" s="659" t="s">
        <v>879</v>
      </c>
      <c r="AF71" s="660" t="s">
        <v>880</v>
      </c>
      <c r="AO71" s="643" t="s">
        <v>409</v>
      </c>
      <c r="AP71" s="645" t="s">
        <v>765</v>
      </c>
      <c r="AQ71" s="645" t="s">
        <v>766</v>
      </c>
      <c r="AR71" s="645" t="s">
        <v>708</v>
      </c>
      <c r="AS71" s="626" t="s">
        <v>737</v>
      </c>
    </row>
    <row r="72" spans="2:45">
      <c r="B72" s="672"/>
      <c r="C72" s="693"/>
      <c r="D72" s="674" t="s">
        <v>950</v>
      </c>
      <c r="E72" s="677" t="s">
        <v>951</v>
      </c>
      <c r="F72" s="680" t="s">
        <v>274</v>
      </c>
      <c r="G72" s="679" t="s">
        <v>286</v>
      </c>
      <c r="H72" s="679" t="s">
        <v>952</v>
      </c>
      <c r="I72" s="684"/>
      <c r="J72" s="684"/>
      <c r="N72" s="697" t="s">
        <v>953</v>
      </c>
      <c r="T72" s="621"/>
      <c r="Z72" s="635"/>
      <c r="AA72" s="637"/>
      <c r="AB72" s="698" t="s">
        <v>954</v>
      </c>
      <c r="AC72" s="699">
        <v>50</v>
      </c>
      <c r="AD72" s="699">
        <v>63</v>
      </c>
      <c r="AE72" s="699">
        <v>29</v>
      </c>
      <c r="AF72" s="700">
        <v>35</v>
      </c>
      <c r="AO72" s="643" t="s">
        <v>770</v>
      </c>
      <c r="AP72" s="644" t="s">
        <v>41</v>
      </c>
      <c r="AQ72" s="644" t="s">
        <v>53</v>
      </c>
      <c r="AR72" s="645" t="s">
        <v>39</v>
      </c>
      <c r="AS72" s="626" t="s">
        <v>773</v>
      </c>
    </row>
    <row r="73" ht="14.25" spans="2:45">
      <c r="B73" s="672"/>
      <c r="C73" s="693"/>
      <c r="D73" s="679" t="s">
        <v>955</v>
      </c>
      <c r="E73" s="680" t="s">
        <v>956</v>
      </c>
      <c r="F73" s="677" t="s">
        <v>957</v>
      </c>
      <c r="G73" s="680" t="s">
        <v>271</v>
      </c>
      <c r="H73" s="674" t="s">
        <v>958</v>
      </c>
      <c r="I73" s="684"/>
      <c r="J73" s="684"/>
      <c r="N73" s="701" t="s">
        <v>959</v>
      </c>
      <c r="T73" s="621"/>
      <c r="Z73" s="635"/>
      <c r="AA73" s="637"/>
      <c r="AB73" s="687" t="s">
        <v>960</v>
      </c>
      <c r="AC73" s="688">
        <f>AC70*AC72</f>
        <v>3661000</v>
      </c>
      <c r="AD73" s="688">
        <f>AD70*AD72</f>
        <v>36902880</v>
      </c>
      <c r="AE73" s="688">
        <f>AE70*AE72</f>
        <v>4246760</v>
      </c>
      <c r="AF73" s="689">
        <f>AF70*AF72</f>
        <v>2562700</v>
      </c>
      <c r="AO73" s="643" t="s">
        <v>776</v>
      </c>
      <c r="AP73" s="644" t="s">
        <v>51</v>
      </c>
      <c r="AQ73" s="644" t="s">
        <v>66</v>
      </c>
      <c r="AR73" s="645" t="s">
        <v>711</v>
      </c>
      <c r="AS73" s="626" t="s">
        <v>773</v>
      </c>
    </row>
    <row r="74" spans="2:45">
      <c r="B74" s="672"/>
      <c r="C74" s="693"/>
      <c r="D74" s="674" t="s">
        <v>961</v>
      </c>
      <c r="E74" s="676" t="s">
        <v>962</v>
      </c>
      <c r="F74" s="677" t="s">
        <v>963</v>
      </c>
      <c r="G74" s="677" t="s">
        <v>964</v>
      </c>
      <c r="H74" s="679" t="s">
        <v>965</v>
      </c>
      <c r="I74" s="684"/>
      <c r="J74" s="684"/>
      <c r="T74" s="621"/>
      <c r="Z74" s="635"/>
      <c r="AA74" s="637"/>
      <c r="AG74" s="637"/>
      <c r="AO74" s="643" t="s">
        <v>781</v>
      </c>
      <c r="AP74" s="644" t="s">
        <v>56</v>
      </c>
      <c r="AQ74" s="644" t="s">
        <v>38</v>
      </c>
      <c r="AR74" s="645" t="s">
        <v>59</v>
      </c>
      <c r="AS74" s="626" t="s">
        <v>773</v>
      </c>
    </row>
    <row r="75" spans="2:45">
      <c r="B75" s="672"/>
      <c r="C75" s="693"/>
      <c r="D75" s="680" t="s">
        <v>966</v>
      </c>
      <c r="E75" s="680" t="s">
        <v>450</v>
      </c>
      <c r="F75" s="677" t="s">
        <v>448</v>
      </c>
      <c r="G75" s="676" t="s">
        <v>967</v>
      </c>
      <c r="H75" s="677" t="s">
        <v>968</v>
      </c>
      <c r="I75" s="684"/>
      <c r="J75" s="684"/>
      <c r="T75" s="621"/>
      <c r="AO75" s="643" t="s">
        <v>786</v>
      </c>
      <c r="AP75" s="644" t="s">
        <v>57</v>
      </c>
      <c r="AQ75" s="644" t="s">
        <v>110</v>
      </c>
      <c r="AR75" s="645" t="s">
        <v>13</v>
      </c>
      <c r="AS75" s="626" t="s">
        <v>737</v>
      </c>
    </row>
    <row r="76" spans="2:45">
      <c r="B76" s="672"/>
      <c r="C76" s="693"/>
      <c r="D76" s="680" t="s">
        <v>969</v>
      </c>
      <c r="E76" s="679" t="s">
        <v>970</v>
      </c>
      <c r="F76" s="680" t="s">
        <v>971</v>
      </c>
      <c r="G76" s="680" t="s">
        <v>972</v>
      </c>
      <c r="H76" s="680" t="s">
        <v>973</v>
      </c>
      <c r="I76" s="684"/>
      <c r="J76" s="684"/>
      <c r="N76" s="621" t="s">
        <v>827</v>
      </c>
      <c r="O76" s="621">
        <v>895</v>
      </c>
      <c r="T76" s="621"/>
      <c r="AO76" s="643" t="s">
        <v>792</v>
      </c>
      <c r="AP76" s="644" t="s">
        <v>57</v>
      </c>
      <c r="AQ76" s="644" t="s">
        <v>699</v>
      </c>
      <c r="AR76" s="645" t="s">
        <v>73</v>
      </c>
      <c r="AS76" s="626" t="s">
        <v>773</v>
      </c>
    </row>
    <row r="77" spans="2:45">
      <c r="B77" s="672"/>
      <c r="C77" s="693"/>
      <c r="D77" s="680" t="s">
        <v>974</v>
      </c>
      <c r="E77" s="679" t="s">
        <v>975</v>
      </c>
      <c r="F77" s="674" t="s">
        <v>976</v>
      </c>
      <c r="G77" s="680" t="s">
        <v>977</v>
      </c>
      <c r="H77" s="679" t="s">
        <v>978</v>
      </c>
      <c r="I77" s="684"/>
      <c r="J77" s="684"/>
      <c r="N77" s="621" t="s">
        <v>415</v>
      </c>
      <c r="O77" s="621">
        <v>895</v>
      </c>
      <c r="T77" s="621"/>
      <c r="AO77" s="643" t="s">
        <v>800</v>
      </c>
      <c r="AP77" s="644" t="s">
        <v>734</v>
      </c>
      <c r="AQ77" s="644" t="s">
        <v>124</v>
      </c>
      <c r="AR77" s="645" t="s">
        <v>719</v>
      </c>
      <c r="AS77" s="626" t="s">
        <v>773</v>
      </c>
    </row>
    <row r="78" spans="2:45">
      <c r="B78" s="672"/>
      <c r="C78" s="693"/>
      <c r="D78" s="680" t="s">
        <v>979</v>
      </c>
      <c r="E78" s="680" t="s">
        <v>980</v>
      </c>
      <c r="F78" s="677" t="s">
        <v>981</v>
      </c>
      <c r="G78" s="676" t="s">
        <v>982</v>
      </c>
      <c r="H78" s="680" t="s">
        <v>449</v>
      </c>
      <c r="I78" s="684"/>
      <c r="J78" s="684"/>
      <c r="N78" s="621" t="s">
        <v>785</v>
      </c>
      <c r="O78" s="621">
        <v>765</v>
      </c>
      <c r="T78" s="621"/>
      <c r="AO78" s="643" t="s">
        <v>806</v>
      </c>
      <c r="AP78" s="644" t="s">
        <v>807</v>
      </c>
      <c r="AQ78" s="644" t="s">
        <v>701</v>
      </c>
      <c r="AR78" s="645" t="s">
        <v>15</v>
      </c>
      <c r="AS78" s="626" t="s">
        <v>773</v>
      </c>
    </row>
    <row r="79" spans="2:45">
      <c r="B79" s="672"/>
      <c r="C79" s="693"/>
      <c r="D79" s="679" t="s">
        <v>453</v>
      </c>
      <c r="E79" s="679" t="s">
        <v>983</v>
      </c>
      <c r="F79" s="680" t="s">
        <v>984</v>
      </c>
      <c r="G79" s="679" t="s">
        <v>985</v>
      </c>
      <c r="H79" s="679" t="s">
        <v>986</v>
      </c>
      <c r="I79" s="684"/>
      <c r="J79" s="684"/>
      <c r="N79" s="621" t="s">
        <v>851</v>
      </c>
      <c r="O79" s="621">
        <v>895</v>
      </c>
      <c r="T79" s="621"/>
      <c r="AO79" s="643" t="s">
        <v>812</v>
      </c>
      <c r="AP79" s="644" t="s">
        <v>713</v>
      </c>
      <c r="AQ79" s="644" t="s">
        <v>813</v>
      </c>
      <c r="AR79" s="645" t="s">
        <v>356</v>
      </c>
      <c r="AS79" s="626" t="s">
        <v>987</v>
      </c>
    </row>
    <row r="80" spans="2:45">
      <c r="B80" s="672"/>
      <c r="C80" s="693"/>
      <c r="D80" s="674" t="s">
        <v>988</v>
      </c>
      <c r="E80" s="679" t="s">
        <v>989</v>
      </c>
      <c r="F80" s="680" t="s">
        <v>990</v>
      </c>
      <c r="G80" s="680" t="s">
        <v>991</v>
      </c>
      <c r="H80" s="677" t="s">
        <v>992</v>
      </c>
      <c r="I80" s="684"/>
      <c r="J80" s="684"/>
      <c r="N80" s="621" t="s">
        <v>792</v>
      </c>
      <c r="O80" s="621">
        <v>895</v>
      </c>
      <c r="T80" s="621"/>
      <c r="AO80" s="643" t="s">
        <v>817</v>
      </c>
      <c r="AP80" s="644" t="s">
        <v>62</v>
      </c>
      <c r="AQ80" s="644" t="s">
        <v>61</v>
      </c>
      <c r="AR80" s="645" t="s">
        <v>732</v>
      </c>
      <c r="AS80" s="626" t="s">
        <v>737</v>
      </c>
    </row>
    <row r="81" spans="2:45">
      <c r="B81" s="672"/>
      <c r="C81" s="693"/>
      <c r="D81" s="677" t="s">
        <v>993</v>
      </c>
      <c r="E81" s="680" t="s">
        <v>452</v>
      </c>
      <c r="F81" s="679" t="s">
        <v>994</v>
      </c>
      <c r="G81" s="680" t="s">
        <v>995</v>
      </c>
      <c r="H81" s="677" t="s">
        <v>996</v>
      </c>
      <c r="I81" s="684"/>
      <c r="J81" s="684"/>
      <c r="T81" s="621"/>
      <c r="AO81" s="643" t="s">
        <v>823</v>
      </c>
      <c r="AP81" s="644" t="s">
        <v>58</v>
      </c>
      <c r="AQ81" s="644" t="s">
        <v>51</v>
      </c>
      <c r="AR81" s="645" t="s">
        <v>739</v>
      </c>
      <c r="AS81" s="626" t="s">
        <v>737</v>
      </c>
    </row>
    <row r="82" spans="2:45">
      <c r="B82" s="672"/>
      <c r="C82" s="693"/>
      <c r="D82" s="677" t="s">
        <v>997</v>
      </c>
      <c r="E82" s="677" t="s">
        <v>454</v>
      </c>
      <c r="F82" s="676" t="s">
        <v>998</v>
      </c>
      <c r="G82" s="674" t="s">
        <v>999</v>
      </c>
      <c r="H82" s="677" t="s">
        <v>1000</v>
      </c>
      <c r="I82" s="684"/>
      <c r="J82" s="684"/>
      <c r="T82" s="621"/>
      <c r="AO82" s="643" t="s">
        <v>827</v>
      </c>
      <c r="AP82" s="644" t="s">
        <v>42</v>
      </c>
      <c r="AQ82" s="644" t="s">
        <v>47</v>
      </c>
      <c r="AR82" s="645" t="s">
        <v>707</v>
      </c>
      <c r="AS82" s="626" t="s">
        <v>773</v>
      </c>
    </row>
    <row r="83" spans="2:45">
      <c r="B83" s="672"/>
      <c r="C83" s="693"/>
      <c r="D83" s="677" t="s">
        <v>1001</v>
      </c>
      <c r="E83" s="677" t="s">
        <v>451</v>
      </c>
      <c r="F83" s="680" t="s">
        <v>1002</v>
      </c>
      <c r="G83" s="677" t="s">
        <v>1003</v>
      </c>
      <c r="H83" s="677" t="s">
        <v>1004</v>
      </c>
      <c r="I83" s="684"/>
      <c r="J83" s="684"/>
      <c r="T83" s="621"/>
      <c r="AO83" s="643" t="s">
        <v>832</v>
      </c>
      <c r="AP83" s="644" t="s">
        <v>709</v>
      </c>
      <c r="AQ83" s="644" t="s">
        <v>125</v>
      </c>
      <c r="AR83" s="645" t="s">
        <v>49</v>
      </c>
      <c r="AS83" s="626" t="s">
        <v>773</v>
      </c>
    </row>
    <row r="84" spans="2:45">
      <c r="B84" s="672"/>
      <c r="C84" s="693"/>
      <c r="D84" s="677" t="s">
        <v>1005</v>
      </c>
      <c r="E84" s="677" t="s">
        <v>1006</v>
      </c>
      <c r="F84" s="680" t="s">
        <v>1007</v>
      </c>
      <c r="G84" s="679" t="s">
        <v>1008</v>
      </c>
      <c r="H84" s="677"/>
      <c r="I84" s="684"/>
      <c r="J84" s="684"/>
      <c r="T84" s="621"/>
      <c r="AO84" s="643" t="s">
        <v>836</v>
      </c>
      <c r="AP84" s="644" t="s">
        <v>121</v>
      </c>
      <c r="AQ84" s="644" t="s">
        <v>135</v>
      </c>
      <c r="AR84" s="645" t="s">
        <v>708</v>
      </c>
      <c r="AS84" s="626" t="s">
        <v>773</v>
      </c>
    </row>
    <row r="85" spans="2:45">
      <c r="B85" s="672"/>
      <c r="C85" s="693"/>
      <c r="D85" s="677"/>
      <c r="E85" s="677" t="s">
        <v>446</v>
      </c>
      <c r="F85" s="677" t="s">
        <v>1009</v>
      </c>
      <c r="G85" s="677" t="s">
        <v>1010</v>
      </c>
      <c r="H85" s="677"/>
      <c r="I85" s="684"/>
      <c r="J85" s="684"/>
      <c r="T85" s="621"/>
      <c r="AO85" s="643" t="s">
        <v>840</v>
      </c>
      <c r="AP85" s="644" t="s">
        <v>48</v>
      </c>
      <c r="AQ85" s="644" t="s">
        <v>46</v>
      </c>
      <c r="AR85" s="645" t="s">
        <v>26</v>
      </c>
      <c r="AS85" s="626" t="s">
        <v>773</v>
      </c>
    </row>
    <row r="86" spans="2:45">
      <c r="B86" s="672"/>
      <c r="C86" s="693"/>
      <c r="D86" s="677"/>
      <c r="E86" s="672"/>
      <c r="F86" s="679" t="s">
        <v>1011</v>
      </c>
      <c r="G86" s="677" t="s">
        <v>1012</v>
      </c>
      <c r="H86" s="677"/>
      <c r="I86" s="684"/>
      <c r="J86" s="684"/>
      <c r="T86" s="621"/>
      <c r="AO86" s="654" t="s">
        <v>844</v>
      </c>
      <c r="AP86" s="644" t="s">
        <v>53</v>
      </c>
      <c r="AQ86" s="644" t="s">
        <v>62</v>
      </c>
      <c r="AR86" s="645" t="s">
        <v>764</v>
      </c>
      <c r="AS86" s="626" t="s">
        <v>773</v>
      </c>
    </row>
    <row r="87" spans="2:45">
      <c r="B87" s="672"/>
      <c r="C87" s="693"/>
      <c r="D87" s="677"/>
      <c r="E87" s="677"/>
      <c r="F87" s="677" t="s">
        <v>1013</v>
      </c>
      <c r="G87" s="677" t="s">
        <v>1014</v>
      </c>
      <c r="H87" s="677"/>
      <c r="I87" s="684"/>
      <c r="J87" s="684"/>
      <c r="T87" s="621"/>
      <c r="AO87" s="654" t="s">
        <v>849</v>
      </c>
      <c r="AP87" s="644" t="s">
        <v>56</v>
      </c>
      <c r="AQ87" s="644" t="s">
        <v>38</v>
      </c>
      <c r="AR87" s="645" t="s">
        <v>765</v>
      </c>
      <c r="AS87" s="626" t="s">
        <v>773</v>
      </c>
    </row>
    <row r="88" spans="2:45">
      <c r="B88" s="672"/>
      <c r="C88" s="693"/>
      <c r="D88" s="677"/>
      <c r="E88" s="677"/>
      <c r="F88" s="677" t="s">
        <v>1015</v>
      </c>
      <c r="G88" s="677" t="s">
        <v>447</v>
      </c>
      <c r="H88" s="677"/>
      <c r="I88" s="684"/>
      <c r="J88" s="684"/>
      <c r="T88" s="621"/>
      <c r="AO88" s="654" t="s">
        <v>851</v>
      </c>
      <c r="AP88" s="644" t="s">
        <v>155</v>
      </c>
      <c r="AQ88" s="644" t="s">
        <v>42</v>
      </c>
      <c r="AR88" s="645" t="s">
        <v>24</v>
      </c>
      <c r="AS88" s="626" t="s">
        <v>773</v>
      </c>
    </row>
    <row r="89" spans="2:45">
      <c r="B89" s="672"/>
      <c r="C89" s="693"/>
      <c r="D89" s="677"/>
      <c r="E89" s="677"/>
      <c r="F89" s="677" t="s">
        <v>1016</v>
      </c>
      <c r="G89" s="677"/>
      <c r="H89" s="677"/>
      <c r="I89" s="693"/>
      <c r="J89" s="684"/>
      <c r="T89" s="621"/>
      <c r="AO89" s="654" t="s">
        <v>854</v>
      </c>
      <c r="AP89" s="644" t="s">
        <v>699</v>
      </c>
      <c r="AQ89" s="644" t="s">
        <v>709</v>
      </c>
      <c r="AR89" s="645" t="s">
        <v>20</v>
      </c>
      <c r="AS89" s="626" t="s">
        <v>773</v>
      </c>
    </row>
    <row r="90" spans="2:45">
      <c r="B90" s="672"/>
      <c r="C90" s="672"/>
      <c r="D90" s="677"/>
      <c r="E90" s="677"/>
      <c r="F90" s="677" t="s">
        <v>1017</v>
      </c>
      <c r="G90" s="677"/>
      <c r="H90" s="677"/>
      <c r="T90" s="621"/>
      <c r="AO90" s="654" t="s">
        <v>858</v>
      </c>
      <c r="AP90" s="644" t="s">
        <v>62</v>
      </c>
      <c r="AQ90" s="644" t="s">
        <v>61</v>
      </c>
      <c r="AR90" s="645" t="s">
        <v>13</v>
      </c>
      <c r="AS90" s="626" t="s">
        <v>773</v>
      </c>
    </row>
    <row r="91" spans="2:45">
      <c r="T91" s="621"/>
      <c r="AO91" s="654" t="s">
        <v>861</v>
      </c>
      <c r="AP91" s="644" t="s">
        <v>41</v>
      </c>
      <c r="AQ91" s="644" t="s">
        <v>58</v>
      </c>
      <c r="AR91" s="645" t="s">
        <v>32</v>
      </c>
      <c r="AS91" s="626" t="s">
        <v>773</v>
      </c>
    </row>
    <row r="92" spans="2:45">
      <c r="AO92" s="654" t="s">
        <v>863</v>
      </c>
      <c r="AP92" s="644" t="s">
        <v>51</v>
      </c>
      <c r="AQ92" s="644" t="s">
        <v>66</v>
      </c>
      <c r="AR92" s="645" t="s">
        <v>49</v>
      </c>
      <c r="AS92" s="626" t="s">
        <v>773</v>
      </c>
    </row>
    <row r="93" spans="2:45">
      <c r="AO93" s="654" t="s">
        <v>400</v>
      </c>
      <c r="AP93" s="644" t="s">
        <v>48</v>
      </c>
      <c r="AQ93" s="644" t="s">
        <v>46</v>
      </c>
      <c r="AR93" s="702" t="s">
        <v>864</v>
      </c>
      <c r="AS93" s="626" t="s">
        <v>847</v>
      </c>
    </row>
    <row r="94" spans="2:45">
      <c r="AO94" s="654" t="s">
        <v>366</v>
      </c>
      <c r="AP94" s="644" t="s">
        <v>53</v>
      </c>
      <c r="AQ94" s="644" t="s">
        <v>62</v>
      </c>
      <c r="AR94" s="702" t="s">
        <v>856</v>
      </c>
      <c r="AS94" s="626" t="s">
        <v>847</v>
      </c>
    </row>
    <row r="95" spans="2:45">
      <c r="AO95" s="654" t="s">
        <v>408</v>
      </c>
      <c r="AP95" s="644" t="s">
        <v>43</v>
      </c>
      <c r="AQ95" s="644" t="s">
        <v>65</v>
      </c>
      <c r="AR95" s="702" t="s">
        <v>757</v>
      </c>
      <c r="AS95" s="626" t="s">
        <v>847</v>
      </c>
    </row>
    <row r="96" spans="2:45">
      <c r="C96" s="657"/>
      <c r="D96" s="703"/>
      <c r="E96" s="669" t="s">
        <v>689</v>
      </c>
      <c r="F96" s="669" t="s">
        <v>690</v>
      </c>
      <c r="G96" s="704" t="s">
        <v>691</v>
      </c>
      <c r="AO96" s="654" t="s">
        <v>404</v>
      </c>
      <c r="AP96" s="644" t="s">
        <v>709</v>
      </c>
      <c r="AQ96" s="644" t="s">
        <v>125</v>
      </c>
      <c r="AR96" s="702" t="s">
        <v>99</v>
      </c>
      <c r="AS96" s="626" t="s">
        <v>847</v>
      </c>
    </row>
    <row r="97" spans="3:45">
      <c r="C97" s="705" t="s">
        <v>191</v>
      </c>
      <c r="D97" s="706" t="s">
        <v>881</v>
      </c>
      <c r="E97" s="707" t="s">
        <v>61</v>
      </c>
      <c r="F97" s="707" t="s">
        <v>709</v>
      </c>
      <c r="G97" s="708" t="s">
        <v>71</v>
      </c>
      <c r="AO97" s="654" t="s">
        <v>309</v>
      </c>
      <c r="AP97" s="644" t="s">
        <v>121</v>
      </c>
      <c r="AQ97" s="644" t="s">
        <v>135</v>
      </c>
      <c r="AR97" s="702" t="s">
        <v>803</v>
      </c>
      <c r="AS97" s="626" t="s">
        <v>847</v>
      </c>
    </row>
    <row r="98" spans="3:45">
      <c r="C98" s="705"/>
      <c r="D98" s="706" t="s">
        <v>884</v>
      </c>
      <c r="E98" s="707" t="s">
        <v>47</v>
      </c>
      <c r="F98" s="707" t="s">
        <v>704</v>
      </c>
      <c r="G98" s="708" t="s">
        <v>885</v>
      </c>
      <c r="AO98" s="654" t="s">
        <v>282</v>
      </c>
      <c r="AP98" s="644" t="s">
        <v>738</v>
      </c>
      <c r="AQ98" s="644" t="s">
        <v>747</v>
      </c>
      <c r="AR98" s="702" t="s">
        <v>22</v>
      </c>
      <c r="AS98" s="626" t="s">
        <v>847</v>
      </c>
    </row>
    <row r="99" spans="3:45">
      <c r="C99" s="705" t="s">
        <v>189</v>
      </c>
      <c r="D99" s="706" t="s">
        <v>915</v>
      </c>
      <c r="E99" s="707" t="s">
        <v>135</v>
      </c>
      <c r="F99" s="707" t="s">
        <v>125</v>
      </c>
      <c r="G99" s="709" t="s">
        <v>916</v>
      </c>
      <c r="AO99" s="654" t="s">
        <v>300</v>
      </c>
      <c r="AP99" s="644" t="s">
        <v>794</v>
      </c>
      <c r="AQ99" s="644" t="s">
        <v>753</v>
      </c>
      <c r="AR99" s="702" t="s">
        <v>32</v>
      </c>
      <c r="AS99" s="626" t="s">
        <v>847</v>
      </c>
    </row>
    <row r="100" spans="3:45">
      <c r="C100" s="705"/>
      <c r="D100" s="706" t="s">
        <v>918</v>
      </c>
      <c r="E100" s="707" t="s">
        <v>46</v>
      </c>
      <c r="F100" s="707" t="s">
        <v>57</v>
      </c>
      <c r="G100" s="709" t="s">
        <v>919</v>
      </c>
      <c r="AO100" s="654" t="s">
        <v>350</v>
      </c>
      <c r="AP100" s="644" t="s">
        <v>791</v>
      </c>
      <c r="AQ100" s="644" t="s">
        <v>743</v>
      </c>
      <c r="AR100" s="702" t="s">
        <v>18</v>
      </c>
      <c r="AS100" s="626" t="s">
        <v>847</v>
      </c>
    </row>
    <row r="101" spans="3:45">
      <c r="C101" s="705" t="s">
        <v>192</v>
      </c>
      <c r="D101" s="706" t="s">
        <v>855</v>
      </c>
      <c r="E101" s="707" t="s">
        <v>147</v>
      </c>
      <c r="F101" s="707" t="s">
        <v>36</v>
      </c>
      <c r="G101" s="709" t="s">
        <v>856</v>
      </c>
      <c r="AO101" s="654" t="s">
        <v>378</v>
      </c>
      <c r="AP101" s="644" t="s">
        <v>807</v>
      </c>
      <c r="AQ101" s="644" t="s">
        <v>701</v>
      </c>
      <c r="AR101" s="702" t="s">
        <v>59</v>
      </c>
      <c r="AS101" s="626" t="s">
        <v>847</v>
      </c>
    </row>
    <row r="102" spans="3:45">
      <c r="C102" s="705"/>
      <c r="D102" s="706" t="s">
        <v>859</v>
      </c>
      <c r="E102" s="655" t="s">
        <v>53</v>
      </c>
      <c r="F102" s="707" t="s">
        <v>121</v>
      </c>
      <c r="G102" s="709" t="s">
        <v>731</v>
      </c>
      <c r="AO102" s="654" t="s">
        <v>415</v>
      </c>
      <c r="AP102" s="644" t="s">
        <v>57</v>
      </c>
      <c r="AQ102" s="644" t="s">
        <v>65</v>
      </c>
      <c r="AR102" s="702" t="s">
        <v>73</v>
      </c>
      <c r="AS102" s="626" t="s">
        <v>847</v>
      </c>
    </row>
    <row r="103" spans="3:45">
      <c r="AO103" s="654" t="s">
        <v>364</v>
      </c>
      <c r="AP103" s="644" t="s">
        <v>713</v>
      </c>
      <c r="AQ103" s="644" t="s">
        <v>813</v>
      </c>
      <c r="AR103" s="702" t="s">
        <v>870</v>
      </c>
      <c r="AS103" s="626" t="s">
        <v>847</v>
      </c>
    </row>
    <row r="104" spans="3:45">
      <c r="AO104" s="654" t="s">
        <v>348</v>
      </c>
      <c r="AP104" s="644" t="s">
        <v>710</v>
      </c>
      <c r="AQ104" s="644" t="s">
        <v>742</v>
      </c>
      <c r="AR104" s="702" t="s">
        <v>882</v>
      </c>
      <c r="AS104" s="626" t="s">
        <v>847</v>
      </c>
    </row>
    <row r="105" spans="3:45">
      <c r="AO105" s="654" t="s">
        <v>886</v>
      </c>
      <c r="AP105" s="644" t="s">
        <v>51</v>
      </c>
      <c r="AQ105" s="644" t="s">
        <v>66</v>
      </c>
      <c r="AR105" s="702" t="s">
        <v>24</v>
      </c>
      <c r="AS105" s="626" t="s">
        <v>847</v>
      </c>
    </row>
    <row r="106" spans="3:45">
      <c r="AO106" s="654" t="s">
        <v>346</v>
      </c>
      <c r="AP106" s="644" t="s">
        <v>56</v>
      </c>
      <c r="AQ106" s="644" t="s">
        <v>38</v>
      </c>
      <c r="AR106" s="702" t="s">
        <v>919</v>
      </c>
      <c r="AS106" s="626" t="s">
        <v>847</v>
      </c>
    </row>
    <row r="107" spans="3:45">
      <c r="AO107" s="654" t="s">
        <v>376</v>
      </c>
      <c r="AP107" s="644" t="s">
        <v>46</v>
      </c>
      <c r="AQ107" s="644" t="s">
        <v>43</v>
      </c>
      <c r="AR107" s="702" t="s">
        <v>919</v>
      </c>
      <c r="AS107" s="626" t="s">
        <v>847</v>
      </c>
    </row>
    <row r="108" spans="3:45">
      <c r="AO108" s="654" t="s">
        <v>890</v>
      </c>
      <c r="AP108" s="644" t="s">
        <v>147</v>
      </c>
      <c r="AQ108" s="644" t="s">
        <v>699</v>
      </c>
      <c r="AR108" s="710" t="s">
        <v>891</v>
      </c>
      <c r="AS108" s="626" t="s">
        <v>847</v>
      </c>
    </row>
    <row r="109" spans="3:45">
      <c r="AO109" s="654" t="s">
        <v>402</v>
      </c>
      <c r="AP109" s="644" t="s">
        <v>709</v>
      </c>
      <c r="AQ109" s="644" t="s">
        <v>125</v>
      </c>
      <c r="AR109" s="702" t="s">
        <v>777</v>
      </c>
      <c r="AS109" s="626" t="s">
        <v>847</v>
      </c>
    </row>
    <row r="110" spans="3:45">
      <c r="AO110" s="654" t="s">
        <v>426</v>
      </c>
      <c r="AP110" s="644" t="s">
        <v>124</v>
      </c>
      <c r="AQ110" s="644" t="s">
        <v>794</v>
      </c>
      <c r="AR110" s="702" t="s">
        <v>777</v>
      </c>
      <c r="AS110" s="626" t="s">
        <v>847</v>
      </c>
    </row>
    <row r="111" spans="3:45">
      <c r="AO111" s="654" t="s">
        <v>398</v>
      </c>
      <c r="AP111" s="644" t="s">
        <v>753</v>
      </c>
      <c r="AQ111" s="644" t="s">
        <v>791</v>
      </c>
      <c r="AR111" s="702" t="s">
        <v>897</v>
      </c>
      <c r="AS111" s="626" t="s">
        <v>847</v>
      </c>
    </row>
    <row r="112" spans="3:45">
      <c r="AO112" s="654" t="s">
        <v>384</v>
      </c>
      <c r="AP112" s="644" t="s">
        <v>743</v>
      </c>
      <c r="AQ112" s="644" t="s">
        <v>704</v>
      </c>
      <c r="AR112" s="702" t="s">
        <v>716</v>
      </c>
      <c r="AS112" s="626" t="s">
        <v>847</v>
      </c>
    </row>
    <row r="113" spans="3:46">
      <c r="AO113" s="654" t="s">
        <v>382</v>
      </c>
      <c r="AP113" s="644" t="s">
        <v>701</v>
      </c>
      <c r="AQ113" s="644" t="s">
        <v>713</v>
      </c>
      <c r="AR113" s="702" t="s">
        <v>903</v>
      </c>
      <c r="AS113" s="626" t="s">
        <v>847</v>
      </c>
    </row>
    <row r="114" spans="3:46">
      <c r="AO114" s="654" t="s">
        <v>906</v>
      </c>
      <c r="AP114" s="644" t="s">
        <v>813</v>
      </c>
      <c r="AQ114" s="644" t="s">
        <v>710</v>
      </c>
      <c r="AR114" s="702" t="s">
        <v>907</v>
      </c>
      <c r="AS114" s="626" t="s">
        <v>847</v>
      </c>
    </row>
    <row r="115" spans="3:46">
      <c r="AO115" s="654" t="s">
        <v>910</v>
      </c>
      <c r="AP115" s="644" t="s">
        <v>742</v>
      </c>
      <c r="AQ115" s="644" t="s">
        <v>132</v>
      </c>
      <c r="AR115" s="702" t="s">
        <v>856</v>
      </c>
      <c r="AS115" s="626" t="s">
        <v>847</v>
      </c>
    </row>
    <row r="116" spans="3:46">
      <c r="AO116" s="654" t="s">
        <v>913</v>
      </c>
      <c r="AP116" s="644" t="s">
        <v>53</v>
      </c>
      <c r="AQ116" s="644" t="s">
        <v>62</v>
      </c>
      <c r="AR116" s="702" t="s">
        <v>73</v>
      </c>
      <c r="AS116" s="626" t="s">
        <v>847</v>
      </c>
    </row>
    <row r="117" spans="3:46">
      <c r="AO117" s="665">
        <f>COUNTA(AO56:AO116)</f>
        <v>61</v>
      </c>
    </row>
    <row r="119" spans="3:46">
      <c r="AO119" s="711"/>
      <c r="AP119" s="650"/>
      <c r="AQ119" s="650"/>
      <c r="AR119" s="650"/>
    </row>
    <row r="120" spans="3:46">
      <c r="C120" s="650"/>
      <c r="O120" s="712"/>
    </row>
    <row r="121" spans="3:46">
      <c r="C121" s="650"/>
      <c r="O121" s="712"/>
      <c r="AO121" s="668" t="s">
        <v>190</v>
      </c>
      <c r="AP121" s="639" t="s">
        <v>689</v>
      </c>
      <c r="AQ121" s="639" t="s">
        <v>690</v>
      </c>
      <c r="AR121" s="640" t="s">
        <v>691</v>
      </c>
      <c r="AS121" s="639" t="s">
        <v>692</v>
      </c>
      <c r="AT121" s="639"/>
    </row>
    <row r="122" spans="3:46">
      <c r="C122" s="650"/>
      <c r="O122" s="712"/>
      <c r="AO122" s="643" t="s">
        <v>329</v>
      </c>
      <c r="AP122" s="644" t="s">
        <v>46</v>
      </c>
      <c r="AQ122" s="645" t="s">
        <v>19</v>
      </c>
      <c r="AR122" s="645" t="s">
        <v>698</v>
      </c>
      <c r="AS122" s="626" t="s">
        <v>894</v>
      </c>
    </row>
    <row r="123" spans="3:46">
      <c r="C123" s="650"/>
      <c r="O123" s="712"/>
      <c r="AO123" s="643" t="s">
        <v>272</v>
      </c>
      <c r="AP123" s="644" t="s">
        <v>121</v>
      </c>
      <c r="AQ123" s="645" t="s">
        <v>707</v>
      </c>
      <c r="AR123" s="645" t="s">
        <v>708</v>
      </c>
      <c r="AS123" s="626" t="s">
        <v>737</v>
      </c>
    </row>
    <row r="124" spans="3:46">
      <c r="C124" s="650"/>
      <c r="O124" s="712"/>
      <c r="AO124" s="643" t="s">
        <v>365</v>
      </c>
      <c r="AP124" s="644" t="s">
        <v>124</v>
      </c>
      <c r="AQ124" s="645" t="s">
        <v>715</v>
      </c>
      <c r="AR124" s="645" t="s">
        <v>708</v>
      </c>
      <c r="AS124" s="626" t="s">
        <v>737</v>
      </c>
    </row>
    <row r="125" spans="3:46">
      <c r="C125" s="650"/>
      <c r="O125" s="712"/>
      <c r="U125" s="624"/>
      <c r="V125" s="624"/>
      <c r="W125" s="624"/>
      <c r="AO125" s="643" t="s">
        <v>291</v>
      </c>
      <c r="AP125" s="644" t="s">
        <v>121</v>
      </c>
      <c r="AQ125" s="645" t="s">
        <v>3</v>
      </c>
      <c r="AR125" s="645" t="s">
        <v>720</v>
      </c>
      <c r="AS125" s="626" t="s">
        <v>894</v>
      </c>
    </row>
    <row r="126" spans="3:46">
      <c r="C126" s="650"/>
      <c r="O126" s="712"/>
      <c r="AO126" s="643" t="s">
        <v>353</v>
      </c>
      <c r="AP126" s="644" t="s">
        <v>125</v>
      </c>
      <c r="AQ126" s="645" t="s">
        <v>59</v>
      </c>
      <c r="AR126" s="645" t="s">
        <v>32</v>
      </c>
      <c r="AS126" s="626" t="s">
        <v>894</v>
      </c>
    </row>
    <row r="127" spans="3:46">
      <c r="C127" s="650"/>
      <c r="O127" s="712"/>
      <c r="AO127" s="713" t="s">
        <v>171</v>
      </c>
      <c r="AP127" s="644" t="s">
        <v>47</v>
      </c>
      <c r="AQ127" s="644" t="s">
        <v>713</v>
      </c>
      <c r="AR127" s="645" t="s">
        <v>49</v>
      </c>
      <c r="AS127" s="626" t="s">
        <v>725</v>
      </c>
    </row>
    <row r="128" spans="3:46">
      <c r="C128" s="626"/>
      <c r="O128" s="712"/>
      <c r="AO128" s="643" t="s">
        <v>374</v>
      </c>
      <c r="AP128" s="644" t="s">
        <v>135</v>
      </c>
      <c r="AQ128" s="645" t="s">
        <v>13</v>
      </c>
      <c r="AR128" s="645" t="s">
        <v>73</v>
      </c>
      <c r="AS128" s="626" t="s">
        <v>894</v>
      </c>
    </row>
    <row r="129" spans="3:45">
      <c r="C129" s="626"/>
      <c r="O129" s="712"/>
      <c r="AO129" s="643" t="s">
        <v>349</v>
      </c>
      <c r="AP129" s="644" t="s">
        <v>734</v>
      </c>
      <c r="AQ129" s="645" t="s">
        <v>14</v>
      </c>
      <c r="AR129" s="645" t="s">
        <v>71</v>
      </c>
      <c r="AS129" s="626" t="s">
        <v>894</v>
      </c>
    </row>
    <row r="130" spans="3:45">
      <c r="C130" s="626"/>
      <c r="O130" s="712"/>
      <c r="AO130" s="643" t="s">
        <v>385</v>
      </c>
      <c r="AP130" s="644" t="s">
        <v>57</v>
      </c>
      <c r="AQ130" s="645" t="s">
        <v>14</v>
      </c>
      <c r="AR130" s="645" t="s">
        <v>71</v>
      </c>
      <c r="AS130" s="626" t="s">
        <v>894</v>
      </c>
    </row>
    <row r="131" spans="3:45">
      <c r="C131" s="626"/>
      <c r="O131" s="712"/>
      <c r="AO131" s="643" t="s">
        <v>351</v>
      </c>
      <c r="AP131" s="644" t="s">
        <v>742</v>
      </c>
      <c r="AQ131" s="645" t="s">
        <v>9</v>
      </c>
      <c r="AR131" s="645" t="s">
        <v>73</v>
      </c>
      <c r="AS131" s="626" t="s">
        <v>894</v>
      </c>
    </row>
    <row r="132" spans="3:45">
      <c r="C132" s="626"/>
      <c r="O132" s="712"/>
      <c r="AO132" s="643" t="s">
        <v>745</v>
      </c>
      <c r="AP132" s="644" t="s">
        <v>704</v>
      </c>
      <c r="AQ132" s="645" t="s">
        <v>24</v>
      </c>
      <c r="AR132" s="645" t="s">
        <v>20</v>
      </c>
      <c r="AS132" s="626" t="s">
        <v>737</v>
      </c>
    </row>
    <row r="133" spans="3:45">
      <c r="C133" s="626"/>
      <c r="O133" s="712"/>
      <c r="AO133" s="643" t="s">
        <v>379</v>
      </c>
      <c r="AP133" s="644" t="s">
        <v>36</v>
      </c>
      <c r="AQ133" s="644" t="s">
        <v>704</v>
      </c>
      <c r="AR133" s="645" t="s">
        <v>716</v>
      </c>
      <c r="AS133" s="626" t="s">
        <v>894</v>
      </c>
    </row>
    <row r="134" spans="3:45">
      <c r="C134" s="626"/>
      <c r="O134" s="712"/>
      <c r="AO134" s="643" t="s">
        <v>358</v>
      </c>
      <c r="AP134" s="644" t="s">
        <v>125</v>
      </c>
      <c r="AQ134" s="645" t="s">
        <v>740</v>
      </c>
      <c r="AR134" s="645" t="s">
        <v>356</v>
      </c>
      <c r="AS134" s="626" t="s">
        <v>737</v>
      </c>
    </row>
    <row r="135" spans="3:45">
      <c r="C135" s="626"/>
      <c r="O135" s="712"/>
      <c r="AO135" s="643" t="s">
        <v>397</v>
      </c>
      <c r="AP135" s="644" t="s">
        <v>110</v>
      </c>
      <c r="AQ135" s="645" t="s">
        <v>24</v>
      </c>
      <c r="AR135" s="645" t="s">
        <v>756</v>
      </c>
      <c r="AS135" s="626" t="s">
        <v>737</v>
      </c>
    </row>
    <row r="136" spans="3:45">
      <c r="C136" s="626"/>
      <c r="O136" s="712"/>
      <c r="AO136" s="643" t="s">
        <v>401</v>
      </c>
      <c r="AP136" s="644" t="s">
        <v>125</v>
      </c>
      <c r="AQ136" s="645" t="s">
        <v>761</v>
      </c>
      <c r="AR136" s="645" t="s">
        <v>758</v>
      </c>
      <c r="AS136" s="626" t="s">
        <v>737</v>
      </c>
    </row>
    <row r="137" spans="3:45">
      <c r="C137" s="626"/>
      <c r="N137" s="712"/>
      <c r="O137" s="712"/>
      <c r="AO137" s="643" t="s">
        <v>407</v>
      </c>
      <c r="AP137" s="645" t="s">
        <v>9</v>
      </c>
      <c r="AQ137" s="645" t="s">
        <v>99</v>
      </c>
      <c r="AR137" s="645" t="s">
        <v>758</v>
      </c>
      <c r="AS137" s="626" t="s">
        <v>737</v>
      </c>
    </row>
    <row r="138" spans="3:45">
      <c r="C138" s="626"/>
      <c r="N138" s="712"/>
      <c r="O138" s="712"/>
      <c r="AO138" s="643" t="s">
        <v>771</v>
      </c>
      <c r="AP138" s="644" t="s">
        <v>48</v>
      </c>
      <c r="AQ138" s="644" t="s">
        <v>46</v>
      </c>
      <c r="AR138" s="645" t="s">
        <v>740</v>
      </c>
      <c r="AS138" s="626" t="s">
        <v>773</v>
      </c>
    </row>
    <row r="139" spans="3:45">
      <c r="C139" s="626"/>
      <c r="N139" s="712"/>
      <c r="O139" s="712"/>
      <c r="AO139" s="643" t="s">
        <v>777</v>
      </c>
      <c r="AP139" s="644" t="s">
        <v>43</v>
      </c>
      <c r="AQ139" s="644" t="s">
        <v>65</v>
      </c>
      <c r="AR139" s="645" t="s">
        <v>3</v>
      </c>
      <c r="AS139" s="626" t="s">
        <v>773</v>
      </c>
    </row>
    <row r="140" spans="3:45">
      <c r="C140" s="626"/>
      <c r="N140" s="712"/>
      <c r="O140" s="712"/>
      <c r="AO140" s="643" t="s">
        <v>782</v>
      </c>
      <c r="AP140" s="644" t="s">
        <v>709</v>
      </c>
      <c r="AQ140" s="644" t="s">
        <v>125</v>
      </c>
      <c r="AR140" s="645" t="s">
        <v>720</v>
      </c>
      <c r="AS140" s="626" t="s">
        <v>773</v>
      </c>
    </row>
    <row r="141" spans="3:45">
      <c r="C141" s="626"/>
      <c r="N141" s="712"/>
      <c r="O141" s="712"/>
      <c r="AO141" s="643" t="s">
        <v>787</v>
      </c>
      <c r="AP141" s="644" t="s">
        <v>106</v>
      </c>
      <c r="AQ141" s="644" t="s">
        <v>117</v>
      </c>
      <c r="AR141" s="645" t="s">
        <v>71</v>
      </c>
      <c r="AS141" s="626" t="s">
        <v>773</v>
      </c>
    </row>
    <row r="142" spans="3:45">
      <c r="C142" s="626"/>
      <c r="N142" s="624"/>
      <c r="O142" s="624"/>
      <c r="AO142" s="643" t="s">
        <v>793</v>
      </c>
      <c r="AP142" s="644" t="s">
        <v>794</v>
      </c>
      <c r="AQ142" s="644" t="s">
        <v>753</v>
      </c>
      <c r="AR142" s="645" t="s">
        <v>705</v>
      </c>
      <c r="AS142" s="626" t="s">
        <v>737</v>
      </c>
    </row>
    <row r="143" spans="3:45">
      <c r="C143" s="626"/>
      <c r="N143" s="624"/>
      <c r="O143" s="624"/>
      <c r="AO143" s="643" t="s">
        <v>801</v>
      </c>
      <c r="AP143" s="644" t="s">
        <v>710</v>
      </c>
      <c r="AQ143" s="644" t="s">
        <v>742</v>
      </c>
      <c r="AR143" s="645" t="s">
        <v>758</v>
      </c>
      <c r="AS143" s="626" t="s">
        <v>1018</v>
      </c>
    </row>
    <row r="144" spans="3:45">
      <c r="C144" s="626"/>
      <c r="N144" s="624"/>
      <c r="O144" s="624"/>
      <c r="AO144" s="643" t="s">
        <v>808</v>
      </c>
      <c r="AP144" s="644" t="s">
        <v>66</v>
      </c>
      <c r="AQ144" s="644" t="s">
        <v>56</v>
      </c>
      <c r="AR144" s="645" t="s">
        <v>762</v>
      </c>
      <c r="AS144" s="626" t="s">
        <v>737</v>
      </c>
    </row>
    <row r="145" spans="3:46">
      <c r="C145" s="626"/>
      <c r="N145" s="624"/>
      <c r="O145" s="624"/>
      <c r="AO145" s="643" t="s">
        <v>814</v>
      </c>
      <c r="AP145" s="644" t="s">
        <v>65</v>
      </c>
      <c r="AQ145" s="644" t="s">
        <v>155</v>
      </c>
      <c r="AR145" s="645" t="s">
        <v>698</v>
      </c>
      <c r="AS145" s="626" t="s">
        <v>773</v>
      </c>
    </row>
    <row r="146" spans="3:46">
      <c r="C146" s="626"/>
      <c r="N146" s="624"/>
      <c r="O146" s="624"/>
      <c r="AO146" s="643" t="s">
        <v>818</v>
      </c>
      <c r="AP146" s="644" t="s">
        <v>147</v>
      </c>
      <c r="AQ146" s="644" t="s">
        <v>57</v>
      </c>
      <c r="AR146" s="645" t="s">
        <v>2</v>
      </c>
      <c r="AS146" s="626" t="s">
        <v>773</v>
      </c>
    </row>
    <row r="147" spans="3:46">
      <c r="C147" s="650"/>
      <c r="N147" s="624"/>
      <c r="O147" s="624"/>
      <c r="AO147" s="643" t="s">
        <v>824</v>
      </c>
      <c r="AP147" s="644" t="s">
        <v>738</v>
      </c>
      <c r="AQ147" s="644" t="s">
        <v>747</v>
      </c>
      <c r="AR147" s="645" t="s">
        <v>756</v>
      </c>
      <c r="AS147" s="626" t="s">
        <v>773</v>
      </c>
    </row>
    <row r="148" spans="3:46">
      <c r="C148" s="650"/>
      <c r="N148" s="624"/>
      <c r="O148" s="624"/>
      <c r="AO148" s="643" t="s">
        <v>828</v>
      </c>
      <c r="AP148" s="644" t="s">
        <v>61</v>
      </c>
      <c r="AQ148" s="644" t="s">
        <v>36</v>
      </c>
      <c r="AR148" s="645" t="s">
        <v>755</v>
      </c>
      <c r="AS148" s="626" t="s">
        <v>773</v>
      </c>
    </row>
    <row r="149" spans="3:46">
      <c r="C149" s="650"/>
      <c r="N149" s="624"/>
      <c r="O149" s="624"/>
      <c r="AO149" s="643" t="s">
        <v>833</v>
      </c>
      <c r="AP149" s="644" t="s">
        <v>43</v>
      </c>
      <c r="AQ149" s="644" t="s">
        <v>65</v>
      </c>
      <c r="AR149" s="645" t="s">
        <v>781</v>
      </c>
      <c r="AS149" s="626" t="s">
        <v>773</v>
      </c>
    </row>
    <row r="150" spans="3:46">
      <c r="C150" s="650"/>
      <c r="N150" s="624"/>
      <c r="O150" s="624"/>
      <c r="AO150" s="643" t="s">
        <v>837</v>
      </c>
      <c r="AP150" s="644" t="s">
        <v>46</v>
      </c>
      <c r="AQ150" s="644" t="s">
        <v>53</v>
      </c>
      <c r="AR150" s="645" t="s">
        <v>731</v>
      </c>
      <c r="AS150" s="626" t="s">
        <v>773</v>
      </c>
    </row>
    <row r="151" spans="3:46">
      <c r="C151" s="650"/>
      <c r="N151" s="624"/>
      <c r="O151" s="624"/>
      <c r="AO151" s="665">
        <f>COUNTA(AO122:AO150)</f>
        <v>29</v>
      </c>
    </row>
    <row r="152" spans="3:46">
      <c r="C152" s="650"/>
      <c r="J152" s="626"/>
      <c r="K152" s="626"/>
      <c r="L152" s="626"/>
      <c r="M152" s="626"/>
      <c r="N152" s="624"/>
      <c r="O152" s="624"/>
    </row>
    <row r="153" spans="3:46">
      <c r="C153" s="650"/>
      <c r="H153" s="626"/>
      <c r="I153" s="626"/>
      <c r="J153" s="626"/>
      <c r="K153" s="626"/>
      <c r="L153" s="626"/>
      <c r="M153" s="650"/>
    </row>
    <row r="154" spans="3:46">
      <c r="C154" s="650"/>
      <c r="H154" s="650"/>
      <c r="I154" s="626"/>
      <c r="J154" s="626"/>
      <c r="K154" s="626"/>
      <c r="L154" s="626"/>
      <c r="M154" s="626"/>
      <c r="N154" s="624"/>
    </row>
    <row r="155" spans="3:46">
      <c r="C155" s="650"/>
      <c r="H155" s="650"/>
      <c r="I155" s="626"/>
      <c r="J155" s="626"/>
      <c r="K155" s="626"/>
      <c r="L155" s="626"/>
      <c r="M155" s="626"/>
      <c r="N155" s="624"/>
      <c r="AO155" s="668" t="s">
        <v>192</v>
      </c>
      <c r="AP155" s="639" t="s">
        <v>689</v>
      </c>
      <c r="AQ155" s="639" t="s">
        <v>690</v>
      </c>
      <c r="AR155" s="640" t="s">
        <v>691</v>
      </c>
      <c r="AS155" s="639" t="s">
        <v>692</v>
      </c>
      <c r="AT155" s="639"/>
    </row>
    <row r="156" spans="3:46">
      <c r="I156" s="624"/>
      <c r="J156" s="624"/>
      <c r="K156" s="624"/>
      <c r="M156" s="624"/>
      <c r="N156" s="624"/>
      <c r="AO156" s="643" t="s">
        <v>335</v>
      </c>
      <c r="AP156" s="644" t="s">
        <v>699</v>
      </c>
      <c r="AQ156" s="645" t="s">
        <v>19</v>
      </c>
      <c r="AR156" s="645" t="s">
        <v>29</v>
      </c>
      <c r="AS156" s="626" t="s">
        <v>737</v>
      </c>
    </row>
    <row r="157" spans="3:46">
      <c r="I157" s="624"/>
      <c r="J157" s="624"/>
      <c r="K157" s="624"/>
      <c r="M157" s="624"/>
      <c r="N157" s="624"/>
      <c r="AO157" s="643" t="s">
        <v>278</v>
      </c>
      <c r="AP157" s="644" t="s">
        <v>709</v>
      </c>
      <c r="AQ157" s="644" t="s">
        <v>710</v>
      </c>
      <c r="AR157" s="645" t="s">
        <v>15</v>
      </c>
      <c r="AS157" s="626" t="s">
        <v>1019</v>
      </c>
    </row>
    <row r="158" spans="3:46">
      <c r="AO158" s="643" t="s">
        <v>369</v>
      </c>
      <c r="AP158" s="644" t="s">
        <v>110</v>
      </c>
      <c r="AQ158" s="645" t="s">
        <v>73</v>
      </c>
      <c r="AR158" s="645" t="s">
        <v>716</v>
      </c>
      <c r="AS158" s="626" t="s">
        <v>894</v>
      </c>
    </row>
    <row r="159" spans="3:46">
      <c r="AO159" s="643" t="s">
        <v>367</v>
      </c>
      <c r="AP159" s="644" t="s">
        <v>58</v>
      </c>
      <c r="AQ159" s="644" t="s">
        <v>709</v>
      </c>
      <c r="AR159" s="645" t="s">
        <v>2</v>
      </c>
      <c r="AS159" s="626" t="s">
        <v>894</v>
      </c>
    </row>
    <row r="160" spans="3:46">
      <c r="AO160" s="643" t="s">
        <v>299</v>
      </c>
      <c r="AP160" s="644" t="s">
        <v>117</v>
      </c>
      <c r="AQ160" s="645" t="s">
        <v>18</v>
      </c>
      <c r="AR160" s="645" t="s">
        <v>32</v>
      </c>
      <c r="AS160" s="626" t="s">
        <v>737</v>
      </c>
    </row>
    <row r="161" spans="41:45">
      <c r="AO161" s="643" t="s">
        <v>281</v>
      </c>
      <c r="AP161" s="644" t="s">
        <v>155</v>
      </c>
      <c r="AQ161" s="644" t="s">
        <v>710</v>
      </c>
      <c r="AR161" s="645" t="s">
        <v>15</v>
      </c>
      <c r="AS161" s="626" t="s">
        <v>737</v>
      </c>
    </row>
    <row r="162" spans="41:45">
      <c r="AO162" s="643" t="s">
        <v>284</v>
      </c>
      <c r="AP162" s="644" t="s">
        <v>713</v>
      </c>
      <c r="AQ162" s="645" t="s">
        <v>15</v>
      </c>
      <c r="AR162" s="645" t="s">
        <v>73</v>
      </c>
      <c r="AS162" s="626" t="s">
        <v>737</v>
      </c>
    </row>
    <row r="163" spans="41:45">
      <c r="AO163" s="713" t="s">
        <v>127</v>
      </c>
      <c r="AP163" s="644" t="s">
        <v>61</v>
      </c>
      <c r="AQ163" s="644" t="s">
        <v>734</v>
      </c>
      <c r="AR163" s="645" t="s">
        <v>71</v>
      </c>
      <c r="AS163" s="626" t="s">
        <v>736</v>
      </c>
    </row>
    <row r="164" spans="41:45">
      <c r="AO164" s="643" t="s">
        <v>318</v>
      </c>
      <c r="AP164" s="644" t="s">
        <v>106</v>
      </c>
      <c r="AQ164" s="645" t="s">
        <v>32</v>
      </c>
      <c r="AR164" s="645" t="s">
        <v>738</v>
      </c>
      <c r="AS164" s="626" t="s">
        <v>737</v>
      </c>
    </row>
    <row r="165" spans="41:45">
      <c r="AO165" s="643" t="s">
        <v>324</v>
      </c>
      <c r="AP165" s="644" t="s">
        <v>743</v>
      </c>
      <c r="AQ165" s="645" t="s">
        <v>73</v>
      </c>
      <c r="AR165" s="645" t="s">
        <v>708</v>
      </c>
      <c r="AS165" s="626" t="s">
        <v>737</v>
      </c>
    </row>
    <row r="166" spans="41:45">
      <c r="AO166" s="643" t="s">
        <v>746</v>
      </c>
      <c r="AP166" s="644" t="s">
        <v>121</v>
      </c>
      <c r="AQ166" s="644" t="s">
        <v>747</v>
      </c>
      <c r="AR166" s="645" t="s">
        <v>738</v>
      </c>
      <c r="AS166" s="626" t="s">
        <v>909</v>
      </c>
    </row>
    <row r="167" spans="41:45">
      <c r="AO167" s="643" t="s">
        <v>749</v>
      </c>
      <c r="AP167" s="644" t="s">
        <v>125</v>
      </c>
      <c r="AQ167" s="644" t="s">
        <v>117</v>
      </c>
      <c r="AR167" s="645" t="s">
        <v>22</v>
      </c>
      <c r="AS167" s="626" t="s">
        <v>894</v>
      </c>
    </row>
    <row r="168" spans="41:45">
      <c r="AO168" s="643" t="s">
        <v>752</v>
      </c>
      <c r="AP168" s="644" t="s">
        <v>701</v>
      </c>
      <c r="AQ168" s="644" t="s">
        <v>753</v>
      </c>
      <c r="AR168" s="645" t="s">
        <v>716</v>
      </c>
      <c r="AS168" s="626" t="s">
        <v>1020</v>
      </c>
    </row>
    <row r="169" spans="41:45">
      <c r="AO169" s="643" t="s">
        <v>399</v>
      </c>
      <c r="AP169" s="644" t="s">
        <v>132</v>
      </c>
      <c r="AQ169" s="645" t="s">
        <v>757</v>
      </c>
      <c r="AR169" s="645" t="s">
        <v>99</v>
      </c>
      <c r="AS169" s="626" t="s">
        <v>737</v>
      </c>
    </row>
    <row r="170" spans="41:45">
      <c r="AO170" s="643" t="s">
        <v>405</v>
      </c>
      <c r="AP170" s="644" t="s">
        <v>57</v>
      </c>
      <c r="AQ170" s="645" t="s">
        <v>762</v>
      </c>
      <c r="AR170" s="645" t="s">
        <v>738</v>
      </c>
      <c r="AS170" s="626" t="s">
        <v>737</v>
      </c>
    </row>
    <row r="171" spans="41:45">
      <c r="AO171" s="643" t="s">
        <v>414</v>
      </c>
      <c r="AP171" s="644" t="s">
        <v>742</v>
      </c>
      <c r="AQ171" s="645" t="s">
        <v>767</v>
      </c>
      <c r="AR171" s="645" t="s">
        <v>738</v>
      </c>
      <c r="AS171" s="626" t="s">
        <v>737</v>
      </c>
    </row>
    <row r="172" spans="41:45">
      <c r="AO172" s="643" t="s">
        <v>772</v>
      </c>
      <c r="AP172" s="644" t="s">
        <v>58</v>
      </c>
      <c r="AQ172" s="644" t="s">
        <v>36</v>
      </c>
      <c r="AR172" s="645" t="s">
        <v>19</v>
      </c>
      <c r="AS172" s="626" t="s">
        <v>773</v>
      </c>
    </row>
    <row r="173" spans="41:45">
      <c r="AO173" s="643" t="s">
        <v>778</v>
      </c>
      <c r="AP173" s="644" t="s">
        <v>738</v>
      </c>
      <c r="AQ173" s="644" t="s">
        <v>747</v>
      </c>
      <c r="AR173" s="645" t="s">
        <v>715</v>
      </c>
      <c r="AS173" s="626" t="s">
        <v>773</v>
      </c>
    </row>
    <row r="174" spans="41:45">
      <c r="AO174" s="643" t="s">
        <v>783</v>
      </c>
      <c r="AP174" s="644" t="s">
        <v>704</v>
      </c>
      <c r="AQ174" s="644" t="s">
        <v>724</v>
      </c>
      <c r="AR174" s="645" t="s">
        <v>29</v>
      </c>
      <c r="AS174" s="626" t="s">
        <v>773</v>
      </c>
    </row>
    <row r="175" spans="41:45">
      <c r="AO175" s="643" t="s">
        <v>788</v>
      </c>
      <c r="AP175" s="644" t="s">
        <v>38</v>
      </c>
      <c r="AQ175" s="644" t="s">
        <v>43</v>
      </c>
      <c r="AR175" s="645" t="s">
        <v>767</v>
      </c>
      <c r="AS175" s="626" t="s">
        <v>737</v>
      </c>
    </row>
    <row r="176" spans="41:45">
      <c r="AO176" s="643" t="s">
        <v>795</v>
      </c>
      <c r="AP176" s="644" t="s">
        <v>110</v>
      </c>
      <c r="AQ176" s="644" t="s">
        <v>699</v>
      </c>
      <c r="AR176" s="645" t="s">
        <v>32</v>
      </c>
      <c r="AS176" s="626" t="s">
        <v>773</v>
      </c>
    </row>
    <row r="177" spans="41:45">
      <c r="AO177" s="643" t="s">
        <v>802</v>
      </c>
      <c r="AP177" s="644" t="s">
        <v>734</v>
      </c>
      <c r="AQ177" s="644" t="s">
        <v>124</v>
      </c>
      <c r="AR177" s="645" t="s">
        <v>803</v>
      </c>
      <c r="AS177" s="626" t="s">
        <v>773</v>
      </c>
    </row>
    <row r="178" spans="41:45">
      <c r="AO178" s="643" t="s">
        <v>809</v>
      </c>
      <c r="AP178" s="644" t="s">
        <v>51</v>
      </c>
      <c r="AQ178" s="644" t="s">
        <v>66</v>
      </c>
      <c r="AR178" s="645" t="s">
        <v>757</v>
      </c>
      <c r="AS178" s="626" t="s">
        <v>773</v>
      </c>
    </row>
    <row r="179" spans="41:45">
      <c r="AO179" s="643" t="s">
        <v>815</v>
      </c>
      <c r="AP179" s="644" t="s">
        <v>57</v>
      </c>
      <c r="AQ179" s="644" t="s">
        <v>110</v>
      </c>
      <c r="AR179" s="645" t="s">
        <v>716</v>
      </c>
      <c r="AS179" s="626" t="s">
        <v>773</v>
      </c>
    </row>
    <row r="180" spans="41:45">
      <c r="AO180" s="643" t="s">
        <v>819</v>
      </c>
      <c r="AP180" s="644" t="s">
        <v>125</v>
      </c>
      <c r="AQ180" s="644" t="s">
        <v>121</v>
      </c>
      <c r="AR180" s="645" t="s">
        <v>99</v>
      </c>
      <c r="AS180" s="626" t="s">
        <v>773</v>
      </c>
    </row>
    <row r="181" spans="41:45">
      <c r="AO181" s="643" t="s">
        <v>825</v>
      </c>
      <c r="AP181" s="644" t="s">
        <v>43</v>
      </c>
      <c r="AQ181" s="644" t="s">
        <v>65</v>
      </c>
      <c r="AR181" s="645" t="s">
        <v>716</v>
      </c>
      <c r="AS181" s="626" t="s">
        <v>773</v>
      </c>
    </row>
    <row r="182" spans="41:45">
      <c r="AO182" s="654" t="s">
        <v>380</v>
      </c>
      <c r="AP182" s="644" t="s">
        <v>61</v>
      </c>
      <c r="AQ182" s="644" t="s">
        <v>36</v>
      </c>
      <c r="AR182" s="702" t="s">
        <v>49</v>
      </c>
      <c r="AS182" s="626" t="s">
        <v>847</v>
      </c>
    </row>
    <row r="183" spans="41:45">
      <c r="AO183" s="654" t="s">
        <v>370</v>
      </c>
      <c r="AP183" s="644" t="s">
        <v>110</v>
      </c>
      <c r="AQ183" s="644" t="s">
        <v>699</v>
      </c>
      <c r="AR183" s="702" t="s">
        <v>767</v>
      </c>
      <c r="AS183" s="626" t="s">
        <v>847</v>
      </c>
    </row>
    <row r="184" spans="41:45">
      <c r="AO184" s="654" t="s">
        <v>344</v>
      </c>
      <c r="AP184" s="644" t="s">
        <v>106</v>
      </c>
      <c r="AQ184" s="644" t="s">
        <v>117</v>
      </c>
      <c r="AR184" s="702" t="s">
        <v>766</v>
      </c>
      <c r="AS184" s="626" t="s">
        <v>847</v>
      </c>
    </row>
    <row r="185" spans="41:45">
      <c r="AO185" s="654" t="s">
        <v>396</v>
      </c>
      <c r="AP185" s="644" t="s">
        <v>56</v>
      </c>
      <c r="AQ185" s="644" t="s">
        <v>61</v>
      </c>
      <c r="AR185" s="702" t="s">
        <v>841</v>
      </c>
      <c r="AS185" s="626" t="s">
        <v>847</v>
      </c>
    </row>
    <row r="186" spans="41:45">
      <c r="AO186" s="654" t="s">
        <v>325</v>
      </c>
      <c r="AP186" s="644" t="s">
        <v>42</v>
      </c>
      <c r="AQ186" s="644" t="s">
        <v>47</v>
      </c>
      <c r="AR186" s="702" t="s">
        <v>845</v>
      </c>
      <c r="AS186" s="626" t="s">
        <v>847</v>
      </c>
    </row>
    <row r="187" spans="41:45">
      <c r="AO187" s="654" t="s">
        <v>341</v>
      </c>
      <c r="AP187" s="644" t="s">
        <v>121</v>
      </c>
      <c r="AQ187" s="644" t="s">
        <v>51</v>
      </c>
      <c r="AR187" s="702" t="s">
        <v>512</v>
      </c>
      <c r="AS187" s="626" t="s">
        <v>847</v>
      </c>
    </row>
    <row r="188" spans="41:45">
      <c r="AO188" s="654" t="s">
        <v>852</v>
      </c>
      <c r="AP188" s="644" t="s">
        <v>53</v>
      </c>
      <c r="AQ188" s="644" t="s">
        <v>62</v>
      </c>
      <c r="AR188" s="702" t="s">
        <v>512</v>
      </c>
      <c r="AS188" s="626" t="s">
        <v>847</v>
      </c>
    </row>
    <row r="189" spans="41:45">
      <c r="AO189" s="665">
        <f>COUNTA(AO156:AO188)</f>
        <v>33</v>
      </c>
    </row>
    <row r="190" spans="41:45">
      <c r="AO190" s="711"/>
      <c r="AP190" s="650"/>
      <c r="AQ190" s="650"/>
      <c r="AR190" s="650"/>
    </row>
    <row r="194" ht="14.25"/>
    <row r="195" spans="41:46">
      <c r="AO195" s="658" t="s">
        <v>871</v>
      </c>
      <c r="AP195" s="659" t="s">
        <v>872</v>
      </c>
      <c r="AQ195" s="659" t="s">
        <v>873</v>
      </c>
      <c r="AR195" s="659" t="s">
        <v>874</v>
      </c>
      <c r="AS195" s="660" t="s">
        <v>875</v>
      </c>
      <c r="AT195" s="714"/>
    </row>
    <row r="196" spans="41:46">
      <c r="AO196" s="661" t="s">
        <v>883</v>
      </c>
      <c r="AP196" s="662">
        <v>35</v>
      </c>
      <c r="AQ196" s="662">
        <v>20</v>
      </c>
      <c r="AR196" s="662"/>
      <c r="AS196" s="663">
        <v>1</v>
      </c>
      <c r="AT196" s="648"/>
    </row>
    <row r="197" spans="41:46">
      <c r="AO197" s="661" t="s">
        <v>887</v>
      </c>
      <c r="AP197" s="662">
        <v>49</v>
      </c>
      <c r="AQ197" s="662">
        <v>25</v>
      </c>
      <c r="AR197" s="662"/>
      <c r="AS197" s="663">
        <v>1</v>
      </c>
      <c r="AT197" s="648"/>
    </row>
    <row r="198" spans="41:46">
      <c r="AO198" s="661" t="s">
        <v>888</v>
      </c>
      <c r="AP198" s="662">
        <v>69</v>
      </c>
      <c r="AQ198" s="662">
        <v>35</v>
      </c>
      <c r="AR198" s="662"/>
      <c r="AS198" s="663">
        <v>1</v>
      </c>
      <c r="AT198" s="648"/>
    </row>
    <row r="199" spans="41:46">
      <c r="AO199" s="661" t="s">
        <v>889</v>
      </c>
      <c r="AP199" s="662">
        <v>97</v>
      </c>
      <c r="AQ199" s="662">
        <v>50</v>
      </c>
      <c r="AR199" s="662"/>
      <c r="AS199" s="663">
        <v>1</v>
      </c>
      <c r="AT199" s="648"/>
    </row>
    <row r="200" spans="41:46">
      <c r="AO200" s="661" t="s">
        <v>892</v>
      </c>
      <c r="AP200" s="662">
        <v>136</v>
      </c>
      <c r="AQ200" s="662">
        <v>0</v>
      </c>
      <c r="AR200" s="662">
        <v>1</v>
      </c>
      <c r="AS200" s="663">
        <v>2</v>
      </c>
      <c r="AT200" s="648"/>
    </row>
    <row r="201" spans="41:46">
      <c r="AO201" s="661" t="s">
        <v>893</v>
      </c>
      <c r="AP201" s="662">
        <v>191</v>
      </c>
      <c r="AQ201" s="662">
        <v>95</v>
      </c>
      <c r="AR201" s="662"/>
      <c r="AS201" s="663">
        <v>2</v>
      </c>
      <c r="AT201" s="648"/>
    </row>
    <row r="202" spans="41:46">
      <c r="AO202" s="661" t="s">
        <v>895</v>
      </c>
      <c r="AP202" s="662">
        <v>268</v>
      </c>
      <c r="AQ202" s="662">
        <v>0</v>
      </c>
      <c r="AR202" s="662">
        <v>1</v>
      </c>
      <c r="AS202" s="663">
        <v>3</v>
      </c>
      <c r="AT202" s="648"/>
    </row>
    <row r="203" spans="41:46">
      <c r="AO203" s="661" t="s">
        <v>898</v>
      </c>
      <c r="AP203" s="662">
        <v>376</v>
      </c>
      <c r="AQ203" s="662">
        <v>160</v>
      </c>
      <c r="AR203" s="662"/>
      <c r="AS203" s="663">
        <v>3</v>
      </c>
      <c r="AT203" s="648"/>
    </row>
    <row r="204" spans="41:46">
      <c r="AO204" s="661" t="s">
        <v>901</v>
      </c>
      <c r="AP204" s="662">
        <v>526</v>
      </c>
      <c r="AQ204" s="662">
        <v>0</v>
      </c>
      <c r="AR204" s="662">
        <v>1</v>
      </c>
      <c r="AS204" s="663">
        <v>5</v>
      </c>
      <c r="AT204" s="648"/>
    </row>
    <row r="205" spans="41:46">
      <c r="AO205" s="661" t="s">
        <v>904</v>
      </c>
      <c r="AP205" s="662">
        <v>188</v>
      </c>
      <c r="AQ205" s="662">
        <v>40</v>
      </c>
      <c r="AR205" s="662"/>
      <c r="AS205" s="663">
        <v>5</v>
      </c>
      <c r="AT205" s="648"/>
    </row>
    <row r="206" spans="41:46">
      <c r="AO206" s="661" t="s">
        <v>908</v>
      </c>
      <c r="AP206" s="662">
        <v>188</v>
      </c>
      <c r="AQ206" s="662">
        <v>40</v>
      </c>
      <c r="AR206" s="662"/>
      <c r="AS206" s="663">
        <v>6</v>
      </c>
      <c r="AT206" s="648"/>
    </row>
    <row r="207" spans="41:46">
      <c r="AO207" s="661" t="s">
        <v>911</v>
      </c>
      <c r="AP207" s="662">
        <v>188</v>
      </c>
      <c r="AQ207" s="662">
        <v>40</v>
      </c>
      <c r="AR207" s="662"/>
      <c r="AS207" s="663">
        <v>6</v>
      </c>
      <c r="AT207" s="648"/>
    </row>
    <row r="208" spans="41:46">
      <c r="AO208" s="664" t="s">
        <v>914</v>
      </c>
      <c r="AP208" s="662">
        <v>188</v>
      </c>
      <c r="AQ208" s="662">
        <v>40</v>
      </c>
      <c r="AR208" s="662"/>
      <c r="AS208" s="663">
        <v>7</v>
      </c>
      <c r="AT208" s="648"/>
    </row>
    <row r="209" spans="41:46">
      <c r="AO209" s="664" t="s">
        <v>917</v>
      </c>
      <c r="AP209" s="662">
        <v>188</v>
      </c>
      <c r="AQ209" s="662">
        <v>40</v>
      </c>
      <c r="AR209" s="662"/>
      <c r="AS209" s="663">
        <v>0</v>
      </c>
      <c r="AT209" s="648"/>
    </row>
    <row r="210" spans="41:46">
      <c r="AO210" s="661" t="s">
        <v>920</v>
      </c>
      <c r="AP210" s="662">
        <v>188</v>
      </c>
      <c r="AQ210" s="662">
        <v>40</v>
      </c>
      <c r="AR210" s="662"/>
      <c r="AS210" s="663">
        <v>0</v>
      </c>
      <c r="AT210" s="648"/>
    </row>
    <row r="211" spans="41:46">
      <c r="AO211" s="661" t="s">
        <v>927</v>
      </c>
      <c r="AP211" s="662">
        <v>288</v>
      </c>
      <c r="AQ211" s="662">
        <v>90</v>
      </c>
      <c r="AR211" s="662"/>
      <c r="AS211" s="663">
        <v>0</v>
      </c>
      <c r="AT211" s="648"/>
    </row>
    <row r="212" spans="41:46">
      <c r="AO212" s="664" t="s">
        <v>932</v>
      </c>
      <c r="AP212" s="662">
        <v>288</v>
      </c>
      <c r="AQ212" s="662">
        <v>90</v>
      </c>
      <c r="AR212" s="662"/>
      <c r="AS212" s="663">
        <v>0</v>
      </c>
      <c r="AT212" s="648"/>
    </row>
    <row r="213" spans="41:46">
      <c r="AO213" s="664" t="s">
        <v>938</v>
      </c>
      <c r="AP213" s="662">
        <v>288</v>
      </c>
      <c r="AQ213" s="662">
        <v>90</v>
      </c>
      <c r="AR213" s="662"/>
      <c r="AS213" s="663">
        <v>0</v>
      </c>
      <c r="AT213" s="648"/>
    </row>
    <row r="214" spans="41:46">
      <c r="AO214" s="664" t="s">
        <v>941</v>
      </c>
      <c r="AP214" s="662">
        <v>288</v>
      </c>
      <c r="AQ214" s="662">
        <v>90</v>
      </c>
      <c r="AR214" s="662"/>
      <c r="AS214" s="663">
        <v>0</v>
      </c>
      <c r="AT214" s="648"/>
    </row>
    <row r="215" ht="14.25" spans="41:46">
      <c r="AO215" s="687" t="s">
        <v>226</v>
      </c>
      <c r="AP215" s="688">
        <f>SUM(AP196:AP214)</f>
        <v>4027</v>
      </c>
      <c r="AQ215" s="688">
        <f>SUM(AQ196:AQ214)</f>
        <v>985</v>
      </c>
      <c r="AR215" s="688">
        <f>SUM(AR196:AR214)</f>
        <v>3</v>
      </c>
      <c r="AS215" s="689">
        <f>SUM(AS196:AS214)</f>
        <v>43</v>
      </c>
      <c r="AT215" s="714"/>
    </row>
    <row r="216" spans="41:46">
      <c r="AO216" s="648"/>
      <c r="AP216" s="648"/>
      <c r="AQ216" s="648"/>
      <c r="AR216" s="648"/>
      <c r="AS216" s="648"/>
      <c r="AT216" s="648"/>
    </row>
    <row r="217" ht="14.25" spans="41:46">
      <c r="AO217" s="715"/>
      <c r="AP217" s="715"/>
      <c r="AQ217" s="715"/>
      <c r="AR217" s="715"/>
      <c r="AS217" s="715"/>
      <c r="AT217" s="715"/>
    </row>
    <row r="218" spans="41:46">
      <c r="AO218" s="658" t="s">
        <v>876</v>
      </c>
      <c r="AP218" s="659" t="s">
        <v>877</v>
      </c>
      <c r="AQ218" s="659" t="s">
        <v>880</v>
      </c>
      <c r="AR218" s="659" t="s">
        <v>878</v>
      </c>
      <c r="AS218" s="660" t="s">
        <v>879</v>
      </c>
      <c r="AT218" s="714"/>
    </row>
    <row r="219" spans="41:46">
      <c r="AO219" s="664">
        <v>1</v>
      </c>
      <c r="AP219" s="662">
        <v>3900</v>
      </c>
      <c r="AQ219" s="662">
        <v>3900</v>
      </c>
      <c r="AR219" s="662">
        <v>31200</v>
      </c>
      <c r="AS219" s="663">
        <v>7800</v>
      </c>
      <c r="AT219" s="648"/>
    </row>
    <row r="220" spans="41:46">
      <c r="AO220" s="666">
        <v>2</v>
      </c>
      <c r="AP220" s="662">
        <v>4410</v>
      </c>
      <c r="AQ220" s="662">
        <v>4410</v>
      </c>
      <c r="AR220" s="662">
        <v>35280</v>
      </c>
      <c r="AS220" s="663">
        <v>8820</v>
      </c>
      <c r="AT220" s="648"/>
    </row>
    <row r="221" spans="41:46">
      <c r="AO221" s="666">
        <v>3</v>
      </c>
      <c r="AP221" s="662">
        <v>5000</v>
      </c>
      <c r="AQ221" s="662">
        <v>5000</v>
      </c>
      <c r="AR221" s="662">
        <v>40000</v>
      </c>
      <c r="AS221" s="663">
        <v>10000</v>
      </c>
      <c r="AT221" s="648"/>
    </row>
    <row r="222" spans="41:46">
      <c r="AO222" s="664">
        <v>4</v>
      </c>
      <c r="AP222" s="662">
        <v>5650</v>
      </c>
      <c r="AQ222" s="662">
        <v>5650</v>
      </c>
      <c r="AR222" s="662">
        <v>45200</v>
      </c>
      <c r="AS222" s="663">
        <v>11300</v>
      </c>
      <c r="AT222" s="648"/>
    </row>
    <row r="223" spans="41:46">
      <c r="AO223" s="666">
        <v>5</v>
      </c>
      <c r="AP223" s="662">
        <v>6400</v>
      </c>
      <c r="AQ223" s="662">
        <v>6400</v>
      </c>
      <c r="AR223" s="662">
        <v>51200</v>
      </c>
      <c r="AS223" s="663">
        <v>12800</v>
      </c>
      <c r="AT223" s="648"/>
    </row>
    <row r="224" spans="41:46">
      <c r="AO224" s="666">
        <v>6</v>
      </c>
      <c r="AP224" s="662">
        <v>7230</v>
      </c>
      <c r="AQ224" s="662">
        <v>7230</v>
      </c>
      <c r="AR224" s="662">
        <v>57840</v>
      </c>
      <c r="AS224" s="663">
        <v>14460</v>
      </c>
      <c r="AT224" s="648"/>
    </row>
    <row r="225" spans="41:46">
      <c r="AO225" s="664">
        <v>7</v>
      </c>
      <c r="AP225" s="662">
        <v>8180</v>
      </c>
      <c r="AQ225" s="662">
        <v>8180</v>
      </c>
      <c r="AR225" s="662">
        <v>65440</v>
      </c>
      <c r="AS225" s="663">
        <v>16360</v>
      </c>
      <c r="AT225" s="648"/>
    </row>
    <row r="226" spans="41:46">
      <c r="AO226" s="666">
        <v>8</v>
      </c>
      <c r="AP226" s="662">
        <v>9250</v>
      </c>
      <c r="AQ226" s="662">
        <v>9250</v>
      </c>
      <c r="AR226" s="662">
        <v>74000</v>
      </c>
      <c r="AS226" s="663">
        <v>18500</v>
      </c>
      <c r="AT226" s="648"/>
    </row>
    <row r="227" spans="41:46">
      <c r="AO227" s="666">
        <v>9</v>
      </c>
      <c r="AP227" s="662">
        <v>10460</v>
      </c>
      <c r="AQ227" s="662">
        <v>10460</v>
      </c>
      <c r="AR227" s="662">
        <v>83680</v>
      </c>
      <c r="AS227" s="663">
        <v>20920</v>
      </c>
      <c r="AT227" s="648"/>
    </row>
    <row r="228" spans="41:46">
      <c r="AO228" s="664">
        <v>10</v>
      </c>
      <c r="AP228" s="662">
        <v>11280</v>
      </c>
      <c r="AQ228" s="662">
        <v>11280</v>
      </c>
      <c r="AR228" s="662">
        <v>90240</v>
      </c>
      <c r="AS228" s="663">
        <v>22560</v>
      </c>
      <c r="AT228" s="648"/>
    </row>
    <row r="229" spans="41:46">
      <c r="AO229" s="666">
        <v>11</v>
      </c>
      <c r="AP229" s="662">
        <v>14180</v>
      </c>
      <c r="AQ229" s="662">
        <v>14180</v>
      </c>
      <c r="AR229" s="662">
        <v>113440</v>
      </c>
      <c r="AS229" s="663">
        <v>28360</v>
      </c>
      <c r="AT229" s="648"/>
    </row>
    <row r="230" spans="41:46">
      <c r="AO230" s="666">
        <v>12</v>
      </c>
      <c r="AP230" s="662">
        <v>17020</v>
      </c>
      <c r="AQ230" s="662">
        <v>17020</v>
      </c>
      <c r="AR230" s="662">
        <v>136160</v>
      </c>
      <c r="AS230" s="663">
        <v>34040</v>
      </c>
      <c r="AT230" s="648"/>
    </row>
    <row r="231" spans="41:46">
      <c r="AO231" s="664">
        <v>13</v>
      </c>
      <c r="AP231" s="662">
        <v>20430</v>
      </c>
      <c r="AQ231" s="662">
        <v>20430</v>
      </c>
      <c r="AR231" s="662">
        <v>163440</v>
      </c>
      <c r="AS231" s="663">
        <v>40860</v>
      </c>
      <c r="AT231" s="648"/>
    </row>
    <row r="232" spans="41:46">
      <c r="AO232" s="666">
        <v>14</v>
      </c>
      <c r="AP232" s="662">
        <v>24520</v>
      </c>
      <c r="AQ232" s="662">
        <v>24520</v>
      </c>
      <c r="AR232" s="662">
        <v>196160</v>
      </c>
      <c r="AS232" s="663">
        <v>49040</v>
      </c>
      <c r="AT232" s="648"/>
    </row>
    <row r="233" spans="41:46">
      <c r="AO233" s="666">
        <v>15</v>
      </c>
      <c r="AP233" s="662">
        <v>29420</v>
      </c>
      <c r="AQ233" s="662">
        <v>29420</v>
      </c>
      <c r="AR233" s="662">
        <v>235360</v>
      </c>
      <c r="AS233" s="663">
        <v>58840</v>
      </c>
      <c r="AT233" s="648"/>
    </row>
    <row r="234" spans="41:46">
      <c r="AO234" s="664">
        <v>16</v>
      </c>
      <c r="AP234" s="662">
        <v>35300</v>
      </c>
      <c r="AQ234" s="662">
        <v>35300</v>
      </c>
      <c r="AR234" s="662">
        <v>282400</v>
      </c>
      <c r="AS234" s="663">
        <v>70600</v>
      </c>
      <c r="AT234" s="648"/>
    </row>
    <row r="235" spans="41:46">
      <c r="AO235" s="666">
        <v>17</v>
      </c>
      <c r="AP235" s="662">
        <v>42370</v>
      </c>
      <c r="AQ235" s="662">
        <v>42370</v>
      </c>
      <c r="AR235" s="662">
        <v>338960</v>
      </c>
      <c r="AS235" s="663">
        <v>84740</v>
      </c>
      <c r="AT235" s="648"/>
    </row>
    <row r="236" spans="41:46">
      <c r="AO236" s="666">
        <v>18</v>
      </c>
      <c r="AP236" s="662">
        <v>50840</v>
      </c>
      <c r="AQ236" s="662">
        <v>50840</v>
      </c>
      <c r="AR236" s="662">
        <v>406720</v>
      </c>
      <c r="AS236" s="663">
        <v>101680</v>
      </c>
      <c r="AT236" s="648"/>
    </row>
    <row r="237" spans="41:46">
      <c r="AO237" s="664">
        <v>19</v>
      </c>
      <c r="AP237" s="662">
        <v>61000</v>
      </c>
      <c r="AQ237" s="662">
        <v>61000</v>
      </c>
      <c r="AR237" s="662">
        <v>488000</v>
      </c>
      <c r="AS237" s="663">
        <v>122000</v>
      </c>
      <c r="AT237" s="648"/>
    </row>
    <row r="238" ht="14.25" spans="41:46">
      <c r="AO238" s="666">
        <v>20</v>
      </c>
      <c r="AP238" s="662">
        <v>73220</v>
      </c>
      <c r="AQ238" s="662">
        <v>73220</v>
      </c>
      <c r="AR238" s="662">
        <v>585760</v>
      </c>
      <c r="AS238" s="663">
        <v>146440</v>
      </c>
      <c r="AT238" s="648"/>
    </row>
    <row r="239" spans="41:46">
      <c r="AO239" s="696"/>
      <c r="AP239" s="659" t="s">
        <v>877</v>
      </c>
      <c r="AQ239" s="659" t="s">
        <v>880</v>
      </c>
      <c r="AR239" s="659" t="s">
        <v>878</v>
      </c>
      <c r="AS239" s="660" t="s">
        <v>879</v>
      </c>
      <c r="AT239" s="714"/>
    </row>
    <row r="240" spans="41:46">
      <c r="AO240" s="698" t="s">
        <v>954</v>
      </c>
      <c r="AP240" s="699">
        <v>48</v>
      </c>
      <c r="AQ240" s="699">
        <v>33</v>
      </c>
      <c r="AR240" s="699">
        <v>61</v>
      </c>
      <c r="AS240" s="700">
        <v>29</v>
      </c>
      <c r="AT240" s="714"/>
    </row>
    <row r="241" ht="14.25" spans="41:46">
      <c r="AO241" s="687" t="s">
        <v>960</v>
      </c>
      <c r="AP241" s="688">
        <f>AP238*AP240</f>
        <v>3514560</v>
      </c>
      <c r="AQ241" s="688">
        <f t="shared" ref="AQ241:AS241" si="0">AQ238*AQ240</f>
        <v>2416260</v>
      </c>
      <c r="AR241" s="688">
        <f t="shared" si="0"/>
        <v>35731360</v>
      </c>
      <c r="AS241" s="689">
        <f t="shared" si="0"/>
        <v>4246760</v>
      </c>
      <c r="AT241" s="714"/>
    </row>
    <row r="242" spans="41:46">
      <c r="AO242" s="621"/>
      <c r="AP242" s="625"/>
      <c r="AS242" s="621"/>
      <c r="AT242" s="621"/>
    </row>
  </sheetData>
  <mergeCells count="7">
    <mergeCell ref="D1:J1"/>
    <mergeCell ref="L1:R1"/>
    <mergeCell ref="T1:Z1"/>
    <mergeCell ref="AB1:AH1"/>
    <mergeCell ref="C97:C98"/>
    <mergeCell ref="C99:C100"/>
    <mergeCell ref="C101:C10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139"/>
  <sheetViews>
    <sheetView zoomScale="70" zoomScaleNormal="70" workbookViewId="0">
      <selection activeCell="G90" sqref="G90"/>
    </sheetView>
  </sheetViews>
  <sheetFormatPr defaultColWidth="9" defaultRowHeight="14.25"/>
  <cols>
    <col min="1" max="2" width="9" style="591"/>
    <col min="3" max="4" width="11.75" style="591" customWidth="1"/>
    <col min="5" max="5" width="13.125" style="591" customWidth="1"/>
    <col min="6" max="6" width="14.125" style="591" customWidth="1"/>
    <col min="7" max="7" width="13.125" style="591" customWidth="1"/>
    <col min="8" max="8" width="11.75" style="591" customWidth="1"/>
    <col min="9" max="9" width="13" style="591" customWidth="1"/>
    <col min="10" max="12" width="11.75" style="591" customWidth="1"/>
    <col min="13" max="13" width="13.125" style="591" customWidth="1"/>
    <col min="14" max="16" width="11.75" style="591" customWidth="1"/>
    <col min="17" max="17" width="12.875" style="591" customWidth="1"/>
    <col min="18" max="18" width="13.5" style="591" customWidth="1"/>
    <col min="19" max="19" width="13.875" style="591" customWidth="1"/>
    <col min="20" max="20" width="13.5" style="591" customWidth="1"/>
    <col min="21" max="21" width="9" style="591"/>
    <col min="22" max="35" width="9" style="592"/>
    <col min="36" max="16384" width="9" style="591"/>
  </cols>
  <sheetData>
    <row r="1" spans="2:35">
      <c r="U1" s="592"/>
      <c r="AD1" s="591"/>
      <c r="AE1" s="591"/>
      <c r="AF1" s="591"/>
      <c r="AG1" s="591"/>
      <c r="AH1" s="591"/>
      <c r="AI1" s="591"/>
    </row>
    <row r="2" s="589" customFormat="1" ht="15.95" customHeight="1" spans="2:35">
      <c r="B2" s="593"/>
      <c r="C2" s="594" t="s">
        <v>1021</v>
      </c>
      <c r="D2" s="595"/>
      <c r="E2" s="594" t="s">
        <v>1022</v>
      </c>
      <c r="F2" s="595"/>
      <c r="G2" s="594" t="s">
        <v>1023</v>
      </c>
      <c r="H2" s="595"/>
      <c r="I2" s="594" t="s">
        <v>1024</v>
      </c>
      <c r="J2" s="595"/>
      <c r="K2" s="594" t="s">
        <v>1025</v>
      </c>
      <c r="L2" s="595"/>
      <c r="M2" s="594" t="s">
        <v>1026</v>
      </c>
      <c r="N2" s="595"/>
      <c r="O2" s="594" t="s">
        <v>1027</v>
      </c>
      <c r="P2" s="595"/>
      <c r="Q2" s="594" t="s">
        <v>1028</v>
      </c>
      <c r="R2" s="595"/>
      <c r="S2" s="594" t="s">
        <v>1029</v>
      </c>
      <c r="T2" s="595"/>
    </row>
    <row r="3" ht="15.95" customHeight="1" spans="2:35">
      <c r="B3" s="596" t="s">
        <v>1030</v>
      </c>
      <c r="C3" s="597" t="s">
        <v>374</v>
      </c>
      <c r="D3" s="598" t="s">
        <v>363</v>
      </c>
      <c r="E3" s="597" t="s">
        <v>333</v>
      </c>
      <c r="F3" s="598" t="s">
        <v>351</v>
      </c>
      <c r="G3" s="597" t="s">
        <v>337</v>
      </c>
      <c r="H3" s="598" t="s">
        <v>369</v>
      </c>
      <c r="I3" s="597" t="s">
        <v>1031</v>
      </c>
      <c r="J3" s="598" t="s">
        <v>1032</v>
      </c>
      <c r="K3" s="597" t="s">
        <v>823</v>
      </c>
      <c r="L3" s="598" t="s">
        <v>854</v>
      </c>
      <c r="M3" s="597" t="s">
        <v>1033</v>
      </c>
      <c r="N3" s="598" t="s">
        <v>1034</v>
      </c>
      <c r="O3" s="597" t="s">
        <v>1035</v>
      </c>
      <c r="P3" s="598" t="s">
        <v>1036</v>
      </c>
      <c r="Q3" s="597" t="s">
        <v>358</v>
      </c>
      <c r="R3" s="598" t="s">
        <v>749</v>
      </c>
      <c r="S3" s="597" t="s">
        <v>347</v>
      </c>
      <c r="T3" s="598" t="s">
        <v>372</v>
      </c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  <c r="AG3" s="591"/>
      <c r="AH3" s="591"/>
      <c r="AI3" s="591"/>
    </row>
    <row r="4" ht="15.95" customHeight="1" spans="2:35">
      <c r="B4" s="599"/>
      <c r="C4" s="600" t="s">
        <v>349</v>
      </c>
      <c r="D4" s="601" t="s">
        <v>272</v>
      </c>
      <c r="E4" s="600" t="s">
        <v>746</v>
      </c>
      <c r="F4" s="601" t="s">
        <v>305</v>
      </c>
      <c r="G4" s="600" t="s">
        <v>302</v>
      </c>
      <c r="H4" s="601" t="s">
        <v>291</v>
      </c>
      <c r="I4" s="600" t="s">
        <v>335</v>
      </c>
      <c r="J4" s="601" t="s">
        <v>343</v>
      </c>
      <c r="K4" s="600" t="s">
        <v>835</v>
      </c>
      <c r="L4" s="601" t="s">
        <v>1037</v>
      </c>
      <c r="M4" s="600" t="s">
        <v>331</v>
      </c>
      <c r="N4" s="601" t="s">
        <v>345</v>
      </c>
      <c r="O4" s="600" t="s">
        <v>1038</v>
      </c>
      <c r="P4" s="601" t="s">
        <v>329</v>
      </c>
      <c r="Q4" s="600" t="s">
        <v>356</v>
      </c>
      <c r="R4" s="601" t="s">
        <v>353</v>
      </c>
      <c r="S4" s="600" t="s">
        <v>287</v>
      </c>
      <c r="T4" s="601" t="s">
        <v>385</v>
      </c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</row>
    <row r="5" ht="15.95" customHeight="1" spans="2:35">
      <c r="B5" s="599"/>
      <c r="C5" s="600" t="s">
        <v>399</v>
      </c>
      <c r="D5" s="601" t="s">
        <v>777</v>
      </c>
      <c r="E5" s="600" t="s">
        <v>383</v>
      </c>
      <c r="F5" s="601" t="s">
        <v>315</v>
      </c>
      <c r="G5" s="600" t="s">
        <v>267</v>
      </c>
      <c r="H5" s="601" t="s">
        <v>278</v>
      </c>
      <c r="I5" s="600" t="s">
        <v>339</v>
      </c>
      <c r="J5" s="601" t="s">
        <v>377</v>
      </c>
      <c r="K5" s="600"/>
      <c r="L5" s="601"/>
      <c r="M5" s="600" t="s">
        <v>1039</v>
      </c>
      <c r="N5" s="601" t="s">
        <v>379</v>
      </c>
      <c r="O5" s="600" t="s">
        <v>361</v>
      </c>
      <c r="P5" s="601" t="s">
        <v>275</v>
      </c>
      <c r="Q5" s="600" t="s">
        <v>294</v>
      </c>
      <c r="R5" s="601" t="s">
        <v>281</v>
      </c>
      <c r="S5" s="600" t="s">
        <v>781</v>
      </c>
      <c r="T5" s="601" t="s">
        <v>814</v>
      </c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</row>
    <row r="6" ht="15.95" customHeight="1" spans="2:35">
      <c r="B6" s="599"/>
      <c r="C6" s="600" t="s">
        <v>812</v>
      </c>
      <c r="D6" s="602" t="s">
        <v>849</v>
      </c>
      <c r="E6" s="600" t="s">
        <v>744</v>
      </c>
      <c r="F6" s="601" t="s">
        <v>326</v>
      </c>
      <c r="G6" s="600" t="s">
        <v>321</v>
      </c>
      <c r="H6" s="601" t="s">
        <v>405</v>
      </c>
      <c r="I6" s="600" t="s">
        <v>387</v>
      </c>
      <c r="J6" s="601" t="s">
        <v>308</v>
      </c>
      <c r="K6" s="600"/>
      <c r="L6" s="601"/>
      <c r="M6" s="600" t="s">
        <v>381</v>
      </c>
      <c r="N6" s="601" t="s">
        <v>367</v>
      </c>
      <c r="O6" s="600" t="s">
        <v>312</v>
      </c>
      <c r="P6" s="601" t="s">
        <v>318</v>
      </c>
      <c r="Q6" s="600" t="s">
        <v>745</v>
      </c>
      <c r="R6" s="601" t="s">
        <v>403</v>
      </c>
      <c r="S6" s="600" t="s">
        <v>797</v>
      </c>
      <c r="T6" s="602" t="s">
        <v>824</v>
      </c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</row>
    <row r="7" ht="15.95" customHeight="1" spans="2:35">
      <c r="B7" s="599"/>
      <c r="C7" s="603" t="s">
        <v>806</v>
      </c>
      <c r="D7" s="602"/>
      <c r="E7" s="600" t="s">
        <v>414</v>
      </c>
      <c r="F7" s="604" t="s">
        <v>786</v>
      </c>
      <c r="G7" s="600" t="s">
        <v>805</v>
      </c>
      <c r="H7" s="601" t="s">
        <v>840</v>
      </c>
      <c r="I7" s="600" t="s">
        <v>397</v>
      </c>
      <c r="J7" s="601" t="s">
        <v>395</v>
      </c>
      <c r="K7" s="600"/>
      <c r="L7" s="601"/>
      <c r="M7" s="600" t="s">
        <v>752</v>
      </c>
      <c r="N7" s="601" t="s">
        <v>299</v>
      </c>
      <c r="O7" s="600" t="s">
        <v>324</v>
      </c>
      <c r="P7" s="601" t="s">
        <v>832</v>
      </c>
      <c r="Q7" s="600" t="s">
        <v>407</v>
      </c>
      <c r="R7" s="604" t="s">
        <v>785</v>
      </c>
      <c r="S7" s="603" t="s">
        <v>821</v>
      </c>
      <c r="T7" s="602" t="s">
        <v>831</v>
      </c>
      <c r="V7" s="591"/>
      <c r="W7" s="591"/>
      <c r="X7" s="591"/>
      <c r="Y7" s="591"/>
      <c r="Z7" s="591"/>
      <c r="AA7" s="591"/>
      <c r="AB7" s="591"/>
      <c r="AC7" s="591"/>
      <c r="AD7" s="591"/>
      <c r="AE7" s="591"/>
      <c r="AF7" s="591"/>
      <c r="AG7" s="591"/>
      <c r="AH7" s="591"/>
      <c r="AI7" s="591"/>
    </row>
    <row r="8" ht="15.95" customHeight="1" spans="2:35">
      <c r="B8" s="599"/>
      <c r="C8" s="603"/>
      <c r="D8" s="602"/>
      <c r="E8" s="605" t="s">
        <v>1040</v>
      </c>
      <c r="F8" s="604" t="s">
        <v>774</v>
      </c>
      <c r="G8" s="600" t="s">
        <v>771</v>
      </c>
      <c r="H8" s="602" t="s">
        <v>811</v>
      </c>
      <c r="I8" s="600" t="s">
        <v>390</v>
      </c>
      <c r="J8" s="601" t="s">
        <v>776</v>
      </c>
      <c r="K8" s="600"/>
      <c r="L8" s="601"/>
      <c r="M8" s="600" t="s">
        <v>284</v>
      </c>
      <c r="N8" s="601" t="s">
        <v>365</v>
      </c>
      <c r="O8" s="600" t="s">
        <v>770</v>
      </c>
      <c r="P8" s="601" t="s">
        <v>768</v>
      </c>
      <c r="Q8" s="605" t="s">
        <v>1041</v>
      </c>
      <c r="R8" s="601" t="s">
        <v>780</v>
      </c>
      <c r="S8" s="603" t="s">
        <v>837</v>
      </c>
      <c r="T8" s="602" t="s">
        <v>839</v>
      </c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</row>
    <row r="9" ht="15.95" customHeight="1" spans="2:35">
      <c r="B9" s="599"/>
      <c r="C9" s="603"/>
      <c r="D9" s="602"/>
      <c r="E9" s="603" t="s">
        <v>808</v>
      </c>
      <c r="F9" s="602" t="s">
        <v>793</v>
      </c>
      <c r="G9" s="603" t="s">
        <v>792</v>
      </c>
      <c r="H9" s="602" t="s">
        <v>772</v>
      </c>
      <c r="I9" s="603" t="s">
        <v>783</v>
      </c>
      <c r="J9" s="602" t="s">
        <v>778</v>
      </c>
      <c r="K9" s="603"/>
      <c r="L9" s="602"/>
      <c r="M9" s="600" t="s">
        <v>392</v>
      </c>
      <c r="N9" s="601" t="s">
        <v>412</v>
      </c>
      <c r="O9" s="600" t="s">
        <v>817</v>
      </c>
      <c r="P9" s="601" t="s">
        <v>782</v>
      </c>
      <c r="Q9" s="603" t="s">
        <v>788</v>
      </c>
      <c r="R9" s="602" t="s">
        <v>827</v>
      </c>
      <c r="S9" s="603" t="s">
        <v>1042</v>
      </c>
      <c r="T9" s="602" t="s">
        <v>1043</v>
      </c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1"/>
      <c r="AG9" s="591"/>
      <c r="AH9" s="591"/>
      <c r="AI9" s="591"/>
    </row>
    <row r="10" ht="15.95" customHeight="1" spans="2:35">
      <c r="B10" s="599"/>
      <c r="C10" s="603"/>
      <c r="D10" s="602"/>
      <c r="E10" s="603" t="s">
        <v>787</v>
      </c>
      <c r="F10" s="602" t="s">
        <v>818</v>
      </c>
      <c r="G10" s="603" t="s">
        <v>500</v>
      </c>
      <c r="H10" s="602" t="s">
        <v>836</v>
      </c>
      <c r="I10" s="603" t="s">
        <v>802</v>
      </c>
      <c r="J10" s="602" t="s">
        <v>1044</v>
      </c>
      <c r="K10" s="603"/>
      <c r="L10" s="602"/>
      <c r="M10" s="600" t="s">
        <v>401</v>
      </c>
      <c r="N10" s="601" t="s">
        <v>409</v>
      </c>
      <c r="O10" s="603" t="s">
        <v>833</v>
      </c>
      <c r="P10" s="602"/>
      <c r="Q10" s="603" t="s">
        <v>809</v>
      </c>
      <c r="R10" s="602" t="s">
        <v>816</v>
      </c>
      <c r="S10" s="603"/>
      <c r="T10" s="602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</row>
    <row r="11" ht="15.95" customHeight="1" spans="2:35">
      <c r="B11" s="599"/>
      <c r="C11" s="603"/>
      <c r="D11" s="602"/>
      <c r="E11" s="603" t="s">
        <v>826</v>
      </c>
      <c r="F11" s="602" t="s">
        <v>851</v>
      </c>
      <c r="G11" s="603" t="s">
        <v>1045</v>
      </c>
      <c r="H11" s="602" t="s">
        <v>819</v>
      </c>
      <c r="I11" s="603" t="s">
        <v>1046</v>
      </c>
      <c r="J11" s="602"/>
      <c r="K11" s="603"/>
      <c r="L11" s="602"/>
      <c r="M11" s="600" t="s">
        <v>795</v>
      </c>
      <c r="N11" s="601" t="s">
        <v>800</v>
      </c>
      <c r="O11" s="603"/>
      <c r="P11" s="602"/>
      <c r="Q11" s="603" t="s">
        <v>828</v>
      </c>
      <c r="R11" s="602" t="s">
        <v>815</v>
      </c>
      <c r="S11" s="603"/>
      <c r="T11" s="602"/>
      <c r="V11" s="591"/>
      <c r="W11" s="591"/>
      <c r="X11" s="591"/>
      <c r="Y11" s="591"/>
      <c r="Z11" s="591"/>
      <c r="AA11" s="591"/>
      <c r="AB11" s="591"/>
      <c r="AC11" s="591"/>
      <c r="AD11" s="591"/>
      <c r="AE11" s="591"/>
      <c r="AF11" s="591"/>
      <c r="AG11" s="591"/>
      <c r="AH11" s="591"/>
      <c r="AI11" s="591"/>
    </row>
    <row r="12" ht="15.95" customHeight="1" spans="2:35">
      <c r="B12" s="599"/>
      <c r="C12" s="603"/>
      <c r="D12" s="602"/>
      <c r="E12" s="603"/>
      <c r="F12" s="602"/>
      <c r="G12" s="603" t="s">
        <v>858</v>
      </c>
      <c r="H12" s="602"/>
      <c r="I12" s="603"/>
      <c r="J12" s="602"/>
      <c r="K12" s="603"/>
      <c r="L12" s="602"/>
      <c r="M12" s="600" t="s">
        <v>801</v>
      </c>
      <c r="N12" s="601" t="s">
        <v>790</v>
      </c>
      <c r="O12" s="603"/>
      <c r="P12" s="602"/>
      <c r="Q12" s="603" t="s">
        <v>863</v>
      </c>
      <c r="R12" s="602" t="s">
        <v>825</v>
      </c>
      <c r="S12" s="603"/>
      <c r="T12" s="602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</row>
    <row r="13" ht="15.95" customHeight="1" spans="2:35">
      <c r="B13" s="599"/>
      <c r="C13" s="603"/>
      <c r="D13" s="602"/>
      <c r="E13" s="603"/>
      <c r="F13" s="602"/>
      <c r="G13" s="603"/>
      <c r="H13" s="602"/>
      <c r="I13" s="603"/>
      <c r="J13" s="602"/>
      <c r="K13" s="603"/>
      <c r="L13" s="602"/>
      <c r="M13" s="600" t="s">
        <v>1047</v>
      </c>
      <c r="N13" s="601" t="s">
        <v>844</v>
      </c>
      <c r="O13" s="603"/>
      <c r="P13" s="602"/>
      <c r="Q13" s="603" t="s">
        <v>1048</v>
      </c>
      <c r="R13" s="602" t="s">
        <v>1049</v>
      </c>
      <c r="S13" s="603"/>
      <c r="T13" s="602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</row>
    <row r="14" ht="15.95" customHeight="1" spans="2:35">
      <c r="B14" s="599"/>
      <c r="C14" s="603"/>
      <c r="D14" s="602"/>
      <c r="E14" s="603"/>
      <c r="F14" s="602"/>
      <c r="G14" s="603"/>
      <c r="H14" s="602"/>
      <c r="I14" s="603"/>
      <c r="J14" s="602"/>
      <c r="K14" s="603"/>
      <c r="L14" s="602"/>
      <c r="M14" s="606" t="s">
        <v>861</v>
      </c>
      <c r="N14" s="606"/>
      <c r="O14" s="603"/>
      <c r="P14" s="602"/>
      <c r="Q14" s="603"/>
      <c r="R14" s="602"/>
      <c r="S14" s="603"/>
      <c r="T14" s="602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</row>
    <row r="15" ht="15.95" customHeight="1" spans="2:35">
      <c r="B15" s="599"/>
      <c r="C15" s="603"/>
      <c r="D15" s="602"/>
      <c r="E15" s="603"/>
      <c r="F15" s="602"/>
      <c r="G15" s="603"/>
      <c r="H15" s="602"/>
      <c r="I15" s="603"/>
      <c r="J15" s="602"/>
      <c r="K15" s="603"/>
      <c r="L15" s="602"/>
      <c r="M15" s="606"/>
      <c r="N15" s="606"/>
      <c r="O15" s="603"/>
      <c r="P15" s="602"/>
      <c r="Q15" s="603"/>
      <c r="R15" s="602"/>
      <c r="S15" s="603"/>
      <c r="T15" s="602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</row>
    <row r="16" ht="15.95" customHeight="1" spans="2:35">
      <c r="B16" s="607"/>
      <c r="C16" s="608"/>
      <c r="D16" s="609"/>
      <c r="E16" s="608"/>
      <c r="F16" s="609"/>
      <c r="G16" s="608"/>
      <c r="H16" s="609"/>
      <c r="I16" s="608"/>
      <c r="J16" s="609"/>
      <c r="K16" s="608"/>
      <c r="L16" s="609"/>
      <c r="O16" s="608"/>
      <c r="P16" s="609"/>
      <c r="Q16" s="608"/>
      <c r="R16" s="609"/>
      <c r="S16" s="608"/>
      <c r="T16" s="609"/>
      <c r="V16" s="591"/>
      <c r="W16" s="591"/>
      <c r="X16" s="591"/>
      <c r="Y16" s="591"/>
      <c r="Z16" s="591"/>
      <c r="AA16" s="591"/>
      <c r="AB16" s="591"/>
      <c r="AC16" s="591"/>
      <c r="AD16" s="591"/>
      <c r="AE16" s="591"/>
      <c r="AF16" s="591"/>
      <c r="AG16" s="591"/>
      <c r="AH16" s="591"/>
      <c r="AI16" s="591"/>
    </row>
    <row r="17" s="589" customFormat="1" ht="15.95" customHeight="1" spans="2:35">
      <c r="B17" s="593"/>
      <c r="C17" s="594" t="s">
        <v>1021</v>
      </c>
      <c r="D17" s="595"/>
      <c r="E17" s="594" t="s">
        <v>1022</v>
      </c>
      <c r="F17" s="595"/>
      <c r="G17" s="594" t="s">
        <v>1023</v>
      </c>
      <c r="H17" s="595"/>
      <c r="I17" s="594" t="s">
        <v>1024</v>
      </c>
      <c r="J17" s="595"/>
      <c r="K17" s="594" t="s">
        <v>1025</v>
      </c>
      <c r="L17" s="595"/>
      <c r="M17" s="594" t="s">
        <v>1026</v>
      </c>
      <c r="N17" s="595"/>
      <c r="O17" s="594" t="s">
        <v>1027</v>
      </c>
      <c r="P17" s="595"/>
      <c r="Q17" s="594" t="s">
        <v>1028</v>
      </c>
      <c r="R17" s="595"/>
      <c r="S17" s="594" t="s">
        <v>1029</v>
      </c>
      <c r="T17" s="595"/>
    </row>
    <row r="18" ht="15.95" customHeight="1" spans="2:35">
      <c r="B18" s="596" t="s">
        <v>1050</v>
      </c>
      <c r="C18" s="597" t="s">
        <v>1032</v>
      </c>
      <c r="D18" s="598" t="s">
        <v>1034</v>
      </c>
      <c r="E18" s="597" t="s">
        <v>337</v>
      </c>
      <c r="F18" s="598" t="s">
        <v>369</v>
      </c>
      <c r="G18" s="597" t="s">
        <v>347</v>
      </c>
      <c r="H18" s="598" t="s">
        <v>372</v>
      </c>
      <c r="I18" s="597" t="s">
        <v>333</v>
      </c>
      <c r="J18" s="598" t="s">
        <v>351</v>
      </c>
      <c r="K18" s="597" t="s">
        <v>809</v>
      </c>
      <c r="L18" s="598"/>
      <c r="M18" s="597" t="s">
        <v>1033</v>
      </c>
      <c r="N18" s="598" t="s">
        <v>358</v>
      </c>
      <c r="O18" s="597" t="s">
        <v>331</v>
      </c>
      <c r="P18" s="598" t="s">
        <v>379</v>
      </c>
      <c r="Q18" s="597" t="s">
        <v>1035</v>
      </c>
      <c r="R18" s="598" t="s">
        <v>1036</v>
      </c>
      <c r="S18" s="597" t="s">
        <v>1031</v>
      </c>
      <c r="T18" s="598" t="s">
        <v>345</v>
      </c>
      <c r="V18" s="591"/>
      <c r="W18" s="591"/>
      <c r="X18" s="591"/>
      <c r="Y18" s="591"/>
      <c r="Z18" s="591"/>
      <c r="AA18" s="591"/>
      <c r="AB18" s="591"/>
      <c r="AC18" s="591"/>
      <c r="AD18" s="591"/>
      <c r="AE18" s="591"/>
      <c r="AF18" s="591"/>
      <c r="AG18" s="591"/>
      <c r="AH18" s="591"/>
      <c r="AI18" s="591"/>
    </row>
    <row r="19" ht="15.95" customHeight="1" spans="2:35">
      <c r="B19" s="599"/>
      <c r="C19" s="600" t="s">
        <v>335</v>
      </c>
      <c r="D19" s="601" t="s">
        <v>1039</v>
      </c>
      <c r="E19" s="600" t="s">
        <v>302</v>
      </c>
      <c r="F19" s="601" t="s">
        <v>291</v>
      </c>
      <c r="G19" s="600" t="s">
        <v>363</v>
      </c>
      <c r="H19" s="601" t="s">
        <v>299</v>
      </c>
      <c r="I19" s="600" t="s">
        <v>746</v>
      </c>
      <c r="J19" s="601" t="s">
        <v>305</v>
      </c>
      <c r="K19" s="600"/>
      <c r="L19" s="601"/>
      <c r="M19" s="600" t="s">
        <v>343</v>
      </c>
      <c r="N19" s="601" t="s">
        <v>339</v>
      </c>
      <c r="O19" s="600" t="s">
        <v>374</v>
      </c>
      <c r="P19" s="601" t="s">
        <v>287</v>
      </c>
      <c r="Q19" s="600" t="s">
        <v>1038</v>
      </c>
      <c r="R19" s="601" t="s">
        <v>329</v>
      </c>
      <c r="S19" s="600" t="s">
        <v>387</v>
      </c>
      <c r="T19" s="601" t="s">
        <v>752</v>
      </c>
      <c r="V19" s="591"/>
      <c r="W19" s="591"/>
      <c r="X19" s="591"/>
      <c r="Y19" s="591"/>
      <c r="Z19" s="591"/>
      <c r="AA19" s="591"/>
      <c r="AB19" s="591"/>
      <c r="AC19" s="591"/>
      <c r="AD19" s="591"/>
      <c r="AE19" s="591"/>
      <c r="AF19" s="591"/>
      <c r="AG19" s="591"/>
      <c r="AH19" s="591"/>
      <c r="AI19" s="591"/>
    </row>
    <row r="20" ht="15.95" customHeight="1" spans="2:35">
      <c r="B20" s="599"/>
      <c r="C20" s="600" t="s">
        <v>377</v>
      </c>
      <c r="D20" s="601" t="s">
        <v>365</v>
      </c>
      <c r="E20" s="600" t="s">
        <v>267</v>
      </c>
      <c r="F20" s="601" t="s">
        <v>278</v>
      </c>
      <c r="G20" s="600" t="s">
        <v>284</v>
      </c>
      <c r="H20" s="601" t="s">
        <v>349</v>
      </c>
      <c r="I20" s="600" t="s">
        <v>383</v>
      </c>
      <c r="J20" s="601" t="s">
        <v>315</v>
      </c>
      <c r="K20" s="600"/>
      <c r="L20" s="601"/>
      <c r="M20" s="600" t="s">
        <v>381</v>
      </c>
      <c r="N20" s="601" t="s">
        <v>367</v>
      </c>
      <c r="O20" s="600" t="s">
        <v>385</v>
      </c>
      <c r="P20" s="601" t="s">
        <v>272</v>
      </c>
      <c r="Q20" s="600" t="s">
        <v>361</v>
      </c>
      <c r="R20" s="601" t="s">
        <v>275</v>
      </c>
      <c r="S20" s="600" t="s">
        <v>308</v>
      </c>
      <c r="T20" s="601" t="s">
        <v>395</v>
      </c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</row>
    <row r="21" ht="15.95" customHeight="1" spans="2:35">
      <c r="B21" s="599"/>
      <c r="C21" s="600" t="s">
        <v>397</v>
      </c>
      <c r="D21" s="601" t="s">
        <v>412</v>
      </c>
      <c r="E21" s="600" t="s">
        <v>321</v>
      </c>
      <c r="F21" s="601" t="s">
        <v>405</v>
      </c>
      <c r="G21" s="600" t="s">
        <v>399</v>
      </c>
      <c r="H21" s="601" t="s">
        <v>781</v>
      </c>
      <c r="I21" s="600" t="s">
        <v>744</v>
      </c>
      <c r="J21" s="601" t="s">
        <v>326</v>
      </c>
      <c r="K21" s="600"/>
      <c r="L21" s="601"/>
      <c r="M21" s="600" t="s">
        <v>749</v>
      </c>
      <c r="N21" s="601" t="s">
        <v>356</v>
      </c>
      <c r="O21" s="600" t="s">
        <v>409</v>
      </c>
      <c r="P21" s="601" t="s">
        <v>777</v>
      </c>
      <c r="Q21" s="600" t="s">
        <v>312</v>
      </c>
      <c r="R21" s="601" t="s">
        <v>318</v>
      </c>
      <c r="S21" s="600" t="s">
        <v>401</v>
      </c>
      <c r="T21" s="602" t="s">
        <v>851</v>
      </c>
      <c r="V21" s="591"/>
      <c r="W21" s="591"/>
      <c r="X21" s="591"/>
      <c r="Y21" s="591"/>
      <c r="Z21" s="591"/>
      <c r="AA21" s="591"/>
      <c r="AB21" s="591"/>
      <c r="AC21" s="591"/>
      <c r="AD21" s="591"/>
      <c r="AE21" s="591"/>
      <c r="AF21" s="591"/>
      <c r="AG21" s="591"/>
      <c r="AH21" s="591"/>
      <c r="AI21" s="591"/>
    </row>
    <row r="22" ht="15.95" customHeight="1" spans="2:35">
      <c r="B22" s="599"/>
      <c r="C22" s="600" t="s">
        <v>776</v>
      </c>
      <c r="D22" s="602" t="s">
        <v>783</v>
      </c>
      <c r="E22" s="600" t="s">
        <v>805</v>
      </c>
      <c r="F22" s="601" t="s">
        <v>840</v>
      </c>
      <c r="G22" s="600" t="s">
        <v>795</v>
      </c>
      <c r="H22" s="601" t="s">
        <v>812</v>
      </c>
      <c r="I22" s="600" t="s">
        <v>414</v>
      </c>
      <c r="J22" s="604" t="s">
        <v>786</v>
      </c>
      <c r="K22" s="605"/>
      <c r="L22" s="604"/>
      <c r="M22" s="600" t="s">
        <v>353</v>
      </c>
      <c r="N22" s="601" t="s">
        <v>294</v>
      </c>
      <c r="O22" s="600" t="s">
        <v>814</v>
      </c>
      <c r="P22" s="601" t="s">
        <v>801</v>
      </c>
      <c r="Q22" s="600" t="s">
        <v>324</v>
      </c>
      <c r="R22" s="601" t="s">
        <v>832</v>
      </c>
      <c r="S22" s="603"/>
      <c r="T22" s="602"/>
      <c r="V22" s="591"/>
      <c r="W22" s="591"/>
      <c r="X22" s="591"/>
      <c r="Y22" s="591"/>
      <c r="Z22" s="591"/>
      <c r="AA22" s="591"/>
      <c r="AB22" s="591"/>
      <c r="AC22" s="591"/>
      <c r="AD22" s="591"/>
      <c r="AE22" s="591"/>
      <c r="AF22" s="591"/>
      <c r="AG22" s="591"/>
      <c r="AH22" s="591"/>
      <c r="AI22" s="591"/>
    </row>
    <row r="23" ht="15.95" customHeight="1" spans="2:35">
      <c r="B23" s="599"/>
      <c r="C23" s="603" t="s">
        <v>802</v>
      </c>
      <c r="D23" s="602" t="s">
        <v>1045</v>
      </c>
      <c r="E23" s="600" t="s">
        <v>771</v>
      </c>
      <c r="F23" s="602" t="s">
        <v>811</v>
      </c>
      <c r="G23" s="600" t="s">
        <v>797</v>
      </c>
      <c r="H23" s="602" t="s">
        <v>849</v>
      </c>
      <c r="I23" s="605" t="s">
        <v>1040</v>
      </c>
      <c r="J23" s="604" t="s">
        <v>774</v>
      </c>
      <c r="K23" s="605"/>
      <c r="L23" s="604"/>
      <c r="M23" s="600" t="s">
        <v>281</v>
      </c>
      <c r="N23" s="601" t="s">
        <v>745</v>
      </c>
      <c r="O23" s="603" t="s">
        <v>1047</v>
      </c>
      <c r="P23" s="602" t="s">
        <v>844</v>
      </c>
      <c r="Q23" s="600" t="s">
        <v>770</v>
      </c>
      <c r="R23" s="601" t="s">
        <v>768</v>
      </c>
      <c r="S23" s="603"/>
      <c r="T23" s="602"/>
      <c r="V23" s="591"/>
      <c r="W23" s="591"/>
      <c r="X23" s="591"/>
      <c r="Y23" s="591"/>
      <c r="Z23" s="591"/>
      <c r="AA23" s="591"/>
      <c r="AB23" s="591"/>
      <c r="AC23" s="591"/>
      <c r="AD23" s="591"/>
      <c r="AE23" s="591"/>
      <c r="AF23" s="591"/>
      <c r="AG23" s="591"/>
      <c r="AH23" s="591"/>
      <c r="AI23" s="591"/>
    </row>
    <row r="24" ht="15.95" customHeight="1" spans="2:35">
      <c r="B24" s="599"/>
      <c r="C24" s="603" t="s">
        <v>1044</v>
      </c>
      <c r="D24" s="602" t="s">
        <v>1043</v>
      </c>
      <c r="E24" s="603" t="s">
        <v>792</v>
      </c>
      <c r="F24" s="602" t="s">
        <v>778</v>
      </c>
      <c r="G24" s="603" t="s">
        <v>806</v>
      </c>
      <c r="H24" s="602" t="s">
        <v>854</v>
      </c>
      <c r="I24" s="603" t="s">
        <v>808</v>
      </c>
      <c r="J24" s="602" t="s">
        <v>793</v>
      </c>
      <c r="K24" s="603"/>
      <c r="L24" s="602"/>
      <c r="M24" s="600" t="s">
        <v>403</v>
      </c>
      <c r="N24" s="601" t="s">
        <v>407</v>
      </c>
      <c r="O24" s="603" t="s">
        <v>839</v>
      </c>
      <c r="P24" s="602"/>
      <c r="Q24" s="600" t="s">
        <v>817</v>
      </c>
      <c r="R24" s="601" t="s">
        <v>823</v>
      </c>
      <c r="S24" s="603"/>
      <c r="T24" s="602"/>
      <c r="V24" s="591"/>
      <c r="W24" s="591"/>
      <c r="X24" s="591"/>
      <c r="Y24" s="591"/>
      <c r="Z24" s="591"/>
      <c r="AA24" s="591"/>
      <c r="AB24" s="591"/>
      <c r="AC24" s="591"/>
      <c r="AD24" s="591"/>
      <c r="AE24" s="591"/>
      <c r="AF24" s="591"/>
      <c r="AG24" s="591"/>
      <c r="AH24" s="591"/>
      <c r="AI24" s="591"/>
    </row>
    <row r="25" ht="15.95" customHeight="1" spans="2:35">
      <c r="B25" s="599"/>
      <c r="C25" s="603"/>
      <c r="D25" s="602"/>
      <c r="E25" s="603" t="s">
        <v>836</v>
      </c>
      <c r="F25" s="602" t="s">
        <v>819</v>
      </c>
      <c r="G25" s="603" t="s">
        <v>1042</v>
      </c>
      <c r="H25" s="602" t="s">
        <v>1046</v>
      </c>
      <c r="I25" s="603" t="s">
        <v>787</v>
      </c>
      <c r="J25" s="602" t="s">
        <v>818</v>
      </c>
      <c r="K25" s="603"/>
      <c r="L25" s="602"/>
      <c r="M25" s="600" t="s">
        <v>392</v>
      </c>
      <c r="N25" s="601" t="s">
        <v>390</v>
      </c>
      <c r="O25" s="603"/>
      <c r="P25" s="602"/>
      <c r="Q25" s="603" t="s">
        <v>782</v>
      </c>
      <c r="R25" s="602" t="s">
        <v>772</v>
      </c>
      <c r="S25" s="603"/>
      <c r="T25" s="602"/>
      <c r="V25" s="591"/>
      <c r="W25" s="591"/>
      <c r="X25" s="591"/>
      <c r="Y25" s="591"/>
      <c r="Z25" s="591"/>
      <c r="AA25" s="591"/>
      <c r="AB25" s="591"/>
      <c r="AC25" s="591"/>
      <c r="AD25" s="591"/>
      <c r="AE25" s="591"/>
      <c r="AF25" s="591"/>
      <c r="AG25" s="591"/>
      <c r="AH25" s="591"/>
      <c r="AI25" s="591"/>
    </row>
    <row r="26" ht="15.95" customHeight="1" spans="2:35">
      <c r="B26" s="599"/>
      <c r="C26" s="603"/>
      <c r="D26" s="602"/>
      <c r="E26" s="603" t="s">
        <v>858</v>
      </c>
      <c r="F26" s="602" t="s">
        <v>861</v>
      </c>
      <c r="G26" s="603"/>
      <c r="H26" s="602"/>
      <c r="I26" s="603" t="s">
        <v>824</v>
      </c>
      <c r="J26" s="602" t="s">
        <v>821</v>
      </c>
      <c r="K26" s="603"/>
      <c r="L26" s="602"/>
      <c r="M26" s="605" t="s">
        <v>785</v>
      </c>
      <c r="N26" s="604" t="s">
        <v>1041</v>
      </c>
      <c r="O26" s="603"/>
      <c r="P26" s="602"/>
      <c r="Q26" s="603" t="s">
        <v>500</v>
      </c>
      <c r="R26" s="602" t="s">
        <v>826</v>
      </c>
      <c r="S26" s="603"/>
      <c r="T26" s="602"/>
      <c r="V26" s="591"/>
      <c r="W26" s="591"/>
      <c r="X26" s="591"/>
      <c r="Y26" s="591"/>
      <c r="Z26" s="591"/>
      <c r="AA26" s="591"/>
      <c r="AB26" s="591"/>
      <c r="AC26" s="591"/>
      <c r="AD26" s="591"/>
      <c r="AE26" s="591"/>
      <c r="AF26" s="591"/>
      <c r="AG26" s="591"/>
      <c r="AH26" s="591"/>
      <c r="AI26" s="591"/>
    </row>
    <row r="27" ht="15.95" customHeight="1" spans="2:35">
      <c r="B27" s="599"/>
      <c r="C27" s="603"/>
      <c r="D27" s="602"/>
      <c r="E27" s="603" t="s">
        <v>1037</v>
      </c>
      <c r="F27" s="602" t="s">
        <v>1048</v>
      </c>
      <c r="G27" s="603"/>
      <c r="H27" s="602"/>
      <c r="I27" s="603" t="s">
        <v>831</v>
      </c>
      <c r="J27" s="602" t="s">
        <v>837</v>
      </c>
      <c r="K27" s="603"/>
      <c r="L27" s="602"/>
      <c r="M27" s="605" t="s">
        <v>780</v>
      </c>
      <c r="N27" s="604" t="s">
        <v>800</v>
      </c>
      <c r="O27" s="603"/>
      <c r="P27" s="602"/>
      <c r="Q27" s="603" t="s">
        <v>833</v>
      </c>
      <c r="R27" s="602" t="s">
        <v>835</v>
      </c>
      <c r="S27" s="603"/>
      <c r="T27" s="602"/>
      <c r="V27" s="591"/>
      <c r="W27" s="591"/>
      <c r="X27" s="591"/>
      <c r="Y27" s="591"/>
      <c r="Z27" s="591"/>
      <c r="AA27" s="591"/>
      <c r="AB27" s="591"/>
      <c r="AC27" s="591"/>
      <c r="AD27" s="591"/>
      <c r="AE27" s="591"/>
      <c r="AF27" s="591"/>
      <c r="AG27" s="591"/>
      <c r="AH27" s="591"/>
      <c r="AI27" s="591"/>
    </row>
    <row r="28" ht="15.95" customHeight="1" spans="2:35">
      <c r="B28" s="599"/>
      <c r="C28" s="603"/>
      <c r="D28" s="602"/>
      <c r="E28" s="603"/>
      <c r="F28" s="602"/>
      <c r="G28" s="603"/>
      <c r="H28" s="602"/>
      <c r="I28" s="603"/>
      <c r="J28" s="602"/>
      <c r="K28" s="603"/>
      <c r="L28" s="602"/>
      <c r="M28" s="605" t="s">
        <v>788</v>
      </c>
      <c r="N28" s="604" t="s">
        <v>790</v>
      </c>
      <c r="O28" s="603"/>
      <c r="P28" s="602"/>
      <c r="Q28" s="603"/>
      <c r="R28" s="602"/>
      <c r="S28" s="603"/>
      <c r="T28" s="602"/>
      <c r="V28" s="591"/>
      <c r="W28" s="591"/>
      <c r="X28" s="591"/>
      <c r="Y28" s="591"/>
      <c r="Z28" s="591"/>
      <c r="AA28" s="591"/>
      <c r="AB28" s="591"/>
      <c r="AC28" s="591"/>
      <c r="AD28" s="591"/>
      <c r="AE28" s="591"/>
      <c r="AF28" s="591"/>
      <c r="AG28" s="591"/>
      <c r="AH28" s="591"/>
      <c r="AI28" s="591"/>
    </row>
    <row r="29" ht="15.95" customHeight="1" spans="2:35">
      <c r="B29" s="599"/>
      <c r="C29" s="603"/>
      <c r="D29" s="602"/>
      <c r="E29" s="603"/>
      <c r="F29" s="602"/>
      <c r="G29" s="603"/>
      <c r="H29" s="602"/>
      <c r="I29" s="603"/>
      <c r="J29" s="602"/>
      <c r="K29" s="603"/>
      <c r="L29" s="602"/>
      <c r="M29" s="605" t="s">
        <v>827</v>
      </c>
      <c r="N29" s="604" t="s">
        <v>816</v>
      </c>
      <c r="O29" s="603"/>
      <c r="P29" s="602"/>
      <c r="Q29" s="603"/>
      <c r="R29" s="602"/>
      <c r="S29" s="603"/>
      <c r="T29" s="602"/>
      <c r="V29" s="591"/>
      <c r="W29" s="591"/>
      <c r="X29" s="591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</row>
    <row r="30" ht="15.95" customHeight="1" spans="2:35">
      <c r="B30" s="599"/>
      <c r="C30" s="603"/>
      <c r="D30" s="602"/>
      <c r="E30" s="603"/>
      <c r="F30" s="602"/>
      <c r="G30" s="603"/>
      <c r="H30" s="602"/>
      <c r="I30" s="603"/>
      <c r="J30" s="602"/>
      <c r="K30" s="603"/>
      <c r="L30" s="602"/>
      <c r="M30" s="605" t="s">
        <v>828</v>
      </c>
      <c r="N30" s="604" t="s">
        <v>815</v>
      </c>
      <c r="O30" s="603"/>
      <c r="P30" s="602"/>
      <c r="Q30" s="603"/>
      <c r="R30" s="602"/>
      <c r="S30" s="603"/>
      <c r="T30" s="602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1"/>
      <c r="AI30" s="591"/>
    </row>
    <row r="31" ht="15.95" customHeight="1" spans="2:35">
      <c r="B31" s="599"/>
      <c r="C31" s="603"/>
      <c r="D31" s="602"/>
      <c r="E31" s="603"/>
      <c r="F31" s="602"/>
      <c r="G31" s="603"/>
      <c r="H31" s="602"/>
      <c r="I31" s="603"/>
      <c r="J31" s="602"/>
      <c r="K31" s="603"/>
      <c r="L31" s="602"/>
      <c r="M31" s="610" t="s">
        <v>863</v>
      </c>
      <c r="N31" s="604" t="s">
        <v>825</v>
      </c>
      <c r="O31" s="603"/>
      <c r="P31" s="602"/>
      <c r="Q31" s="603"/>
      <c r="R31" s="602"/>
      <c r="S31" s="603"/>
      <c r="T31" s="602"/>
      <c r="V31" s="591"/>
      <c r="W31" s="591"/>
      <c r="X31" s="591"/>
      <c r="Y31" s="591"/>
      <c r="Z31" s="591"/>
      <c r="AA31" s="591"/>
      <c r="AB31" s="591"/>
      <c r="AC31" s="591"/>
      <c r="AD31" s="591"/>
      <c r="AE31" s="591"/>
      <c r="AF31" s="591"/>
      <c r="AG31" s="591"/>
      <c r="AH31" s="591"/>
      <c r="AI31" s="591"/>
    </row>
    <row r="32" ht="15.95" customHeight="1" spans="2:35">
      <c r="B32" s="599"/>
      <c r="C32" s="603"/>
      <c r="D32" s="602"/>
      <c r="E32" s="603"/>
      <c r="F32" s="602"/>
      <c r="G32" s="603"/>
      <c r="H32" s="602"/>
      <c r="I32" s="603"/>
      <c r="J32" s="602"/>
      <c r="K32" s="603"/>
      <c r="L32" s="602"/>
      <c r="M32" s="610" t="s">
        <v>1049</v>
      </c>
      <c r="N32" s="604"/>
      <c r="O32" s="603"/>
      <c r="P32" s="602"/>
      <c r="Q32" s="603"/>
      <c r="R32" s="602"/>
      <c r="S32" s="603"/>
      <c r="T32" s="602"/>
      <c r="V32" s="591"/>
      <c r="W32" s="591"/>
      <c r="X32" s="591"/>
      <c r="Y32" s="591"/>
      <c r="Z32" s="591"/>
      <c r="AA32" s="591"/>
      <c r="AB32" s="591"/>
      <c r="AC32" s="591"/>
      <c r="AD32" s="591"/>
      <c r="AE32" s="591"/>
      <c r="AF32" s="591"/>
      <c r="AG32" s="591"/>
      <c r="AH32" s="591"/>
      <c r="AI32" s="591"/>
    </row>
    <row r="33" ht="15.95" customHeight="1" spans="2:35">
      <c r="B33" s="607"/>
      <c r="C33" s="608"/>
      <c r="D33" s="609"/>
      <c r="E33" s="608"/>
      <c r="F33" s="609"/>
      <c r="G33" s="608"/>
      <c r="H33" s="609"/>
      <c r="I33" s="608"/>
      <c r="J33" s="609"/>
      <c r="K33" s="608"/>
      <c r="L33" s="609"/>
      <c r="N33" s="611"/>
      <c r="O33" s="608"/>
      <c r="P33" s="609"/>
      <c r="Q33" s="608"/>
      <c r="R33" s="609"/>
      <c r="S33" s="608"/>
      <c r="T33" s="609"/>
      <c r="V33" s="591"/>
      <c r="W33" s="591"/>
      <c r="X33" s="591"/>
      <c r="Y33" s="591"/>
      <c r="Z33" s="591"/>
      <c r="AA33" s="591"/>
      <c r="AB33" s="591"/>
      <c r="AC33" s="591"/>
      <c r="AD33" s="591"/>
      <c r="AE33" s="591"/>
      <c r="AF33" s="591"/>
      <c r="AG33" s="591"/>
      <c r="AH33" s="591"/>
      <c r="AI33" s="591"/>
    </row>
    <row r="34" s="589" customFormat="1" ht="15.95" customHeight="1" spans="2:35">
      <c r="B34" s="593"/>
      <c r="C34" s="594" t="s">
        <v>1021</v>
      </c>
      <c r="D34" s="595"/>
      <c r="E34" s="594" t="s">
        <v>1022</v>
      </c>
      <c r="F34" s="595"/>
      <c r="G34" s="594" t="s">
        <v>1023</v>
      </c>
      <c r="H34" s="595"/>
      <c r="I34" s="594" t="s">
        <v>1024</v>
      </c>
      <c r="J34" s="595"/>
      <c r="K34" s="594" t="s">
        <v>1025</v>
      </c>
      <c r="L34" s="595"/>
      <c r="M34" s="594" t="s">
        <v>1026</v>
      </c>
      <c r="N34" s="595"/>
      <c r="O34" s="594" t="s">
        <v>1027</v>
      </c>
      <c r="P34" s="595"/>
      <c r="Q34" s="594" t="s">
        <v>1028</v>
      </c>
      <c r="R34" s="595"/>
      <c r="S34" s="594" t="s">
        <v>1029</v>
      </c>
      <c r="T34" s="595"/>
    </row>
    <row r="35" ht="15.95" customHeight="1" spans="2:35">
      <c r="B35" s="596" t="s">
        <v>1051</v>
      </c>
      <c r="C35" s="597" t="s">
        <v>333</v>
      </c>
      <c r="D35" s="598" t="s">
        <v>358</v>
      </c>
      <c r="E35" s="597" t="s">
        <v>347</v>
      </c>
      <c r="F35" s="598" t="s">
        <v>372</v>
      </c>
      <c r="G35" s="597" t="s">
        <v>1031</v>
      </c>
      <c r="H35" s="598" t="s">
        <v>1032</v>
      </c>
      <c r="I35" s="597" t="s">
        <v>337</v>
      </c>
      <c r="J35" s="598" t="s">
        <v>369</v>
      </c>
      <c r="K35" s="597" t="s">
        <v>817</v>
      </c>
      <c r="L35" s="598" t="s">
        <v>778</v>
      </c>
      <c r="M35" s="597" t="s">
        <v>1035</v>
      </c>
      <c r="N35" s="598" t="s">
        <v>1036</v>
      </c>
      <c r="O35" s="597" t="s">
        <v>1033</v>
      </c>
      <c r="P35" s="598" t="s">
        <v>1034</v>
      </c>
      <c r="Q35" s="597" t="s">
        <v>331</v>
      </c>
      <c r="R35" s="598" t="s">
        <v>379</v>
      </c>
      <c r="S35" s="597" t="s">
        <v>746</v>
      </c>
      <c r="T35" s="598" t="s">
        <v>353</v>
      </c>
      <c r="V35" s="591"/>
      <c r="W35" s="591"/>
      <c r="X35" s="591"/>
      <c r="Y35" s="591"/>
      <c r="Z35" s="591"/>
      <c r="AA35" s="591"/>
      <c r="AB35" s="591"/>
      <c r="AC35" s="591"/>
      <c r="AD35" s="591"/>
      <c r="AE35" s="591"/>
      <c r="AF35" s="591"/>
      <c r="AG35" s="591"/>
      <c r="AH35" s="591"/>
      <c r="AI35" s="591"/>
    </row>
    <row r="36" ht="15.95" customHeight="1" spans="2:35">
      <c r="B36" s="599"/>
      <c r="C36" s="600" t="s">
        <v>351</v>
      </c>
      <c r="D36" s="601" t="s">
        <v>294</v>
      </c>
      <c r="E36" s="600" t="s">
        <v>363</v>
      </c>
      <c r="F36" s="601" t="s">
        <v>299</v>
      </c>
      <c r="G36" s="600" t="s">
        <v>335</v>
      </c>
      <c r="H36" s="601" t="s">
        <v>343</v>
      </c>
      <c r="I36" s="600" t="s">
        <v>302</v>
      </c>
      <c r="J36" s="601" t="s">
        <v>291</v>
      </c>
      <c r="K36" s="600" t="s">
        <v>821</v>
      </c>
      <c r="L36" s="601" t="s">
        <v>826</v>
      </c>
      <c r="M36" s="600" t="s">
        <v>1038</v>
      </c>
      <c r="N36" s="601" t="s">
        <v>329</v>
      </c>
      <c r="O36" s="600" t="s">
        <v>345</v>
      </c>
      <c r="P36" s="601" t="s">
        <v>1039</v>
      </c>
      <c r="Q36" s="600" t="s">
        <v>374</v>
      </c>
      <c r="R36" s="601" t="s">
        <v>287</v>
      </c>
      <c r="S36" s="600" t="s">
        <v>305</v>
      </c>
      <c r="T36" s="601" t="s">
        <v>281</v>
      </c>
      <c r="V36" s="591"/>
      <c r="W36" s="591"/>
      <c r="X36" s="591"/>
      <c r="Y36" s="591"/>
      <c r="Z36" s="591"/>
      <c r="AA36" s="591"/>
      <c r="AB36" s="591"/>
      <c r="AC36" s="591"/>
      <c r="AD36" s="591"/>
      <c r="AE36" s="591"/>
      <c r="AF36" s="591"/>
      <c r="AG36" s="591"/>
      <c r="AH36" s="591"/>
      <c r="AI36" s="591"/>
    </row>
    <row r="37" ht="15.95" customHeight="1" spans="2:35">
      <c r="B37" s="599"/>
      <c r="C37" s="600" t="s">
        <v>744</v>
      </c>
      <c r="D37" s="601" t="s">
        <v>403</v>
      </c>
      <c r="E37" s="600" t="s">
        <v>284</v>
      </c>
      <c r="F37" s="601" t="s">
        <v>349</v>
      </c>
      <c r="G37" s="600" t="s">
        <v>339</v>
      </c>
      <c r="H37" s="601" t="s">
        <v>377</v>
      </c>
      <c r="I37" s="600" t="s">
        <v>267</v>
      </c>
      <c r="J37" s="601" t="s">
        <v>278</v>
      </c>
      <c r="K37" s="600" t="s">
        <v>825</v>
      </c>
      <c r="L37" s="601" t="s">
        <v>1048</v>
      </c>
      <c r="M37" s="600" t="s">
        <v>361</v>
      </c>
      <c r="N37" s="601" t="s">
        <v>749</v>
      </c>
      <c r="O37" s="600" t="s">
        <v>381</v>
      </c>
      <c r="P37" s="601" t="s">
        <v>367</v>
      </c>
      <c r="Q37" s="600" t="s">
        <v>385</v>
      </c>
      <c r="R37" s="601" t="s">
        <v>272</v>
      </c>
      <c r="S37" s="600" t="s">
        <v>326</v>
      </c>
      <c r="T37" s="601" t="s">
        <v>407</v>
      </c>
      <c r="V37" s="591"/>
      <c r="W37" s="591"/>
      <c r="X37" s="591"/>
      <c r="Y37" s="591"/>
      <c r="Z37" s="591"/>
      <c r="AA37" s="591"/>
      <c r="AB37" s="591"/>
      <c r="AC37" s="591"/>
      <c r="AD37" s="591"/>
      <c r="AE37" s="591"/>
      <c r="AF37" s="591"/>
      <c r="AG37" s="591"/>
      <c r="AH37" s="591"/>
      <c r="AI37" s="591"/>
    </row>
    <row r="38" ht="15.95" customHeight="1" spans="2:35">
      <c r="B38" s="599"/>
      <c r="C38" s="605" t="s">
        <v>786</v>
      </c>
      <c r="D38" s="604" t="s">
        <v>1041</v>
      </c>
      <c r="E38" s="600" t="s">
        <v>399</v>
      </c>
      <c r="F38" s="601" t="s">
        <v>781</v>
      </c>
      <c r="G38" s="600" t="s">
        <v>387</v>
      </c>
      <c r="H38" s="601" t="s">
        <v>308</v>
      </c>
      <c r="I38" s="600" t="s">
        <v>321</v>
      </c>
      <c r="J38" s="601" t="s">
        <v>405</v>
      </c>
      <c r="K38" s="600"/>
      <c r="L38" s="601"/>
      <c r="M38" s="600" t="s">
        <v>356</v>
      </c>
      <c r="N38" s="601" t="s">
        <v>275</v>
      </c>
      <c r="O38" s="600" t="s">
        <v>752</v>
      </c>
      <c r="P38" s="601" t="s">
        <v>365</v>
      </c>
      <c r="Q38" s="600" t="s">
        <v>409</v>
      </c>
      <c r="R38" s="601" t="s">
        <v>777</v>
      </c>
      <c r="S38" s="605" t="s">
        <v>1040</v>
      </c>
      <c r="T38" s="601" t="s">
        <v>780</v>
      </c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</row>
    <row r="39" ht="15.95" customHeight="1" spans="2:35">
      <c r="B39" s="599"/>
      <c r="C39" s="605" t="s">
        <v>808</v>
      </c>
      <c r="D39" s="602" t="s">
        <v>787</v>
      </c>
      <c r="E39" s="600" t="s">
        <v>795</v>
      </c>
      <c r="F39" s="601" t="s">
        <v>812</v>
      </c>
      <c r="G39" s="600" t="s">
        <v>397</v>
      </c>
      <c r="H39" s="601" t="s">
        <v>395</v>
      </c>
      <c r="I39" s="600" t="s">
        <v>805</v>
      </c>
      <c r="J39" s="601" t="s">
        <v>840</v>
      </c>
      <c r="K39" s="600"/>
      <c r="L39" s="601"/>
      <c r="M39" s="600" t="s">
        <v>383</v>
      </c>
      <c r="N39" s="601" t="s">
        <v>312</v>
      </c>
      <c r="O39" s="600" t="s">
        <v>392</v>
      </c>
      <c r="P39" s="601" t="s">
        <v>412</v>
      </c>
      <c r="Q39" s="600" t="s">
        <v>814</v>
      </c>
      <c r="R39" s="601" t="s">
        <v>801</v>
      </c>
      <c r="S39" s="603" t="s">
        <v>793</v>
      </c>
      <c r="T39" s="602" t="s">
        <v>818</v>
      </c>
      <c r="V39" s="591"/>
      <c r="W39" s="591"/>
      <c r="X39" s="591"/>
      <c r="Y39" s="591"/>
      <c r="Z39" s="591"/>
      <c r="AA39" s="591"/>
      <c r="AB39" s="591"/>
      <c r="AC39" s="591"/>
      <c r="AD39" s="591"/>
      <c r="AE39" s="591"/>
      <c r="AF39" s="591"/>
      <c r="AG39" s="591"/>
      <c r="AH39" s="591"/>
      <c r="AI39" s="591"/>
    </row>
    <row r="40" ht="15.95" customHeight="1" spans="2:35">
      <c r="B40" s="599"/>
      <c r="C40" s="603"/>
      <c r="D40" s="602"/>
      <c r="E40" s="600" t="s">
        <v>797</v>
      </c>
      <c r="F40" s="602" t="s">
        <v>849</v>
      </c>
      <c r="G40" s="600" t="s">
        <v>390</v>
      </c>
      <c r="H40" s="601" t="s">
        <v>776</v>
      </c>
      <c r="I40" s="600" t="s">
        <v>771</v>
      </c>
      <c r="J40" s="602" t="s">
        <v>811</v>
      </c>
      <c r="K40" s="603"/>
      <c r="L40" s="602"/>
      <c r="M40" s="600" t="s">
        <v>315</v>
      </c>
      <c r="N40" s="601" t="s">
        <v>318</v>
      </c>
      <c r="O40" s="600" t="s">
        <v>401</v>
      </c>
      <c r="P40" s="601" t="s">
        <v>800</v>
      </c>
      <c r="Q40" s="603" t="s">
        <v>1047</v>
      </c>
      <c r="R40" s="602" t="s">
        <v>844</v>
      </c>
      <c r="S40" s="603" t="s">
        <v>836</v>
      </c>
      <c r="T40" s="602" t="s">
        <v>863</v>
      </c>
      <c r="V40" s="591"/>
      <c r="W40" s="591"/>
      <c r="X40" s="591"/>
      <c r="Y40" s="591"/>
      <c r="Z40" s="591"/>
      <c r="AA40" s="591"/>
      <c r="AB40" s="591"/>
      <c r="AC40" s="591"/>
      <c r="AD40" s="591"/>
      <c r="AE40" s="591"/>
      <c r="AF40" s="591"/>
      <c r="AG40" s="591"/>
      <c r="AH40" s="591"/>
      <c r="AI40" s="591"/>
    </row>
    <row r="41" ht="15.95" customHeight="1" spans="2:35">
      <c r="B41" s="599"/>
      <c r="C41" s="603"/>
      <c r="D41" s="602"/>
      <c r="E41" s="603" t="s">
        <v>806</v>
      </c>
      <c r="F41" s="602" t="s">
        <v>851</v>
      </c>
      <c r="G41" s="603" t="s">
        <v>783</v>
      </c>
      <c r="H41" s="602" t="s">
        <v>809</v>
      </c>
      <c r="I41" s="603" t="s">
        <v>792</v>
      </c>
      <c r="J41" s="602" t="s">
        <v>854</v>
      </c>
      <c r="K41" s="603"/>
      <c r="L41" s="602"/>
      <c r="M41" s="600" t="s">
        <v>745</v>
      </c>
      <c r="N41" s="601" t="s">
        <v>324</v>
      </c>
      <c r="O41" s="603" t="s">
        <v>790</v>
      </c>
      <c r="P41" s="602" t="s">
        <v>816</v>
      </c>
      <c r="Q41" s="603" t="s">
        <v>824</v>
      </c>
      <c r="R41" s="602" t="s">
        <v>831</v>
      </c>
      <c r="S41" s="603" t="s">
        <v>1037</v>
      </c>
      <c r="T41" s="602" t="s">
        <v>1049</v>
      </c>
      <c r="V41" s="591"/>
      <c r="W41" s="591"/>
      <c r="X41" s="591"/>
      <c r="Y41" s="591"/>
      <c r="Z41" s="591"/>
      <c r="AA41" s="591"/>
      <c r="AB41" s="591"/>
      <c r="AC41" s="591"/>
      <c r="AD41" s="591"/>
      <c r="AE41" s="591"/>
      <c r="AF41" s="591"/>
      <c r="AG41" s="591"/>
      <c r="AH41" s="591"/>
      <c r="AI41" s="591"/>
    </row>
    <row r="42" ht="15.95" customHeight="1" spans="2:35">
      <c r="B42" s="599"/>
      <c r="C42" s="603"/>
      <c r="D42" s="602"/>
      <c r="E42" s="603" t="s">
        <v>815</v>
      </c>
      <c r="F42" s="602" t="s">
        <v>1043</v>
      </c>
      <c r="G42" s="603" t="s">
        <v>802</v>
      </c>
      <c r="H42" s="602" t="s">
        <v>828</v>
      </c>
      <c r="I42" s="603" t="s">
        <v>819</v>
      </c>
      <c r="J42" s="602" t="s">
        <v>858</v>
      </c>
      <c r="K42" s="603"/>
      <c r="L42" s="602"/>
      <c r="M42" s="600" t="s">
        <v>414</v>
      </c>
      <c r="N42" s="601" t="s">
        <v>832</v>
      </c>
      <c r="O42" s="603" t="s">
        <v>1044</v>
      </c>
      <c r="P42" s="602"/>
      <c r="Q42" s="603" t="s">
        <v>837</v>
      </c>
      <c r="R42" s="602" t="s">
        <v>861</v>
      </c>
      <c r="S42" s="603"/>
      <c r="T42" s="602"/>
      <c r="V42" s="591"/>
      <c r="W42" s="591"/>
      <c r="X42" s="591"/>
      <c r="Y42" s="591"/>
      <c r="Z42" s="591"/>
      <c r="AA42" s="591"/>
      <c r="AB42" s="591"/>
      <c r="AC42" s="591"/>
      <c r="AD42" s="591"/>
      <c r="AE42" s="591"/>
      <c r="AF42" s="591"/>
      <c r="AG42" s="591"/>
      <c r="AH42" s="591"/>
      <c r="AI42" s="591"/>
    </row>
    <row r="43" ht="15.95" customHeight="1" spans="2:35">
      <c r="B43" s="599"/>
      <c r="C43" s="603"/>
      <c r="D43" s="602"/>
      <c r="E43" s="603"/>
      <c r="F43" s="602"/>
      <c r="G43" s="603"/>
      <c r="H43" s="602"/>
      <c r="I43" s="603" t="s">
        <v>839</v>
      </c>
      <c r="J43" s="602"/>
      <c r="K43" s="603"/>
      <c r="L43" s="602"/>
      <c r="M43" s="600" t="s">
        <v>770</v>
      </c>
      <c r="N43" s="601" t="s">
        <v>768</v>
      </c>
      <c r="O43" s="603"/>
      <c r="P43" s="602"/>
      <c r="Q43" s="603"/>
      <c r="R43" s="602"/>
      <c r="S43" s="603"/>
      <c r="T43" s="602"/>
      <c r="V43" s="591"/>
      <c r="W43" s="591"/>
      <c r="X43" s="591"/>
      <c r="Y43" s="591"/>
      <c r="Z43" s="591"/>
      <c r="AA43" s="591"/>
      <c r="AB43" s="591"/>
      <c r="AC43" s="591"/>
      <c r="AD43" s="591"/>
      <c r="AE43" s="591"/>
      <c r="AF43" s="591"/>
      <c r="AG43" s="591"/>
      <c r="AH43" s="591"/>
      <c r="AI43" s="591"/>
    </row>
    <row r="44" ht="15.95" customHeight="1" spans="2:35">
      <c r="B44" s="599"/>
      <c r="C44" s="603"/>
      <c r="D44" s="602"/>
      <c r="E44" s="603"/>
      <c r="F44" s="602"/>
      <c r="G44" s="603"/>
      <c r="H44" s="602"/>
      <c r="I44" s="603"/>
      <c r="J44" s="602"/>
      <c r="K44" s="603"/>
      <c r="L44" s="602"/>
      <c r="M44" s="600" t="s">
        <v>785</v>
      </c>
      <c r="N44" s="601" t="s">
        <v>774</v>
      </c>
      <c r="O44" s="603"/>
      <c r="P44" s="602"/>
      <c r="Q44" s="603"/>
      <c r="R44" s="602"/>
      <c r="S44" s="603"/>
      <c r="T44" s="602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</row>
    <row r="45" ht="15.95" customHeight="1" spans="2:35">
      <c r="B45" s="599"/>
      <c r="C45" s="603"/>
      <c r="D45" s="602"/>
      <c r="E45" s="603"/>
      <c r="F45" s="602"/>
      <c r="G45" s="603"/>
      <c r="H45" s="602"/>
      <c r="I45" s="603"/>
      <c r="J45" s="602"/>
      <c r="K45" s="603"/>
      <c r="L45" s="602"/>
      <c r="M45" s="600" t="s">
        <v>823</v>
      </c>
      <c r="N45" s="601" t="s">
        <v>788</v>
      </c>
      <c r="O45" s="603"/>
      <c r="P45" s="602"/>
      <c r="Q45" s="603"/>
      <c r="R45" s="602"/>
      <c r="S45" s="603"/>
      <c r="T45" s="602"/>
      <c r="V45" s="591"/>
      <c r="W45" s="591"/>
      <c r="X45" s="591"/>
      <c r="Y45" s="591"/>
      <c r="Z45" s="591"/>
      <c r="AA45" s="591"/>
      <c r="AB45" s="591"/>
      <c r="AC45" s="591"/>
      <c r="AD45" s="591"/>
      <c r="AE45" s="591"/>
      <c r="AF45" s="591"/>
      <c r="AG45" s="591"/>
      <c r="AH45" s="591"/>
      <c r="AI45" s="591"/>
    </row>
    <row r="46" ht="15.95" customHeight="1" spans="2:35">
      <c r="B46" s="599"/>
      <c r="C46" s="603"/>
      <c r="D46" s="602"/>
      <c r="E46" s="603"/>
      <c r="F46" s="602"/>
      <c r="G46" s="603"/>
      <c r="H46" s="602"/>
      <c r="I46" s="603"/>
      <c r="J46" s="602"/>
      <c r="K46" s="603"/>
      <c r="L46" s="602"/>
      <c r="M46" s="600" t="s">
        <v>782</v>
      </c>
      <c r="N46" s="601" t="s">
        <v>772</v>
      </c>
      <c r="O46" s="603"/>
      <c r="P46" s="602"/>
      <c r="Q46" s="603"/>
      <c r="R46" s="602"/>
      <c r="S46" s="603"/>
      <c r="T46" s="602"/>
      <c r="V46" s="591"/>
      <c r="W46" s="591"/>
      <c r="X46" s="591"/>
      <c r="Y46" s="591"/>
      <c r="Z46" s="591"/>
      <c r="AA46" s="591"/>
      <c r="AB46" s="591"/>
      <c r="AC46" s="591"/>
      <c r="AD46" s="591"/>
      <c r="AE46" s="591"/>
      <c r="AF46" s="591"/>
      <c r="AG46" s="591"/>
      <c r="AH46" s="591"/>
      <c r="AI46" s="591"/>
    </row>
    <row r="47" ht="15.95" customHeight="1" spans="2:35">
      <c r="B47" s="599"/>
      <c r="C47" s="603"/>
      <c r="D47" s="602"/>
      <c r="E47" s="603"/>
      <c r="F47" s="602"/>
      <c r="G47" s="603"/>
      <c r="H47" s="602"/>
      <c r="I47" s="603"/>
      <c r="J47" s="602"/>
      <c r="K47" s="603"/>
      <c r="L47" s="602"/>
      <c r="M47" s="600" t="s">
        <v>827</v>
      </c>
      <c r="N47" s="601" t="s">
        <v>500</v>
      </c>
      <c r="O47" s="603"/>
      <c r="P47" s="602"/>
      <c r="Q47" s="603"/>
      <c r="R47" s="602"/>
      <c r="S47" s="603"/>
      <c r="T47" s="602"/>
      <c r="V47" s="591"/>
      <c r="W47" s="591"/>
      <c r="X47" s="591"/>
      <c r="Y47" s="591"/>
      <c r="Z47" s="591"/>
      <c r="AA47" s="591"/>
      <c r="AB47" s="591"/>
      <c r="AC47" s="591"/>
      <c r="AD47" s="591"/>
      <c r="AE47" s="591"/>
      <c r="AF47" s="591"/>
      <c r="AG47" s="591"/>
      <c r="AH47" s="591"/>
      <c r="AI47" s="591"/>
    </row>
    <row r="48" ht="15.95" customHeight="1" spans="2:35">
      <c r="B48" s="599"/>
      <c r="C48" s="603"/>
      <c r="D48" s="602"/>
      <c r="E48" s="603"/>
      <c r="F48" s="602"/>
      <c r="G48" s="603"/>
      <c r="H48" s="602"/>
      <c r="I48" s="603"/>
      <c r="J48" s="602"/>
      <c r="K48" s="603"/>
      <c r="L48" s="602"/>
      <c r="M48" s="606" t="s">
        <v>833</v>
      </c>
      <c r="N48" s="606" t="s">
        <v>1045</v>
      </c>
      <c r="O48" s="603"/>
      <c r="P48" s="602"/>
      <c r="Q48" s="603"/>
      <c r="R48" s="602"/>
      <c r="S48" s="603"/>
      <c r="T48" s="602"/>
      <c r="V48" s="591"/>
      <c r="W48" s="591"/>
      <c r="X48" s="591"/>
      <c r="Y48" s="591"/>
      <c r="Z48" s="591"/>
      <c r="AA48" s="591"/>
      <c r="AB48" s="591"/>
      <c r="AC48" s="591"/>
      <c r="AD48" s="591"/>
      <c r="AE48" s="591"/>
      <c r="AF48" s="591"/>
      <c r="AG48" s="591"/>
      <c r="AH48" s="591"/>
      <c r="AI48" s="591"/>
    </row>
    <row r="49" ht="15.95" customHeight="1" spans="2:35">
      <c r="B49" s="599"/>
      <c r="C49" s="603"/>
      <c r="D49" s="602"/>
      <c r="E49" s="603"/>
      <c r="F49" s="602"/>
      <c r="G49" s="603"/>
      <c r="H49" s="602"/>
      <c r="I49" s="603"/>
      <c r="J49" s="602"/>
      <c r="K49" s="603"/>
      <c r="L49" s="602"/>
      <c r="M49" s="606" t="s">
        <v>835</v>
      </c>
      <c r="N49" s="606" t="s">
        <v>1042</v>
      </c>
      <c r="O49" s="603"/>
      <c r="P49" s="602"/>
      <c r="Q49" s="603"/>
      <c r="R49" s="602"/>
      <c r="S49" s="603"/>
      <c r="T49" s="602"/>
      <c r="V49" s="591"/>
      <c r="W49" s="591"/>
      <c r="X49" s="591"/>
      <c r="Y49" s="591"/>
      <c r="Z49" s="591"/>
      <c r="AA49" s="591"/>
      <c r="AB49" s="591"/>
      <c r="AC49" s="591"/>
      <c r="AD49" s="591"/>
      <c r="AE49" s="591"/>
      <c r="AF49" s="591"/>
      <c r="AG49" s="591"/>
      <c r="AH49" s="591"/>
      <c r="AI49" s="591"/>
    </row>
    <row r="50" ht="15.95" customHeight="1" spans="2:35">
      <c r="B50" s="599"/>
      <c r="C50" s="603"/>
      <c r="D50" s="602"/>
      <c r="E50" s="603"/>
      <c r="F50" s="602"/>
      <c r="G50" s="603"/>
      <c r="H50" s="602"/>
      <c r="I50" s="603"/>
      <c r="J50" s="602"/>
      <c r="K50" s="603"/>
      <c r="L50" s="602"/>
      <c r="M50" s="606" t="s">
        <v>1046</v>
      </c>
      <c r="N50" s="606"/>
      <c r="O50" s="603"/>
      <c r="P50" s="602"/>
      <c r="Q50" s="603"/>
      <c r="R50" s="602"/>
      <c r="S50" s="603"/>
      <c r="T50" s="602"/>
      <c r="V50" s="591"/>
      <c r="W50" s="591"/>
      <c r="X50" s="591"/>
      <c r="Y50" s="591"/>
      <c r="Z50" s="591"/>
      <c r="AA50" s="591"/>
      <c r="AB50" s="591"/>
      <c r="AC50" s="591"/>
      <c r="AD50" s="591"/>
      <c r="AE50" s="591"/>
      <c r="AF50" s="591"/>
      <c r="AG50" s="591"/>
      <c r="AH50" s="591"/>
      <c r="AI50" s="591"/>
    </row>
    <row r="51" ht="15.95" customHeight="1" spans="2:35">
      <c r="B51" s="607"/>
      <c r="C51" s="608"/>
      <c r="D51" s="609"/>
      <c r="E51" s="608"/>
      <c r="F51" s="609"/>
      <c r="G51" s="608"/>
      <c r="H51" s="609"/>
      <c r="I51" s="608"/>
      <c r="J51" s="609"/>
      <c r="K51" s="608"/>
      <c r="L51" s="609"/>
      <c r="O51" s="608"/>
      <c r="P51" s="609"/>
      <c r="Q51" s="608"/>
      <c r="R51" s="609"/>
      <c r="S51" s="608"/>
      <c r="T51" s="609"/>
      <c r="V51" s="591"/>
      <c r="W51" s="591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1"/>
    </row>
    <row r="52" s="589" customFormat="1" ht="15.95" customHeight="1" spans="2:35">
      <c r="B52" s="593"/>
      <c r="C52" s="594" t="s">
        <v>1021</v>
      </c>
      <c r="D52" s="595"/>
      <c r="E52" s="594" t="s">
        <v>1022</v>
      </c>
      <c r="F52" s="595"/>
      <c r="G52" s="594" t="s">
        <v>1023</v>
      </c>
      <c r="H52" s="595"/>
      <c r="I52" s="594" t="s">
        <v>1024</v>
      </c>
      <c r="J52" s="595"/>
      <c r="K52" s="594" t="s">
        <v>1025</v>
      </c>
      <c r="L52" s="595"/>
      <c r="M52" s="594" t="s">
        <v>1026</v>
      </c>
      <c r="N52" s="595"/>
      <c r="O52" s="594" t="s">
        <v>1027</v>
      </c>
      <c r="P52" s="595"/>
      <c r="Q52" s="594" t="s">
        <v>1028</v>
      </c>
      <c r="R52" s="595"/>
      <c r="S52" s="594" t="s">
        <v>1029</v>
      </c>
      <c r="T52" s="595"/>
    </row>
    <row r="53" ht="15.95" customHeight="1" spans="2:35">
      <c r="B53" s="596" t="s">
        <v>1052</v>
      </c>
      <c r="C53" s="597" t="s">
        <v>1036</v>
      </c>
      <c r="D53" s="598" t="s">
        <v>329</v>
      </c>
      <c r="E53" s="597" t="s">
        <v>1031</v>
      </c>
      <c r="F53" s="598" t="s">
        <v>1032</v>
      </c>
      <c r="G53" s="597" t="s">
        <v>333</v>
      </c>
      <c r="H53" s="598" t="s">
        <v>351</v>
      </c>
      <c r="I53" s="597" t="s">
        <v>347</v>
      </c>
      <c r="J53" s="598" t="s">
        <v>372</v>
      </c>
      <c r="K53" s="597" t="s">
        <v>772</v>
      </c>
      <c r="L53" s="598" t="s">
        <v>500</v>
      </c>
      <c r="M53" s="597" t="s">
        <v>1035</v>
      </c>
      <c r="N53" s="598" t="s">
        <v>1053</v>
      </c>
      <c r="O53" s="612" t="s">
        <v>358</v>
      </c>
      <c r="P53" s="598" t="s">
        <v>749</v>
      </c>
      <c r="Q53" s="597" t="s">
        <v>1033</v>
      </c>
      <c r="R53" s="598" t="s">
        <v>1034</v>
      </c>
      <c r="S53" s="597" t="s">
        <v>1038</v>
      </c>
      <c r="T53" s="598" t="s">
        <v>361</v>
      </c>
      <c r="V53" s="591"/>
      <c r="W53" s="591"/>
      <c r="X53" s="591"/>
      <c r="Y53" s="591"/>
      <c r="Z53" s="591"/>
      <c r="AA53" s="591"/>
      <c r="AB53" s="591"/>
      <c r="AC53" s="591"/>
      <c r="AD53" s="591"/>
      <c r="AE53" s="591"/>
      <c r="AF53" s="591"/>
      <c r="AG53" s="591"/>
      <c r="AH53" s="591"/>
      <c r="AI53" s="591"/>
    </row>
    <row r="54" ht="15.95" customHeight="1" spans="2:35">
      <c r="B54" s="599"/>
      <c r="C54" s="600" t="s">
        <v>302</v>
      </c>
      <c r="D54" s="601" t="s">
        <v>291</v>
      </c>
      <c r="E54" s="600" t="s">
        <v>335</v>
      </c>
      <c r="F54" s="601" t="s">
        <v>343</v>
      </c>
      <c r="G54" s="600" t="s">
        <v>746</v>
      </c>
      <c r="H54" s="601" t="s">
        <v>305</v>
      </c>
      <c r="I54" s="600" t="s">
        <v>363</v>
      </c>
      <c r="J54" s="601" t="s">
        <v>299</v>
      </c>
      <c r="K54" s="600" t="s">
        <v>824</v>
      </c>
      <c r="L54" s="601" t="s">
        <v>831</v>
      </c>
      <c r="M54" s="600" t="s">
        <v>331</v>
      </c>
      <c r="N54" s="601" t="s">
        <v>337</v>
      </c>
      <c r="O54" s="606" t="s">
        <v>356</v>
      </c>
      <c r="P54" s="601" t="s">
        <v>353</v>
      </c>
      <c r="Q54" s="600" t="s">
        <v>345</v>
      </c>
      <c r="R54" s="601" t="s">
        <v>1039</v>
      </c>
      <c r="S54" s="600" t="s">
        <v>369</v>
      </c>
      <c r="T54" s="601" t="s">
        <v>278</v>
      </c>
      <c r="V54" s="591"/>
      <c r="W54" s="591"/>
      <c r="X54" s="591"/>
      <c r="Y54" s="591"/>
      <c r="Z54" s="591"/>
      <c r="AA54" s="591"/>
      <c r="AB54" s="591"/>
      <c r="AC54" s="591"/>
      <c r="AD54" s="591"/>
      <c r="AE54" s="591"/>
      <c r="AF54" s="591"/>
      <c r="AG54" s="591"/>
      <c r="AH54" s="591"/>
      <c r="AI54" s="591"/>
    </row>
    <row r="55" ht="15.95" customHeight="1" spans="2:35">
      <c r="B55" s="599"/>
      <c r="C55" s="600" t="s">
        <v>267</v>
      </c>
      <c r="D55" s="601" t="s">
        <v>312</v>
      </c>
      <c r="E55" s="600" t="s">
        <v>339</v>
      </c>
      <c r="F55" s="601" t="s">
        <v>377</v>
      </c>
      <c r="G55" s="600" t="s">
        <v>383</v>
      </c>
      <c r="H55" s="601" t="s">
        <v>315</v>
      </c>
      <c r="I55" s="600" t="s">
        <v>284</v>
      </c>
      <c r="J55" s="601" t="s">
        <v>349</v>
      </c>
      <c r="K55" s="600" t="s">
        <v>837</v>
      </c>
      <c r="L55" s="601" t="s">
        <v>863</v>
      </c>
      <c r="M55" s="600" t="s">
        <v>379</v>
      </c>
      <c r="N55" s="601" t="s">
        <v>374</v>
      </c>
      <c r="O55" s="606" t="s">
        <v>294</v>
      </c>
      <c r="P55" s="601" t="s">
        <v>281</v>
      </c>
      <c r="Q55" s="600" t="s">
        <v>381</v>
      </c>
      <c r="R55" s="601" t="s">
        <v>367</v>
      </c>
      <c r="S55" s="600" t="s">
        <v>324</v>
      </c>
      <c r="T55" s="601" t="s">
        <v>405</v>
      </c>
      <c r="V55" s="591"/>
      <c r="W55" s="591"/>
      <c r="X55" s="591"/>
      <c r="Y55" s="591"/>
      <c r="Z55" s="591"/>
      <c r="AA55" s="591"/>
      <c r="AB55" s="591"/>
      <c r="AC55" s="591"/>
      <c r="AD55" s="591"/>
      <c r="AE55" s="591"/>
      <c r="AF55" s="591"/>
      <c r="AG55" s="591"/>
      <c r="AH55" s="591"/>
      <c r="AI55" s="591"/>
    </row>
    <row r="56" ht="15.95" customHeight="1" spans="2:35">
      <c r="B56" s="599"/>
      <c r="C56" s="600" t="s">
        <v>805</v>
      </c>
      <c r="D56" s="601" t="s">
        <v>770</v>
      </c>
      <c r="E56" s="600" t="s">
        <v>387</v>
      </c>
      <c r="F56" s="601" t="s">
        <v>308</v>
      </c>
      <c r="G56" s="600" t="s">
        <v>744</v>
      </c>
      <c r="H56" s="601" t="s">
        <v>326</v>
      </c>
      <c r="I56" s="600" t="s">
        <v>399</v>
      </c>
      <c r="J56" s="601" t="s">
        <v>781</v>
      </c>
      <c r="K56" s="600"/>
      <c r="L56" s="601"/>
      <c r="M56" s="600" t="s">
        <v>275</v>
      </c>
      <c r="N56" s="601" t="s">
        <v>287</v>
      </c>
      <c r="O56" s="606" t="s">
        <v>745</v>
      </c>
      <c r="P56" s="601" t="s">
        <v>403</v>
      </c>
      <c r="Q56" s="600" t="s">
        <v>752</v>
      </c>
      <c r="R56" s="601" t="s">
        <v>365</v>
      </c>
      <c r="S56" s="600" t="s">
        <v>840</v>
      </c>
      <c r="T56" s="601" t="s">
        <v>768</v>
      </c>
      <c r="V56" s="591"/>
      <c r="W56" s="591"/>
      <c r="X56" s="591"/>
      <c r="Y56" s="591"/>
      <c r="Z56" s="591"/>
      <c r="AA56" s="591"/>
      <c r="AB56" s="591"/>
      <c r="AC56" s="591"/>
      <c r="AD56" s="591"/>
      <c r="AE56" s="591"/>
      <c r="AF56" s="591"/>
      <c r="AG56" s="591"/>
      <c r="AH56" s="591"/>
      <c r="AI56" s="591"/>
    </row>
    <row r="57" ht="15.95" customHeight="1" spans="2:35">
      <c r="B57" s="599"/>
      <c r="C57" s="600" t="s">
        <v>817</v>
      </c>
      <c r="D57" s="601" t="s">
        <v>778</v>
      </c>
      <c r="E57" s="600" t="s">
        <v>397</v>
      </c>
      <c r="F57" s="601" t="s">
        <v>395</v>
      </c>
      <c r="G57" s="600" t="s">
        <v>414</v>
      </c>
      <c r="H57" s="604" t="s">
        <v>786</v>
      </c>
      <c r="I57" s="600" t="s">
        <v>795</v>
      </c>
      <c r="J57" s="601" t="s">
        <v>812</v>
      </c>
      <c r="K57" s="600"/>
      <c r="L57" s="601"/>
      <c r="M57" s="600" t="s">
        <v>385</v>
      </c>
      <c r="N57" s="601" t="s">
        <v>272</v>
      </c>
      <c r="O57" s="606" t="s">
        <v>407</v>
      </c>
      <c r="P57" s="604" t="s">
        <v>785</v>
      </c>
      <c r="Q57" s="600" t="s">
        <v>392</v>
      </c>
      <c r="R57" s="601" t="s">
        <v>412</v>
      </c>
      <c r="S57" s="603" t="s">
        <v>823</v>
      </c>
      <c r="T57" s="602" t="s">
        <v>782</v>
      </c>
      <c r="V57" s="591"/>
      <c r="W57" s="591"/>
      <c r="X57" s="591"/>
      <c r="Y57" s="591"/>
      <c r="Z57" s="591"/>
      <c r="AA57" s="591"/>
      <c r="AB57" s="591"/>
      <c r="AC57" s="591"/>
      <c r="AD57" s="591"/>
      <c r="AE57" s="591"/>
      <c r="AF57" s="591"/>
      <c r="AG57" s="591"/>
      <c r="AH57" s="591"/>
      <c r="AI57" s="591"/>
    </row>
    <row r="58" ht="15.95" customHeight="1" spans="2:35">
      <c r="B58" s="599"/>
      <c r="C58" s="603" t="s">
        <v>825</v>
      </c>
      <c r="D58" s="602"/>
      <c r="E58" s="600" t="s">
        <v>390</v>
      </c>
      <c r="F58" s="601" t="s">
        <v>776</v>
      </c>
      <c r="G58" s="605" t="s">
        <v>1040</v>
      </c>
      <c r="H58" s="604" t="s">
        <v>774</v>
      </c>
      <c r="I58" s="600" t="s">
        <v>797</v>
      </c>
      <c r="J58" s="602" t="s">
        <v>849</v>
      </c>
      <c r="K58" s="603"/>
      <c r="L58" s="602"/>
      <c r="M58" s="600" t="s">
        <v>321</v>
      </c>
      <c r="N58" s="601" t="s">
        <v>318</v>
      </c>
      <c r="O58" s="610" t="s">
        <v>1041</v>
      </c>
      <c r="P58" s="601" t="s">
        <v>780</v>
      </c>
      <c r="Q58" s="600" t="s">
        <v>401</v>
      </c>
      <c r="R58" s="601" t="s">
        <v>800</v>
      </c>
      <c r="S58" s="603" t="s">
        <v>816</v>
      </c>
      <c r="T58" s="602" t="s">
        <v>826</v>
      </c>
      <c r="V58" s="591"/>
      <c r="W58" s="591"/>
      <c r="X58" s="591"/>
      <c r="Y58" s="591"/>
      <c r="Z58" s="591"/>
      <c r="AA58" s="591"/>
      <c r="AB58" s="591"/>
      <c r="AC58" s="591"/>
      <c r="AD58" s="591"/>
      <c r="AE58" s="591"/>
      <c r="AF58" s="591"/>
      <c r="AG58" s="591"/>
      <c r="AH58" s="591"/>
      <c r="AI58" s="591"/>
    </row>
    <row r="59" ht="15.95" customHeight="1" spans="2:35">
      <c r="B59" s="599"/>
      <c r="C59" s="603"/>
      <c r="D59" s="602"/>
      <c r="E59" s="603" t="s">
        <v>783</v>
      </c>
      <c r="F59" s="602" t="s">
        <v>809</v>
      </c>
      <c r="G59" s="603" t="s">
        <v>808</v>
      </c>
      <c r="H59" s="602" t="s">
        <v>793</v>
      </c>
      <c r="I59" s="603" t="s">
        <v>806</v>
      </c>
      <c r="J59" s="602"/>
      <c r="K59" s="603"/>
      <c r="L59" s="602"/>
      <c r="M59" s="600" t="s">
        <v>409</v>
      </c>
      <c r="N59" s="601" t="s">
        <v>777</v>
      </c>
      <c r="O59" s="591" t="s">
        <v>788</v>
      </c>
      <c r="P59" s="602" t="s">
        <v>827</v>
      </c>
      <c r="Q59" s="603" t="s">
        <v>790</v>
      </c>
      <c r="R59" s="602" t="s">
        <v>1044</v>
      </c>
      <c r="S59" s="603" t="s">
        <v>815</v>
      </c>
      <c r="T59" s="602" t="s">
        <v>819</v>
      </c>
      <c r="V59" s="591"/>
      <c r="W59" s="591"/>
      <c r="X59" s="591"/>
      <c r="Y59" s="591"/>
      <c r="Z59" s="591"/>
      <c r="AA59" s="591"/>
      <c r="AB59" s="591"/>
      <c r="AC59" s="591"/>
      <c r="AD59" s="591"/>
      <c r="AE59" s="591"/>
      <c r="AF59" s="591"/>
      <c r="AG59" s="591"/>
      <c r="AH59" s="591"/>
      <c r="AI59" s="591"/>
    </row>
    <row r="60" ht="15.95" customHeight="1" spans="2:35">
      <c r="B60" s="599"/>
      <c r="C60" s="603"/>
      <c r="D60" s="602"/>
      <c r="E60" s="603" t="s">
        <v>802</v>
      </c>
      <c r="F60" s="602" t="s">
        <v>828</v>
      </c>
      <c r="G60" s="603" t="s">
        <v>787</v>
      </c>
      <c r="H60" s="602" t="s">
        <v>818</v>
      </c>
      <c r="I60" s="603"/>
      <c r="J60" s="602"/>
      <c r="K60" s="603"/>
      <c r="L60" s="602"/>
      <c r="M60" s="600" t="s">
        <v>814</v>
      </c>
      <c r="N60" s="601" t="s">
        <v>832</v>
      </c>
      <c r="O60" s="591" t="s">
        <v>1043</v>
      </c>
      <c r="P60" s="602"/>
      <c r="Q60" s="603" t="s">
        <v>1046</v>
      </c>
      <c r="R60" s="602"/>
      <c r="S60" s="603" t="s">
        <v>858</v>
      </c>
      <c r="T60" s="602" t="s">
        <v>861</v>
      </c>
      <c r="V60" s="591"/>
      <c r="W60" s="591"/>
      <c r="X60" s="591"/>
      <c r="Y60" s="591"/>
      <c r="Z60" s="591"/>
      <c r="AA60" s="591"/>
      <c r="AB60" s="591"/>
      <c r="AC60" s="591"/>
      <c r="AD60" s="591"/>
      <c r="AE60" s="591"/>
      <c r="AF60" s="591"/>
      <c r="AG60" s="591"/>
      <c r="AH60" s="591"/>
      <c r="AI60" s="591"/>
    </row>
    <row r="61" ht="15.95" customHeight="1" spans="2:35">
      <c r="B61" s="599"/>
      <c r="C61" s="603"/>
      <c r="D61" s="602"/>
      <c r="E61" s="603" t="s">
        <v>1045</v>
      </c>
      <c r="F61" s="602" t="s">
        <v>835</v>
      </c>
      <c r="G61" s="603" t="s">
        <v>821</v>
      </c>
      <c r="H61" s="602" t="s">
        <v>851</v>
      </c>
      <c r="I61" s="603"/>
      <c r="J61" s="602"/>
      <c r="K61" s="603"/>
      <c r="L61" s="602"/>
      <c r="M61" s="600" t="s">
        <v>771</v>
      </c>
      <c r="N61" s="601" t="s">
        <v>801</v>
      </c>
      <c r="P61" s="602"/>
      <c r="Q61" s="603"/>
      <c r="R61" s="602"/>
      <c r="S61" s="603"/>
      <c r="T61" s="602"/>
      <c r="V61" s="591"/>
      <c r="W61" s="591"/>
      <c r="X61" s="591"/>
      <c r="Y61" s="591"/>
      <c r="Z61" s="591"/>
      <c r="AA61" s="591"/>
      <c r="AB61" s="591"/>
      <c r="AC61" s="591"/>
      <c r="AD61" s="591"/>
      <c r="AE61" s="591"/>
      <c r="AF61" s="591"/>
      <c r="AG61" s="591"/>
      <c r="AH61" s="591"/>
      <c r="AI61" s="591"/>
    </row>
    <row r="62" ht="15.95" customHeight="1" spans="2:35">
      <c r="B62" s="599"/>
      <c r="C62" s="603"/>
      <c r="D62" s="602"/>
      <c r="E62" s="603" t="s">
        <v>839</v>
      </c>
      <c r="F62" s="602" t="s">
        <v>1042</v>
      </c>
      <c r="G62" s="603" t="s">
        <v>1048</v>
      </c>
      <c r="H62" s="602" t="s">
        <v>1049</v>
      </c>
      <c r="I62" s="603"/>
      <c r="J62" s="602"/>
      <c r="K62" s="603"/>
      <c r="L62" s="602"/>
      <c r="M62" s="600" t="s">
        <v>811</v>
      </c>
      <c r="N62" s="601" t="s">
        <v>1047</v>
      </c>
      <c r="P62" s="602"/>
      <c r="Q62" s="603"/>
      <c r="R62" s="602"/>
      <c r="S62" s="603"/>
      <c r="T62" s="602"/>
      <c r="V62" s="591"/>
      <c r="W62" s="591"/>
      <c r="X62" s="591"/>
      <c r="Y62" s="591"/>
      <c r="Z62" s="591"/>
      <c r="AA62" s="591"/>
      <c r="AB62" s="591"/>
      <c r="AC62" s="591"/>
      <c r="AD62" s="591"/>
      <c r="AE62" s="591"/>
      <c r="AF62" s="591"/>
      <c r="AG62" s="591"/>
      <c r="AH62" s="591"/>
      <c r="AI62" s="591"/>
    </row>
    <row r="63" ht="15.95" customHeight="1" spans="2:35">
      <c r="B63" s="599"/>
      <c r="C63" s="603"/>
      <c r="D63" s="602"/>
      <c r="E63" s="603"/>
      <c r="F63" s="602"/>
      <c r="G63" s="603"/>
      <c r="H63" s="602"/>
      <c r="I63" s="603"/>
      <c r="J63" s="602"/>
      <c r="K63" s="603"/>
      <c r="L63" s="602"/>
      <c r="M63" s="600" t="s">
        <v>792</v>
      </c>
      <c r="N63" s="601" t="s">
        <v>844</v>
      </c>
      <c r="P63" s="602"/>
      <c r="Q63" s="603"/>
      <c r="R63" s="602"/>
      <c r="S63" s="603"/>
      <c r="T63" s="602"/>
      <c r="V63" s="591"/>
      <c r="W63" s="591"/>
      <c r="X63" s="591"/>
      <c r="Y63" s="591"/>
      <c r="Z63" s="591"/>
      <c r="AA63" s="591"/>
      <c r="AB63" s="591"/>
      <c r="AC63" s="591"/>
      <c r="AD63" s="591"/>
      <c r="AE63" s="591"/>
      <c r="AF63" s="591"/>
      <c r="AG63" s="591"/>
      <c r="AH63" s="591"/>
      <c r="AI63" s="591"/>
    </row>
    <row r="64" ht="15.95" customHeight="1" spans="2:35">
      <c r="B64" s="599"/>
      <c r="C64" s="603"/>
      <c r="D64" s="602"/>
      <c r="E64" s="603"/>
      <c r="F64" s="602"/>
      <c r="G64" s="603"/>
      <c r="H64" s="602"/>
      <c r="I64" s="603"/>
      <c r="J64" s="602"/>
      <c r="K64" s="603"/>
      <c r="L64" s="602"/>
      <c r="M64" s="600" t="s">
        <v>836</v>
      </c>
      <c r="N64" s="601" t="s">
        <v>833</v>
      </c>
      <c r="P64" s="602"/>
      <c r="Q64" s="603"/>
      <c r="R64" s="602"/>
      <c r="S64" s="603"/>
      <c r="T64" s="602"/>
      <c r="V64" s="591"/>
      <c r="W64" s="591"/>
      <c r="X64" s="591"/>
      <c r="Y64" s="591"/>
      <c r="Z64" s="591"/>
      <c r="AA64" s="591"/>
      <c r="AB64" s="591"/>
      <c r="AC64" s="591"/>
      <c r="AD64" s="591"/>
      <c r="AE64" s="591"/>
      <c r="AF64" s="591"/>
      <c r="AG64" s="591"/>
      <c r="AH64" s="591"/>
      <c r="AI64" s="591"/>
    </row>
    <row r="65" ht="15.95" customHeight="1" spans="2:35">
      <c r="B65" s="599"/>
      <c r="C65" s="603"/>
      <c r="D65" s="602"/>
      <c r="E65" s="603"/>
      <c r="F65" s="602"/>
      <c r="G65" s="603"/>
      <c r="H65" s="602"/>
      <c r="I65" s="603"/>
      <c r="J65" s="602"/>
      <c r="K65" s="603"/>
      <c r="L65" s="602"/>
      <c r="M65" s="600" t="s">
        <v>854</v>
      </c>
      <c r="N65" s="601" t="s">
        <v>1037</v>
      </c>
      <c r="P65" s="602"/>
      <c r="Q65" s="603"/>
      <c r="R65" s="602"/>
      <c r="S65" s="603"/>
      <c r="T65" s="602"/>
      <c r="V65" s="591"/>
      <c r="W65" s="591"/>
      <c r="X65" s="591"/>
      <c r="Y65" s="591"/>
      <c r="Z65" s="591"/>
      <c r="AA65" s="591"/>
      <c r="AB65" s="591"/>
      <c r="AC65" s="591"/>
      <c r="AD65" s="591"/>
      <c r="AE65" s="591"/>
      <c r="AF65" s="591"/>
      <c r="AG65" s="591"/>
      <c r="AH65" s="591"/>
      <c r="AI65" s="591"/>
    </row>
    <row r="66" ht="15.95" customHeight="1" spans="2:35">
      <c r="B66" s="599"/>
      <c r="C66" s="603"/>
      <c r="D66" s="602"/>
      <c r="E66" s="603"/>
      <c r="F66" s="602"/>
      <c r="G66" s="603"/>
      <c r="H66" s="602"/>
      <c r="I66" s="603"/>
      <c r="J66" s="602"/>
      <c r="K66" s="603"/>
      <c r="L66" s="602"/>
      <c r="M66" s="600"/>
      <c r="N66" s="601"/>
      <c r="P66" s="602"/>
      <c r="Q66" s="603"/>
      <c r="R66" s="602"/>
      <c r="S66" s="603"/>
      <c r="T66" s="602"/>
      <c r="V66" s="591"/>
      <c r="W66" s="591"/>
      <c r="X66" s="591"/>
      <c r="Y66" s="591"/>
      <c r="Z66" s="591"/>
      <c r="AA66" s="591"/>
      <c r="AB66" s="591"/>
      <c r="AC66" s="591"/>
      <c r="AD66" s="591"/>
      <c r="AE66" s="591"/>
      <c r="AF66" s="591"/>
      <c r="AG66" s="591"/>
      <c r="AH66" s="591"/>
      <c r="AI66" s="591"/>
    </row>
    <row r="67" ht="15.95" customHeight="1" spans="2:35">
      <c r="B67" s="607"/>
      <c r="C67" s="608"/>
      <c r="D67" s="609"/>
      <c r="E67" s="608"/>
      <c r="F67" s="609"/>
      <c r="G67" s="608"/>
      <c r="H67" s="609"/>
      <c r="I67" s="608"/>
      <c r="J67" s="609"/>
      <c r="K67" s="608"/>
      <c r="L67" s="609"/>
      <c r="M67" s="608"/>
      <c r="N67" s="609"/>
      <c r="O67" s="613"/>
      <c r="P67" s="609"/>
      <c r="Q67" s="608"/>
      <c r="R67" s="609"/>
      <c r="S67" s="608"/>
      <c r="T67" s="609"/>
      <c r="V67" s="591"/>
      <c r="W67" s="591"/>
      <c r="X67" s="591"/>
      <c r="Y67" s="591"/>
      <c r="Z67" s="591"/>
      <c r="AA67" s="591"/>
      <c r="AB67" s="591"/>
      <c r="AC67" s="591"/>
      <c r="AD67" s="591"/>
      <c r="AE67" s="591"/>
      <c r="AF67" s="591"/>
      <c r="AG67" s="591"/>
      <c r="AH67" s="591"/>
      <c r="AI67" s="591"/>
    </row>
    <row r="68" ht="15.95" customHeight="1" spans="2:35">
      <c r="M68" s="606"/>
      <c r="N68" s="606"/>
      <c r="V68" s="591"/>
      <c r="W68" s="591"/>
      <c r="X68" s="591"/>
      <c r="Y68" s="591"/>
      <c r="Z68" s="591"/>
      <c r="AA68" s="591"/>
      <c r="AB68" s="591"/>
      <c r="AC68" s="591"/>
      <c r="AD68" s="591"/>
      <c r="AE68" s="591"/>
      <c r="AF68" s="591"/>
      <c r="AG68" s="591"/>
      <c r="AH68" s="591"/>
      <c r="AI68" s="591"/>
    </row>
    <row r="69" ht="15.95" customHeight="1" spans="2:35">
      <c r="M69" s="606"/>
      <c r="N69" s="606"/>
      <c r="V69" s="591"/>
      <c r="W69" s="591"/>
      <c r="X69" s="591"/>
      <c r="Y69" s="591"/>
      <c r="Z69" s="591"/>
      <c r="AA69" s="591"/>
      <c r="AB69" s="591"/>
      <c r="AC69" s="591"/>
      <c r="AD69" s="591"/>
      <c r="AE69" s="591"/>
      <c r="AF69" s="591"/>
      <c r="AG69" s="591"/>
      <c r="AH69" s="591"/>
      <c r="AI69" s="591"/>
    </row>
    <row r="70" ht="15.95" customHeight="1" spans="2:35">
      <c r="B70" s="614"/>
      <c r="C70" s="614"/>
      <c r="D70" s="614"/>
      <c r="E70" s="614"/>
      <c r="F70" s="614"/>
      <c r="G70" s="614"/>
      <c r="H70" s="614"/>
      <c r="I70" s="614"/>
      <c r="J70" s="614"/>
      <c r="K70" s="614"/>
      <c r="L70" s="614"/>
      <c r="M70" s="614"/>
      <c r="N70" s="614"/>
      <c r="Q70" s="614"/>
      <c r="R70" s="614"/>
      <c r="S70" s="614"/>
      <c r="T70" s="614"/>
      <c r="V70" s="591"/>
      <c r="W70" s="591"/>
      <c r="X70" s="591"/>
      <c r="Y70" s="591"/>
      <c r="Z70" s="591"/>
      <c r="AA70" s="591"/>
      <c r="AB70" s="591"/>
      <c r="AC70" s="591"/>
      <c r="AD70" s="591"/>
      <c r="AE70" s="591"/>
      <c r="AF70" s="591"/>
      <c r="AG70" s="591"/>
      <c r="AH70" s="591"/>
      <c r="AI70" s="591"/>
    </row>
    <row r="71" ht="15.95" customHeight="1" spans="2:35">
      <c r="B71" s="614"/>
      <c r="C71" s="614"/>
      <c r="D71" s="614"/>
      <c r="E71" s="614"/>
      <c r="F71" s="614"/>
      <c r="G71" s="614"/>
      <c r="H71" s="614"/>
      <c r="I71" s="614"/>
      <c r="J71" s="614"/>
      <c r="K71" s="614"/>
      <c r="L71" s="614"/>
      <c r="M71" s="614"/>
      <c r="N71" s="614"/>
      <c r="Q71" s="614"/>
      <c r="R71" s="614"/>
      <c r="S71" s="614"/>
      <c r="T71" s="614"/>
      <c r="V71" s="591"/>
      <c r="W71" s="591"/>
      <c r="X71" s="591"/>
      <c r="Y71" s="591"/>
      <c r="Z71" s="591"/>
      <c r="AA71" s="591"/>
      <c r="AB71" s="591"/>
      <c r="AC71" s="591"/>
      <c r="AD71" s="591"/>
      <c r="AE71" s="591"/>
      <c r="AF71" s="591"/>
      <c r="AG71" s="591"/>
      <c r="AH71" s="591"/>
      <c r="AI71" s="591"/>
    </row>
    <row r="72" ht="15.95" customHeight="1" spans="2:35">
      <c r="C72" s="592"/>
      <c r="D72" s="592"/>
      <c r="E72" s="592"/>
      <c r="F72" s="592"/>
      <c r="G72" s="592"/>
      <c r="H72" s="592"/>
      <c r="I72" s="592"/>
      <c r="J72" s="592"/>
      <c r="K72" s="592"/>
      <c r="L72" s="592"/>
      <c r="M72" s="592"/>
      <c r="N72" s="592"/>
      <c r="Q72" s="592"/>
      <c r="R72" s="592"/>
      <c r="S72" s="592"/>
      <c r="T72" s="592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</row>
    <row r="73" s="590" customFormat="1" ht="15.95" customHeight="1" spans="2:35">
      <c r="B73" s="615"/>
      <c r="C73" s="594" t="s">
        <v>1021</v>
      </c>
      <c r="D73" s="595"/>
      <c r="E73" s="594" t="s">
        <v>1022</v>
      </c>
      <c r="F73" s="595"/>
      <c r="G73" s="594" t="s">
        <v>1023</v>
      </c>
      <c r="H73" s="595"/>
      <c r="I73" s="594" t="s">
        <v>1024</v>
      </c>
      <c r="J73" s="595"/>
      <c r="K73" s="594" t="s">
        <v>1025</v>
      </c>
      <c r="L73" s="595"/>
      <c r="M73" s="594" t="s">
        <v>1026</v>
      </c>
      <c r="N73" s="595"/>
      <c r="O73" s="594" t="s">
        <v>1027</v>
      </c>
      <c r="P73" s="595"/>
      <c r="Q73" s="594" t="s">
        <v>1028</v>
      </c>
      <c r="R73" s="595"/>
      <c r="S73" s="594" t="s">
        <v>1029</v>
      </c>
      <c r="T73" s="595"/>
      <c r="V73" s="616"/>
      <c r="W73" s="616"/>
      <c r="X73" s="616"/>
      <c r="Y73" s="616"/>
      <c r="Z73" s="616"/>
      <c r="AA73" s="616"/>
      <c r="AB73" s="616"/>
      <c r="AC73" s="616"/>
      <c r="AD73" s="616"/>
      <c r="AE73" s="616"/>
      <c r="AF73" s="616"/>
      <c r="AG73" s="616"/>
      <c r="AH73" s="616"/>
      <c r="AI73" s="616"/>
    </row>
    <row r="74" ht="15.95" customHeight="1" spans="2:35">
      <c r="B74" s="596" t="s">
        <v>1054</v>
      </c>
      <c r="C74" s="597" t="s">
        <v>1017</v>
      </c>
      <c r="D74" s="598" t="s">
        <v>1004</v>
      </c>
      <c r="E74" s="597" t="s">
        <v>1010</v>
      </c>
      <c r="F74" s="598" t="s">
        <v>451</v>
      </c>
      <c r="G74" s="597" t="s">
        <v>1006</v>
      </c>
      <c r="H74" s="598" t="s">
        <v>996</v>
      </c>
      <c r="I74" s="597" t="s">
        <v>993</v>
      </c>
      <c r="J74" s="598" t="s">
        <v>452</v>
      </c>
      <c r="K74" s="597" t="s">
        <v>450</v>
      </c>
      <c r="L74" s="617" t="s">
        <v>984</v>
      </c>
      <c r="M74" s="597" t="s">
        <v>1016</v>
      </c>
      <c r="N74" s="598" t="s">
        <v>447</v>
      </c>
      <c r="O74" s="597" t="s">
        <v>1000</v>
      </c>
      <c r="P74" s="598" t="s">
        <v>1012</v>
      </c>
      <c r="Q74" s="597" t="s">
        <v>997</v>
      </c>
      <c r="R74" s="598" t="s">
        <v>992</v>
      </c>
      <c r="S74" s="597" t="s">
        <v>446</v>
      </c>
      <c r="T74" s="598" t="s">
        <v>1005</v>
      </c>
    </row>
    <row r="75" ht="15.95" customHeight="1" spans="2:35">
      <c r="B75" s="599"/>
      <c r="C75" s="600" t="s">
        <v>1003</v>
      </c>
      <c r="D75" s="601" t="s">
        <v>980</v>
      </c>
      <c r="E75" s="600" t="s">
        <v>1013</v>
      </c>
      <c r="F75" s="602" t="s">
        <v>449</v>
      </c>
      <c r="G75" s="600" t="s">
        <v>1015</v>
      </c>
      <c r="H75" s="601" t="s">
        <v>986</v>
      </c>
      <c r="I75" s="600" t="s">
        <v>988</v>
      </c>
      <c r="J75" s="601" t="s">
        <v>982</v>
      </c>
      <c r="K75" s="600" t="s">
        <v>969</v>
      </c>
      <c r="L75" s="602" t="s">
        <v>968</v>
      </c>
      <c r="M75" s="600" t="s">
        <v>454</v>
      </c>
      <c r="N75" s="601" t="s">
        <v>1009</v>
      </c>
      <c r="O75" s="600" t="s">
        <v>1014</v>
      </c>
      <c r="P75" s="601" t="s">
        <v>991</v>
      </c>
      <c r="Q75" s="600" t="s">
        <v>1001</v>
      </c>
      <c r="R75" s="601" t="s">
        <v>985</v>
      </c>
      <c r="S75" s="600" t="s">
        <v>979</v>
      </c>
      <c r="T75" s="601" t="s">
        <v>1002</v>
      </c>
    </row>
    <row r="76" spans="2:35">
      <c r="B76" s="599"/>
      <c r="C76" s="600" t="s">
        <v>989</v>
      </c>
      <c r="D76" s="601" t="s">
        <v>994</v>
      </c>
      <c r="E76" s="603" t="s">
        <v>995</v>
      </c>
      <c r="F76" s="602" t="s">
        <v>963</v>
      </c>
      <c r="G76" s="603" t="s">
        <v>981</v>
      </c>
      <c r="H76" s="602" t="s">
        <v>999</v>
      </c>
      <c r="I76" s="603" t="s">
        <v>1055</v>
      </c>
      <c r="J76" s="602" t="s">
        <v>283</v>
      </c>
      <c r="K76" s="600" t="s">
        <v>976</v>
      </c>
      <c r="L76" s="602" t="s">
        <v>955</v>
      </c>
      <c r="M76" s="600" t="s">
        <v>1011</v>
      </c>
      <c r="N76" s="601" t="s">
        <v>1008</v>
      </c>
      <c r="O76" s="603" t="s">
        <v>966</v>
      </c>
      <c r="P76" s="602" t="s">
        <v>970</v>
      </c>
      <c r="Q76" s="603" t="s">
        <v>952</v>
      </c>
      <c r="R76" s="602" t="s">
        <v>280</v>
      </c>
      <c r="S76" s="600" t="s">
        <v>1007</v>
      </c>
      <c r="T76" s="602" t="s">
        <v>978</v>
      </c>
      <c r="V76" s="591"/>
      <c r="W76" s="591"/>
      <c r="X76" s="591"/>
      <c r="Y76" s="591"/>
      <c r="Z76" s="591"/>
      <c r="AA76" s="591"/>
      <c r="AB76" s="591"/>
      <c r="AC76" s="591"/>
      <c r="AD76" s="591"/>
      <c r="AE76" s="591"/>
      <c r="AF76" s="591"/>
      <c r="AG76" s="591"/>
      <c r="AH76" s="591"/>
      <c r="AI76" s="591"/>
    </row>
    <row r="77" spans="2:35">
      <c r="B77" s="599"/>
      <c r="C77" s="600" t="s">
        <v>990</v>
      </c>
      <c r="D77" s="601" t="s">
        <v>977</v>
      </c>
      <c r="E77" s="603" t="s">
        <v>945</v>
      </c>
      <c r="F77" s="602" t="s">
        <v>286</v>
      </c>
      <c r="G77" s="603" t="s">
        <v>448</v>
      </c>
      <c r="H77" s="602" t="s">
        <v>274</v>
      </c>
      <c r="I77" s="603" t="s">
        <v>314</v>
      </c>
      <c r="J77" s="602"/>
      <c r="K77" s="600" t="s">
        <v>971</v>
      </c>
      <c r="L77" s="602" t="s">
        <v>951</v>
      </c>
      <c r="M77" s="600" t="s">
        <v>975</v>
      </c>
      <c r="N77" s="601" t="s">
        <v>974</v>
      </c>
      <c r="O77" s="603" t="s">
        <v>965</v>
      </c>
      <c r="P77" s="602" t="s">
        <v>972</v>
      </c>
      <c r="Q77" s="603" t="s">
        <v>301</v>
      </c>
      <c r="R77" s="602" t="s">
        <v>936</v>
      </c>
      <c r="S77" s="600" t="s">
        <v>983</v>
      </c>
      <c r="T77" s="601" t="s">
        <v>973</v>
      </c>
      <c r="V77" s="591"/>
      <c r="W77" s="591"/>
      <c r="X77" s="591"/>
      <c r="Y77" s="591"/>
      <c r="Z77" s="591"/>
      <c r="AA77" s="591"/>
      <c r="AB77" s="591"/>
      <c r="AC77" s="591"/>
      <c r="AD77" s="591"/>
      <c r="AE77" s="591"/>
      <c r="AF77" s="591"/>
      <c r="AG77" s="591"/>
      <c r="AH77" s="591"/>
      <c r="AI77" s="591"/>
    </row>
    <row r="78" spans="2:35">
      <c r="B78" s="599"/>
      <c r="C78" s="600" t="s">
        <v>962</v>
      </c>
      <c r="D78" s="601" t="s">
        <v>958</v>
      </c>
      <c r="E78" s="603" t="s">
        <v>307</v>
      </c>
      <c r="F78" s="602"/>
      <c r="G78" s="603" t="s">
        <v>317</v>
      </c>
      <c r="H78" s="602"/>
      <c r="I78" s="603"/>
      <c r="J78" s="602"/>
      <c r="K78" s="600" t="s">
        <v>937</v>
      </c>
      <c r="L78" s="602"/>
      <c r="M78" s="600" t="s">
        <v>998</v>
      </c>
      <c r="N78" s="601" t="s">
        <v>453</v>
      </c>
      <c r="O78" s="603" t="s">
        <v>320</v>
      </c>
      <c r="P78" s="602" t="s">
        <v>293</v>
      </c>
      <c r="Q78" s="603" t="s">
        <v>930</v>
      </c>
      <c r="R78" s="602"/>
      <c r="S78" s="600" t="s">
        <v>271</v>
      </c>
      <c r="T78" s="601" t="s">
        <v>277</v>
      </c>
      <c r="V78" s="591"/>
      <c r="W78" s="591"/>
      <c r="X78" s="591"/>
      <c r="Y78" s="591"/>
      <c r="Z78" s="591"/>
      <c r="AA78" s="591"/>
      <c r="AB78" s="591"/>
      <c r="AC78" s="591"/>
      <c r="AD78" s="591"/>
      <c r="AE78" s="591"/>
      <c r="AF78" s="591"/>
      <c r="AG78" s="591"/>
      <c r="AH78" s="591"/>
      <c r="AI78" s="591"/>
    </row>
    <row r="79" spans="2:35">
      <c r="B79" s="599"/>
      <c r="C79" s="600" t="s">
        <v>956</v>
      </c>
      <c r="D79" s="601" t="s">
        <v>964</v>
      </c>
      <c r="E79" s="603"/>
      <c r="F79" s="602"/>
      <c r="G79" s="603"/>
      <c r="H79" s="602"/>
      <c r="I79" s="603"/>
      <c r="J79" s="602"/>
      <c r="K79" s="600"/>
      <c r="L79" s="602"/>
      <c r="M79" s="600" t="s">
        <v>950</v>
      </c>
      <c r="N79" s="601" t="s">
        <v>967</v>
      </c>
      <c r="O79" s="603"/>
      <c r="P79" s="602"/>
      <c r="Q79" s="603"/>
      <c r="R79" s="602"/>
      <c r="S79" s="600" t="s">
        <v>947</v>
      </c>
      <c r="T79" s="601" t="s">
        <v>943</v>
      </c>
      <c r="V79" s="591"/>
      <c r="W79" s="591"/>
      <c r="X79" s="591"/>
      <c r="Y79" s="591"/>
      <c r="Z79" s="591"/>
      <c r="AA79" s="591"/>
      <c r="AB79" s="591"/>
      <c r="AC79" s="591"/>
      <c r="AD79" s="591"/>
      <c r="AE79" s="591"/>
      <c r="AF79" s="591"/>
      <c r="AG79" s="591"/>
      <c r="AH79" s="591"/>
      <c r="AI79" s="591"/>
    </row>
    <row r="80" spans="2:35">
      <c r="B80" s="599"/>
      <c r="C80" s="600" t="s">
        <v>298</v>
      </c>
      <c r="D80" s="601" t="s">
        <v>310</v>
      </c>
      <c r="E80" s="603"/>
      <c r="F80" s="602"/>
      <c r="G80" s="603"/>
      <c r="H80" s="602"/>
      <c r="I80" s="603"/>
      <c r="J80" s="602"/>
      <c r="K80" s="600"/>
      <c r="L80" s="602"/>
      <c r="M80" s="600" t="s">
        <v>957</v>
      </c>
      <c r="N80" s="601" t="s">
        <v>948</v>
      </c>
      <c r="O80" s="603"/>
      <c r="P80" s="602"/>
      <c r="Q80" s="603"/>
      <c r="R80" s="602"/>
      <c r="S80" s="600" t="s">
        <v>935</v>
      </c>
      <c r="T80" s="601"/>
      <c r="V80" s="591"/>
      <c r="W80" s="591"/>
      <c r="X80" s="591"/>
      <c r="Y80" s="591"/>
      <c r="Z80" s="591"/>
      <c r="AA80" s="591"/>
      <c r="AB80" s="591"/>
      <c r="AC80" s="591"/>
      <c r="AD80" s="591"/>
      <c r="AE80" s="591"/>
      <c r="AF80" s="591"/>
      <c r="AG80" s="591"/>
      <c r="AH80" s="591"/>
      <c r="AI80" s="591"/>
    </row>
    <row r="81" spans="2:35">
      <c r="B81" s="599"/>
      <c r="C81" s="600" t="s">
        <v>928</v>
      </c>
      <c r="D81" s="601"/>
      <c r="E81" s="603"/>
      <c r="F81" s="602"/>
      <c r="G81" s="603"/>
      <c r="H81" s="602"/>
      <c r="I81" s="603"/>
      <c r="J81" s="602"/>
      <c r="K81" s="600"/>
      <c r="L81" s="602"/>
      <c r="M81" s="600" t="s">
        <v>961</v>
      </c>
      <c r="N81" s="601" t="s">
        <v>304</v>
      </c>
      <c r="O81" s="603"/>
      <c r="P81" s="602"/>
      <c r="Q81" s="603"/>
      <c r="R81" s="602"/>
      <c r="S81" s="600"/>
      <c r="T81" s="601"/>
      <c r="V81" s="591"/>
      <c r="W81" s="591"/>
      <c r="X81" s="591"/>
      <c r="Y81" s="591"/>
      <c r="Z81" s="591"/>
      <c r="AA81" s="591"/>
      <c r="AB81" s="591"/>
      <c r="AC81" s="591"/>
      <c r="AD81" s="591"/>
      <c r="AE81" s="591"/>
      <c r="AF81" s="591"/>
      <c r="AG81" s="591"/>
      <c r="AH81" s="591"/>
      <c r="AI81" s="591"/>
    </row>
    <row r="82" spans="2:35">
      <c r="B82" s="599"/>
      <c r="C82" s="600"/>
      <c r="D82" s="601"/>
      <c r="E82" s="603"/>
      <c r="F82" s="602"/>
      <c r="G82" s="603"/>
      <c r="H82" s="602"/>
      <c r="I82" s="603"/>
      <c r="J82" s="602"/>
      <c r="K82" s="600"/>
      <c r="L82" s="602"/>
      <c r="M82" s="600" t="s">
        <v>931</v>
      </c>
      <c r="N82" s="601"/>
      <c r="O82" s="603"/>
      <c r="P82" s="602"/>
      <c r="Q82" s="603"/>
      <c r="R82" s="602"/>
      <c r="S82" s="600"/>
      <c r="T82" s="601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91"/>
      <c r="AI82" s="591"/>
    </row>
    <row r="83" spans="2:35">
      <c r="B83" s="607"/>
      <c r="C83" s="608"/>
      <c r="D83" s="609"/>
      <c r="E83" s="608"/>
      <c r="F83" s="609"/>
      <c r="G83" s="608"/>
      <c r="H83" s="609"/>
      <c r="I83" s="608"/>
      <c r="J83" s="609"/>
      <c r="K83" s="608"/>
      <c r="L83" s="609"/>
      <c r="M83" s="618"/>
      <c r="N83" s="611"/>
      <c r="O83" s="608"/>
      <c r="P83" s="609"/>
      <c r="Q83" s="608"/>
      <c r="R83" s="609"/>
      <c r="S83" s="608"/>
      <c r="T83" s="609"/>
      <c r="V83" s="591"/>
      <c r="W83" s="591"/>
      <c r="X83" s="591"/>
      <c r="Y83" s="591"/>
      <c r="Z83" s="591"/>
      <c r="AA83" s="591"/>
      <c r="AB83" s="591"/>
      <c r="AC83" s="591"/>
      <c r="AD83" s="591"/>
      <c r="AE83" s="591"/>
      <c r="AF83" s="591"/>
      <c r="AG83" s="591"/>
      <c r="AH83" s="591"/>
      <c r="AI83" s="591"/>
    </row>
    <row r="84" s="590" customFormat="1" ht="15.95" customHeight="1" spans="2:35">
      <c r="B84" s="615"/>
      <c r="C84" s="594" t="s">
        <v>1021</v>
      </c>
      <c r="D84" s="595"/>
      <c r="E84" s="594" t="s">
        <v>1022</v>
      </c>
      <c r="F84" s="595"/>
      <c r="G84" s="594" t="s">
        <v>1023</v>
      </c>
      <c r="H84" s="595"/>
      <c r="I84" s="594" t="s">
        <v>1024</v>
      </c>
      <c r="J84" s="595"/>
      <c r="K84" s="594" t="s">
        <v>1025</v>
      </c>
      <c r="L84" s="595"/>
      <c r="M84" s="594" t="s">
        <v>1026</v>
      </c>
      <c r="N84" s="595"/>
      <c r="O84" s="594" t="s">
        <v>1027</v>
      </c>
      <c r="P84" s="595"/>
      <c r="Q84" s="594" t="s">
        <v>1028</v>
      </c>
      <c r="R84" s="595"/>
      <c r="S84" s="594" t="s">
        <v>1029</v>
      </c>
      <c r="T84" s="595"/>
      <c r="V84" s="616"/>
      <c r="W84" s="616"/>
      <c r="X84" s="616"/>
      <c r="Y84" s="616"/>
      <c r="Z84" s="616"/>
      <c r="AA84" s="616"/>
      <c r="AB84" s="616"/>
      <c r="AC84" s="616"/>
      <c r="AD84" s="616"/>
      <c r="AE84" s="616"/>
      <c r="AF84" s="616"/>
      <c r="AG84" s="616"/>
      <c r="AH84" s="616"/>
      <c r="AI84" s="616"/>
    </row>
    <row r="85" spans="2:35">
      <c r="B85" s="596" t="s">
        <v>1030</v>
      </c>
      <c r="C85" s="597" t="s">
        <v>993</v>
      </c>
      <c r="D85" s="598" t="s">
        <v>1009</v>
      </c>
      <c r="E85" s="597" t="s">
        <v>1006</v>
      </c>
      <c r="F85" s="598" t="s">
        <v>996</v>
      </c>
      <c r="G85" s="597" t="s">
        <v>1017</v>
      </c>
      <c r="H85" s="598" t="s">
        <v>447</v>
      </c>
      <c r="I85" s="597" t="s">
        <v>1010</v>
      </c>
      <c r="J85" s="598" t="s">
        <v>451</v>
      </c>
      <c r="K85" s="597" t="s">
        <v>977</v>
      </c>
      <c r="L85" s="619" t="s">
        <v>298</v>
      </c>
      <c r="M85" s="597" t="s">
        <v>454</v>
      </c>
      <c r="N85" s="598" t="s">
        <v>997</v>
      </c>
      <c r="O85" s="612" t="s">
        <v>1016</v>
      </c>
      <c r="P85" s="598" t="s">
        <v>446</v>
      </c>
      <c r="Q85" s="597" t="s">
        <v>1000</v>
      </c>
      <c r="R85" s="598" t="s">
        <v>1012</v>
      </c>
      <c r="S85" s="597" t="s">
        <v>1003</v>
      </c>
      <c r="T85" s="598" t="s">
        <v>452</v>
      </c>
      <c r="V85" s="591"/>
      <c r="W85" s="591"/>
      <c r="X85" s="591"/>
      <c r="Y85" s="591"/>
      <c r="Z85" s="591"/>
      <c r="AA85" s="591"/>
      <c r="AB85" s="591"/>
      <c r="AC85" s="591"/>
      <c r="AD85" s="591"/>
      <c r="AE85" s="591"/>
      <c r="AF85" s="591"/>
      <c r="AG85" s="591"/>
      <c r="AH85" s="591"/>
      <c r="AI85" s="591"/>
    </row>
    <row r="86" spans="2:35">
      <c r="B86" s="599"/>
      <c r="C86" s="600" t="s">
        <v>1011</v>
      </c>
      <c r="D86" s="601" t="s">
        <v>982</v>
      </c>
      <c r="E86" s="600" t="s">
        <v>1015</v>
      </c>
      <c r="F86" s="601" t="s">
        <v>986</v>
      </c>
      <c r="G86" s="600" t="s">
        <v>1005</v>
      </c>
      <c r="H86" s="601" t="s">
        <v>980</v>
      </c>
      <c r="I86" s="600" t="s">
        <v>1013</v>
      </c>
      <c r="J86" s="602" t="s">
        <v>449</v>
      </c>
      <c r="K86" s="600" t="s">
        <v>304</v>
      </c>
      <c r="L86" s="591" t="s">
        <v>936</v>
      </c>
      <c r="M86" s="600" t="s">
        <v>992</v>
      </c>
      <c r="N86" s="601" t="s">
        <v>1001</v>
      </c>
      <c r="O86" s="606" t="s">
        <v>1004</v>
      </c>
      <c r="P86" s="601" t="s">
        <v>975</v>
      </c>
      <c r="Q86" s="600" t="s">
        <v>1014</v>
      </c>
      <c r="R86" s="601" t="s">
        <v>991</v>
      </c>
      <c r="S86" s="600" t="s">
        <v>1008</v>
      </c>
      <c r="T86" s="601" t="s">
        <v>989</v>
      </c>
      <c r="V86" s="591"/>
      <c r="W86" s="591"/>
      <c r="X86" s="591"/>
      <c r="Y86" s="591"/>
      <c r="Z86" s="591"/>
      <c r="AA86" s="591"/>
      <c r="AB86" s="591"/>
      <c r="AC86" s="591"/>
      <c r="AD86" s="591"/>
      <c r="AE86" s="591"/>
      <c r="AF86" s="591"/>
      <c r="AG86" s="591"/>
      <c r="AH86" s="591"/>
      <c r="AI86" s="591"/>
    </row>
    <row r="87" spans="2:35">
      <c r="B87" s="599"/>
      <c r="C87" s="600" t="s">
        <v>453</v>
      </c>
      <c r="D87" s="602" t="s">
        <v>450</v>
      </c>
      <c r="E87" s="603" t="s">
        <v>966</v>
      </c>
      <c r="F87" s="602" t="s">
        <v>999</v>
      </c>
      <c r="G87" s="603" t="s">
        <v>968</v>
      </c>
      <c r="H87" s="602" t="s">
        <v>958</v>
      </c>
      <c r="I87" s="600" t="s">
        <v>973</v>
      </c>
      <c r="J87" s="602" t="s">
        <v>995</v>
      </c>
      <c r="K87" s="600"/>
      <c r="M87" s="600" t="s">
        <v>988</v>
      </c>
      <c r="N87" s="601" t="s">
        <v>1007</v>
      </c>
      <c r="O87" s="606" t="s">
        <v>979</v>
      </c>
      <c r="P87" s="601" t="s">
        <v>1002</v>
      </c>
      <c r="Q87" s="603" t="s">
        <v>970</v>
      </c>
      <c r="R87" s="602" t="s">
        <v>971</v>
      </c>
      <c r="S87" s="600" t="s">
        <v>974</v>
      </c>
      <c r="T87" s="601" t="s">
        <v>990</v>
      </c>
      <c r="V87" s="591"/>
      <c r="W87" s="591"/>
      <c r="X87" s="591"/>
      <c r="Y87" s="591"/>
      <c r="Z87" s="591"/>
      <c r="AA87" s="591"/>
      <c r="AB87" s="591"/>
      <c r="AC87" s="591"/>
      <c r="AD87" s="591"/>
      <c r="AE87" s="591"/>
      <c r="AF87" s="591"/>
      <c r="AG87" s="591"/>
      <c r="AH87" s="591"/>
      <c r="AI87" s="591"/>
    </row>
    <row r="88" spans="2:35">
      <c r="B88" s="599"/>
      <c r="C88" s="603" t="s">
        <v>951</v>
      </c>
      <c r="D88" s="602" t="s">
        <v>961</v>
      </c>
      <c r="E88" s="603" t="s">
        <v>972</v>
      </c>
      <c r="F88" s="602" t="s">
        <v>952</v>
      </c>
      <c r="G88" s="603" t="s">
        <v>956</v>
      </c>
      <c r="H88" s="602" t="s">
        <v>964</v>
      </c>
      <c r="I88" s="603" t="s">
        <v>965</v>
      </c>
      <c r="J88" s="602" t="s">
        <v>950</v>
      </c>
      <c r="K88" s="603"/>
      <c r="M88" s="600" t="s">
        <v>994</v>
      </c>
      <c r="N88" s="601" t="s">
        <v>985</v>
      </c>
      <c r="O88" s="606" t="s">
        <v>981</v>
      </c>
      <c r="P88" s="602" t="s">
        <v>955</v>
      </c>
      <c r="Q88" s="603" t="s">
        <v>1055</v>
      </c>
      <c r="R88" s="602" t="s">
        <v>963</v>
      </c>
      <c r="S88" s="600" t="s">
        <v>969</v>
      </c>
      <c r="T88" s="601" t="s">
        <v>957</v>
      </c>
      <c r="V88" s="591"/>
      <c r="W88" s="591"/>
      <c r="X88" s="591"/>
      <c r="Y88" s="591"/>
      <c r="Z88" s="591"/>
      <c r="AA88" s="591"/>
      <c r="AB88" s="591"/>
      <c r="AC88" s="591"/>
      <c r="AD88" s="591"/>
      <c r="AE88" s="591"/>
      <c r="AF88" s="591"/>
      <c r="AG88" s="591"/>
      <c r="AH88" s="591"/>
      <c r="AI88" s="591"/>
    </row>
    <row r="89" spans="2:35">
      <c r="B89" s="599"/>
      <c r="C89" s="603"/>
      <c r="D89" s="602"/>
      <c r="E89" s="600" t="s">
        <v>967</v>
      </c>
      <c r="F89" s="602" t="s">
        <v>274</v>
      </c>
      <c r="G89" s="600" t="s">
        <v>947</v>
      </c>
      <c r="H89" s="602" t="s">
        <v>301</v>
      </c>
      <c r="I89" s="603" t="s">
        <v>945</v>
      </c>
      <c r="J89" s="602" t="s">
        <v>931</v>
      </c>
      <c r="K89" s="603"/>
      <c r="M89" s="600" t="s">
        <v>998</v>
      </c>
      <c r="N89" s="601" t="s">
        <v>978</v>
      </c>
      <c r="O89" s="606" t="s">
        <v>277</v>
      </c>
      <c r="P89" s="602"/>
      <c r="Q89" s="603" t="s">
        <v>271</v>
      </c>
      <c r="R89" s="602" t="s">
        <v>286</v>
      </c>
      <c r="S89" s="600" t="s">
        <v>948</v>
      </c>
      <c r="T89" s="601" t="s">
        <v>283</v>
      </c>
      <c r="V89" s="591"/>
      <c r="W89" s="591"/>
      <c r="X89" s="591"/>
      <c r="Y89" s="591"/>
      <c r="Z89" s="591"/>
      <c r="AA89" s="591"/>
      <c r="AB89" s="591"/>
      <c r="AC89" s="591"/>
      <c r="AD89" s="591"/>
      <c r="AE89" s="591"/>
      <c r="AF89" s="591"/>
      <c r="AG89" s="591"/>
      <c r="AH89" s="591"/>
      <c r="AI89" s="591"/>
    </row>
    <row r="90" spans="2:35">
      <c r="B90" s="599"/>
      <c r="C90" s="603"/>
      <c r="D90" s="602"/>
      <c r="E90" s="600" t="s">
        <v>280</v>
      </c>
      <c r="F90" s="602" t="s">
        <v>943</v>
      </c>
      <c r="G90" s="600" t="s">
        <v>310</v>
      </c>
      <c r="H90" s="602" t="s">
        <v>937</v>
      </c>
      <c r="I90" s="603" t="s">
        <v>928</v>
      </c>
      <c r="J90" s="602"/>
      <c r="K90" s="603"/>
      <c r="M90" s="600" t="s">
        <v>983</v>
      </c>
      <c r="N90" s="601" t="s">
        <v>984</v>
      </c>
      <c r="O90" s="606"/>
      <c r="P90" s="602"/>
      <c r="Q90" s="603" t="s">
        <v>317</v>
      </c>
      <c r="R90" s="602" t="s">
        <v>289</v>
      </c>
      <c r="S90" s="600" t="s">
        <v>307</v>
      </c>
      <c r="T90" s="601" t="s">
        <v>320</v>
      </c>
      <c r="V90" s="591"/>
      <c r="W90" s="591"/>
      <c r="X90" s="591"/>
      <c r="Y90" s="591"/>
      <c r="Z90" s="591"/>
      <c r="AA90" s="591"/>
      <c r="AB90" s="591"/>
      <c r="AC90" s="591"/>
      <c r="AD90" s="591"/>
      <c r="AE90" s="591"/>
      <c r="AF90" s="591"/>
      <c r="AG90" s="591"/>
      <c r="AH90" s="591"/>
      <c r="AI90" s="591"/>
    </row>
    <row r="91" spans="2:35">
      <c r="B91" s="599"/>
      <c r="C91" s="603"/>
      <c r="D91" s="602"/>
      <c r="E91" s="600"/>
      <c r="F91" s="602"/>
      <c r="G91" s="600"/>
      <c r="H91" s="602"/>
      <c r="I91" s="603"/>
      <c r="J91" s="602"/>
      <c r="K91" s="603"/>
      <c r="M91" s="600" t="s">
        <v>976</v>
      </c>
      <c r="N91" s="601" t="s">
        <v>962</v>
      </c>
      <c r="O91" s="606"/>
      <c r="P91" s="602"/>
      <c r="Q91" s="603" t="s">
        <v>935</v>
      </c>
      <c r="R91" s="602" t="s">
        <v>1056</v>
      </c>
      <c r="S91" s="600" t="s">
        <v>293</v>
      </c>
      <c r="T91" s="601" t="s">
        <v>930</v>
      </c>
      <c r="V91" s="591"/>
      <c r="W91" s="591"/>
      <c r="X91" s="591"/>
      <c r="Y91" s="591"/>
      <c r="Z91" s="591"/>
      <c r="AA91" s="591"/>
      <c r="AB91" s="591"/>
      <c r="AC91" s="591"/>
      <c r="AD91" s="591"/>
      <c r="AE91" s="591"/>
      <c r="AF91" s="591"/>
      <c r="AG91" s="591"/>
      <c r="AH91" s="591"/>
      <c r="AI91" s="591"/>
    </row>
    <row r="92" spans="2:35">
      <c r="B92" s="599"/>
      <c r="C92" s="603"/>
      <c r="D92" s="602"/>
      <c r="E92" s="600"/>
      <c r="F92" s="602"/>
      <c r="G92" s="600"/>
      <c r="H92" s="602"/>
      <c r="I92" s="603"/>
      <c r="J92" s="602"/>
      <c r="K92" s="603"/>
      <c r="M92" s="600" t="s">
        <v>448</v>
      </c>
      <c r="N92" s="601" t="s">
        <v>314</v>
      </c>
      <c r="O92" s="606"/>
      <c r="P92" s="602"/>
      <c r="Q92" s="603"/>
      <c r="R92" s="602"/>
      <c r="S92" s="600"/>
      <c r="T92" s="601"/>
      <c r="V92" s="591"/>
      <c r="W92" s="591"/>
      <c r="X92" s="591"/>
      <c r="Y92" s="591"/>
      <c r="Z92" s="591"/>
      <c r="AA92" s="591"/>
      <c r="AB92" s="591"/>
      <c r="AC92" s="591"/>
      <c r="AD92" s="591"/>
      <c r="AE92" s="591"/>
      <c r="AF92" s="591"/>
      <c r="AG92" s="591"/>
      <c r="AH92" s="591"/>
      <c r="AI92" s="591"/>
    </row>
    <row r="93" spans="2:35">
      <c r="B93" s="599"/>
      <c r="C93" s="603"/>
      <c r="D93" s="602"/>
      <c r="E93" s="600"/>
      <c r="F93" s="602"/>
      <c r="G93" s="600"/>
      <c r="H93" s="602"/>
      <c r="I93" s="603"/>
      <c r="J93" s="602"/>
      <c r="K93" s="603"/>
      <c r="M93" s="600"/>
      <c r="N93" s="601"/>
      <c r="O93" s="606"/>
      <c r="P93" s="602"/>
      <c r="Q93" s="603"/>
      <c r="R93" s="602"/>
      <c r="S93" s="600"/>
      <c r="T93" s="601"/>
      <c r="V93" s="591"/>
      <c r="W93" s="591"/>
      <c r="X93" s="591"/>
      <c r="Y93" s="591"/>
      <c r="Z93" s="591"/>
      <c r="AA93" s="591"/>
      <c r="AB93" s="591"/>
      <c r="AC93" s="591"/>
      <c r="AD93" s="591"/>
      <c r="AE93" s="591"/>
      <c r="AF93" s="591"/>
      <c r="AG93" s="591"/>
      <c r="AH93" s="591"/>
      <c r="AI93" s="591"/>
    </row>
    <row r="94" spans="2:35">
      <c r="B94" s="607"/>
      <c r="C94" s="608"/>
      <c r="D94" s="609"/>
      <c r="E94" s="608"/>
      <c r="F94" s="609"/>
      <c r="G94" s="608"/>
      <c r="H94" s="609"/>
      <c r="I94" s="608"/>
      <c r="J94" s="609"/>
      <c r="K94" s="608"/>
      <c r="L94" s="613"/>
      <c r="M94" s="603"/>
      <c r="N94" s="601"/>
      <c r="O94" s="613"/>
      <c r="P94" s="609"/>
      <c r="Q94" s="608"/>
      <c r="R94" s="609"/>
      <c r="S94" s="608"/>
      <c r="T94" s="609"/>
      <c r="V94" s="591"/>
      <c r="W94" s="591"/>
      <c r="X94" s="591"/>
      <c r="Y94" s="591"/>
      <c r="Z94" s="591"/>
      <c r="AA94" s="591"/>
      <c r="AB94" s="591"/>
      <c r="AC94" s="591"/>
      <c r="AD94" s="591"/>
      <c r="AE94" s="591"/>
      <c r="AF94" s="591"/>
      <c r="AG94" s="591"/>
      <c r="AH94" s="591"/>
      <c r="AI94" s="591"/>
    </row>
    <row r="95" s="590" customFormat="1" ht="15.95" customHeight="1" spans="2:35">
      <c r="B95" s="615"/>
      <c r="C95" s="594" t="s">
        <v>1021</v>
      </c>
      <c r="D95" s="595"/>
      <c r="E95" s="594" t="s">
        <v>1022</v>
      </c>
      <c r="F95" s="595"/>
      <c r="G95" s="594" t="s">
        <v>1023</v>
      </c>
      <c r="H95" s="595"/>
      <c r="I95" s="594" t="s">
        <v>1024</v>
      </c>
      <c r="J95" s="595"/>
      <c r="K95" s="594" t="s">
        <v>1025</v>
      </c>
      <c r="L95" s="595"/>
      <c r="M95" s="594" t="s">
        <v>1026</v>
      </c>
      <c r="N95" s="595"/>
      <c r="O95" s="594" t="s">
        <v>1027</v>
      </c>
      <c r="P95" s="595"/>
      <c r="Q95" s="594" t="s">
        <v>1028</v>
      </c>
      <c r="R95" s="595"/>
      <c r="S95" s="594" t="s">
        <v>1029</v>
      </c>
      <c r="T95" s="595"/>
      <c r="V95" s="616"/>
      <c r="W95" s="616"/>
      <c r="X95" s="616"/>
      <c r="Y95" s="616"/>
      <c r="Z95" s="616"/>
      <c r="AA95" s="616"/>
      <c r="AB95" s="616"/>
      <c r="AC95" s="616"/>
      <c r="AD95" s="616"/>
      <c r="AE95" s="616"/>
      <c r="AF95" s="616"/>
      <c r="AG95" s="616"/>
      <c r="AH95" s="616"/>
      <c r="AI95" s="616"/>
    </row>
    <row r="96" spans="2:35">
      <c r="B96" s="596" t="s">
        <v>1050</v>
      </c>
      <c r="C96" s="597" t="s">
        <v>454</v>
      </c>
      <c r="D96" s="598" t="s">
        <v>997</v>
      </c>
      <c r="E96" s="597" t="s">
        <v>1017</v>
      </c>
      <c r="F96" s="598" t="s">
        <v>447</v>
      </c>
      <c r="G96" s="597" t="s">
        <v>1003</v>
      </c>
      <c r="H96" s="598" t="s">
        <v>1007</v>
      </c>
      <c r="I96" s="597" t="s">
        <v>1006</v>
      </c>
      <c r="J96" s="598" t="s">
        <v>996</v>
      </c>
      <c r="K96" s="597" t="s">
        <v>1055</v>
      </c>
      <c r="L96" s="619"/>
      <c r="M96" s="597" t="s">
        <v>1000</v>
      </c>
      <c r="N96" s="598" t="s">
        <v>1012</v>
      </c>
      <c r="O96" s="612" t="s">
        <v>1009</v>
      </c>
      <c r="P96" s="598" t="s">
        <v>989</v>
      </c>
      <c r="Q96" s="597" t="s">
        <v>1016</v>
      </c>
      <c r="R96" s="598" t="s">
        <v>446</v>
      </c>
      <c r="S96" s="597" t="s">
        <v>993</v>
      </c>
      <c r="T96" s="598" t="s">
        <v>1010</v>
      </c>
      <c r="V96" s="591"/>
      <c r="W96" s="591"/>
      <c r="X96" s="591"/>
      <c r="Y96" s="591"/>
      <c r="Z96" s="591"/>
      <c r="AA96" s="591"/>
      <c r="AB96" s="591"/>
      <c r="AC96" s="591"/>
      <c r="AD96" s="591"/>
      <c r="AE96" s="591"/>
      <c r="AF96" s="591"/>
      <c r="AG96" s="591"/>
      <c r="AH96" s="591"/>
      <c r="AI96" s="591"/>
    </row>
    <row r="97" ht="15.95" customHeight="1" spans="2:35">
      <c r="B97" s="599"/>
      <c r="C97" s="600" t="s">
        <v>1013</v>
      </c>
      <c r="D97" s="601" t="s">
        <v>988</v>
      </c>
      <c r="E97" s="600" t="s">
        <v>1005</v>
      </c>
      <c r="F97" s="601" t="s">
        <v>980</v>
      </c>
      <c r="G97" s="600" t="s">
        <v>994</v>
      </c>
      <c r="H97" s="601" t="s">
        <v>978</v>
      </c>
      <c r="I97" s="600" t="s">
        <v>1015</v>
      </c>
      <c r="J97" s="601" t="s">
        <v>986</v>
      </c>
      <c r="K97" s="600"/>
      <c r="M97" s="600" t="s">
        <v>451</v>
      </c>
      <c r="N97" s="601" t="s">
        <v>1014</v>
      </c>
      <c r="O97" s="606" t="s">
        <v>974</v>
      </c>
      <c r="P97" s="601" t="s">
        <v>990</v>
      </c>
      <c r="Q97" s="600" t="s">
        <v>1004</v>
      </c>
      <c r="R97" s="601" t="s">
        <v>975</v>
      </c>
      <c r="S97" s="600" t="s">
        <v>992</v>
      </c>
      <c r="T97" s="601" t="s">
        <v>1011</v>
      </c>
      <c r="V97" s="591"/>
      <c r="W97" s="591"/>
      <c r="X97" s="591"/>
      <c r="Y97" s="591"/>
      <c r="Z97" s="591"/>
      <c r="AA97" s="591"/>
      <c r="AB97" s="591"/>
      <c r="AC97" s="591"/>
      <c r="AD97" s="591"/>
      <c r="AE97" s="591"/>
      <c r="AF97" s="591"/>
      <c r="AG97" s="591"/>
      <c r="AH97" s="591"/>
      <c r="AI97" s="591"/>
    </row>
    <row r="98" ht="15.95" customHeight="1" spans="2:35">
      <c r="B98" s="599"/>
      <c r="C98" s="600" t="s">
        <v>998</v>
      </c>
      <c r="D98" s="601" t="s">
        <v>973</v>
      </c>
      <c r="E98" s="603" t="s">
        <v>968</v>
      </c>
      <c r="F98" s="602" t="s">
        <v>958</v>
      </c>
      <c r="G98" s="600" t="s">
        <v>453</v>
      </c>
      <c r="H98" s="601" t="s">
        <v>450</v>
      </c>
      <c r="I98" s="603" t="s">
        <v>966</v>
      </c>
      <c r="J98" s="602" t="s">
        <v>999</v>
      </c>
      <c r="K98" s="600"/>
      <c r="M98" s="600" t="s">
        <v>1001</v>
      </c>
      <c r="N98" s="601" t="s">
        <v>452</v>
      </c>
      <c r="O98" s="606" t="s">
        <v>983</v>
      </c>
      <c r="P98" s="601" t="s">
        <v>984</v>
      </c>
      <c r="Q98" s="600" t="s">
        <v>979</v>
      </c>
      <c r="R98" s="601" t="s">
        <v>1002</v>
      </c>
      <c r="S98" s="600" t="s">
        <v>985</v>
      </c>
      <c r="T98" s="601" t="s">
        <v>982</v>
      </c>
      <c r="V98" s="591"/>
      <c r="W98" s="591"/>
      <c r="X98" s="591"/>
      <c r="Y98" s="591"/>
      <c r="Z98" s="591"/>
      <c r="AA98" s="591"/>
      <c r="AB98" s="591"/>
      <c r="AC98" s="591"/>
      <c r="AD98" s="591"/>
      <c r="AE98" s="591"/>
      <c r="AF98" s="591"/>
      <c r="AG98" s="591"/>
      <c r="AH98" s="591"/>
      <c r="AI98" s="591"/>
    </row>
    <row r="99" ht="15.95" customHeight="1" spans="2:35">
      <c r="B99" s="599"/>
      <c r="C99" s="600" t="s">
        <v>965</v>
      </c>
      <c r="D99" s="601" t="s">
        <v>945</v>
      </c>
      <c r="E99" s="603" t="s">
        <v>950</v>
      </c>
      <c r="F99" s="602" t="s">
        <v>964</v>
      </c>
      <c r="G99" s="603" t="s">
        <v>969</v>
      </c>
      <c r="H99" s="602" t="s">
        <v>951</v>
      </c>
      <c r="I99" s="603" t="s">
        <v>972</v>
      </c>
      <c r="J99" s="602" t="s">
        <v>952</v>
      </c>
      <c r="K99" s="600"/>
      <c r="M99" s="600" t="s">
        <v>1008</v>
      </c>
      <c r="N99" s="601" t="s">
        <v>991</v>
      </c>
      <c r="O99" s="606" t="s">
        <v>962</v>
      </c>
      <c r="P99" s="601" t="s">
        <v>448</v>
      </c>
      <c r="Q99" s="600" t="s">
        <v>981</v>
      </c>
      <c r="R99" s="601" t="s">
        <v>955</v>
      </c>
      <c r="S99" s="600" t="s">
        <v>967</v>
      </c>
      <c r="T99" s="601" t="s">
        <v>280</v>
      </c>
      <c r="V99" s="591"/>
      <c r="W99" s="591"/>
      <c r="X99" s="591"/>
      <c r="Y99" s="591"/>
      <c r="Z99" s="591"/>
      <c r="AA99" s="591"/>
      <c r="AB99" s="591"/>
      <c r="AC99" s="591"/>
      <c r="AD99" s="591"/>
      <c r="AE99" s="591"/>
      <c r="AF99" s="591"/>
      <c r="AG99" s="591"/>
      <c r="AH99" s="591"/>
      <c r="AI99" s="591"/>
    </row>
    <row r="100" ht="15.95" customHeight="1" spans="2:35">
      <c r="B100" s="599"/>
      <c r="C100" s="600" t="s">
        <v>947</v>
      </c>
      <c r="D100" s="601" t="s">
        <v>937</v>
      </c>
      <c r="E100" s="603" t="s">
        <v>301</v>
      </c>
      <c r="F100" s="602" t="s">
        <v>310</v>
      </c>
      <c r="G100" s="603" t="s">
        <v>298</v>
      </c>
      <c r="H100" s="602" t="s">
        <v>961</v>
      </c>
      <c r="I100" s="603" t="s">
        <v>957</v>
      </c>
      <c r="J100" s="602" t="s">
        <v>948</v>
      </c>
      <c r="K100" s="600"/>
      <c r="M100" s="600" t="s">
        <v>449</v>
      </c>
      <c r="N100" s="601" t="s">
        <v>977</v>
      </c>
      <c r="O100" s="606" t="s">
        <v>320</v>
      </c>
      <c r="P100" s="601"/>
      <c r="Q100" s="600" t="s">
        <v>956</v>
      </c>
      <c r="R100" s="601" t="s">
        <v>274</v>
      </c>
      <c r="S100" s="600"/>
      <c r="T100" s="601"/>
      <c r="V100" s="591"/>
      <c r="W100" s="591"/>
      <c r="X100" s="591"/>
      <c r="Y100" s="591"/>
      <c r="Z100" s="591"/>
      <c r="AA100" s="591"/>
      <c r="AB100" s="591"/>
      <c r="AC100" s="591"/>
      <c r="AD100" s="591"/>
      <c r="AE100" s="591"/>
      <c r="AF100" s="591"/>
      <c r="AG100" s="591"/>
      <c r="AH100" s="591"/>
      <c r="AI100" s="591"/>
    </row>
    <row r="101" ht="15.95" customHeight="1" spans="2:35">
      <c r="B101" s="599"/>
      <c r="C101" s="600" t="s">
        <v>931</v>
      </c>
      <c r="D101" s="601" t="s">
        <v>930</v>
      </c>
      <c r="E101" s="603" t="s">
        <v>314</v>
      </c>
      <c r="F101" s="602" t="s">
        <v>936</v>
      </c>
      <c r="G101" s="603" t="s">
        <v>293</v>
      </c>
      <c r="H101" s="602" t="s">
        <v>928</v>
      </c>
      <c r="I101" s="603" t="s">
        <v>283</v>
      </c>
      <c r="J101" s="602" t="s">
        <v>307</v>
      </c>
      <c r="K101" s="600"/>
      <c r="M101" s="600" t="s">
        <v>995</v>
      </c>
      <c r="N101" s="601" t="s">
        <v>970</v>
      </c>
      <c r="O101" s="606"/>
      <c r="P101" s="601"/>
      <c r="Q101" s="600" t="s">
        <v>277</v>
      </c>
      <c r="R101" s="601" t="s">
        <v>304</v>
      </c>
      <c r="S101" s="600"/>
      <c r="T101" s="601"/>
      <c r="V101" s="591"/>
      <c r="W101" s="591"/>
      <c r="X101" s="591"/>
      <c r="Y101" s="591"/>
      <c r="Z101" s="591"/>
      <c r="AA101" s="591"/>
      <c r="AB101" s="591"/>
      <c r="AC101" s="591"/>
      <c r="AD101" s="591"/>
      <c r="AE101" s="591"/>
      <c r="AF101" s="591"/>
      <c r="AG101" s="591"/>
      <c r="AH101" s="591"/>
      <c r="AI101" s="591"/>
    </row>
    <row r="102" ht="15.95" customHeight="1" spans="2:35">
      <c r="B102" s="599"/>
      <c r="C102" s="600"/>
      <c r="D102" s="601"/>
      <c r="E102" s="603" t="s">
        <v>935</v>
      </c>
      <c r="F102" s="602"/>
      <c r="G102" s="603"/>
      <c r="H102" s="602"/>
      <c r="I102" s="603"/>
      <c r="J102" s="602"/>
      <c r="K102" s="600"/>
      <c r="M102" s="600" t="s">
        <v>976</v>
      </c>
      <c r="N102" s="601" t="s">
        <v>971</v>
      </c>
      <c r="O102" s="606"/>
      <c r="P102" s="601"/>
      <c r="Q102" s="600"/>
      <c r="R102" s="601"/>
      <c r="S102" s="600"/>
      <c r="T102" s="601"/>
      <c r="V102" s="591"/>
      <c r="W102" s="591"/>
      <c r="X102" s="591"/>
      <c r="Y102" s="591"/>
      <c r="Z102" s="591"/>
      <c r="AA102" s="591"/>
      <c r="AB102" s="591"/>
      <c r="AC102" s="591"/>
      <c r="AD102" s="591"/>
      <c r="AE102" s="591"/>
      <c r="AF102" s="591"/>
      <c r="AG102" s="591"/>
      <c r="AH102" s="591"/>
      <c r="AI102" s="591"/>
    </row>
    <row r="103" ht="15.95" customHeight="1" spans="2:35">
      <c r="B103" s="599"/>
      <c r="C103" s="600"/>
      <c r="D103" s="601"/>
      <c r="E103" s="603"/>
      <c r="F103" s="602"/>
      <c r="G103" s="603"/>
      <c r="H103" s="602"/>
      <c r="I103" s="603"/>
      <c r="J103" s="602"/>
      <c r="K103" s="600"/>
      <c r="M103" s="600" t="s">
        <v>963</v>
      </c>
      <c r="N103" s="601" t="s">
        <v>271</v>
      </c>
      <c r="O103" s="606"/>
      <c r="P103" s="601"/>
      <c r="Q103" s="600"/>
      <c r="R103" s="601"/>
      <c r="S103" s="600"/>
      <c r="T103" s="601"/>
      <c r="V103" s="591"/>
      <c r="W103" s="591"/>
      <c r="X103" s="591"/>
      <c r="Y103" s="591"/>
      <c r="Z103" s="591"/>
      <c r="AA103" s="591"/>
      <c r="AB103" s="591"/>
      <c r="AC103" s="591"/>
      <c r="AD103" s="591"/>
      <c r="AE103" s="591"/>
      <c r="AF103" s="591"/>
      <c r="AG103" s="591"/>
      <c r="AH103" s="591"/>
      <c r="AI103" s="591"/>
    </row>
    <row r="104" ht="15.95" customHeight="1" spans="2:35">
      <c r="B104" s="599"/>
      <c r="C104" s="600"/>
      <c r="D104" s="601"/>
      <c r="E104" s="603"/>
      <c r="F104" s="602"/>
      <c r="G104" s="603"/>
      <c r="H104" s="602"/>
      <c r="I104" s="603"/>
      <c r="J104" s="602"/>
      <c r="K104" s="600"/>
      <c r="M104" s="600" t="s">
        <v>286</v>
      </c>
      <c r="N104" s="601" t="s">
        <v>943</v>
      </c>
      <c r="O104" s="606"/>
      <c r="P104" s="601"/>
      <c r="Q104" s="600"/>
      <c r="R104" s="601"/>
      <c r="S104" s="600"/>
      <c r="T104" s="601"/>
      <c r="V104" s="591"/>
      <c r="W104" s="591"/>
      <c r="X104" s="591"/>
      <c r="Y104" s="591"/>
      <c r="Z104" s="591"/>
      <c r="AA104" s="591"/>
      <c r="AB104" s="591"/>
      <c r="AC104" s="591"/>
      <c r="AD104" s="591"/>
      <c r="AE104" s="591"/>
      <c r="AF104" s="591"/>
      <c r="AG104" s="591"/>
      <c r="AH104" s="591"/>
      <c r="AI104" s="591"/>
    </row>
    <row r="105" ht="15.95" customHeight="1" spans="2:35">
      <c r="B105" s="599"/>
      <c r="C105" s="600"/>
      <c r="D105" s="601"/>
      <c r="E105" s="603"/>
      <c r="F105" s="602"/>
      <c r="G105" s="603"/>
      <c r="H105" s="602"/>
      <c r="I105" s="603"/>
      <c r="J105" s="602"/>
      <c r="K105" s="600"/>
      <c r="M105" s="600" t="s">
        <v>317</v>
      </c>
      <c r="N105" s="601" t="s">
        <v>289</v>
      </c>
      <c r="O105" s="606"/>
      <c r="P105" s="601"/>
      <c r="Q105" s="600"/>
      <c r="R105" s="601"/>
      <c r="S105" s="600"/>
      <c r="T105" s="601"/>
      <c r="V105" s="591"/>
      <c r="W105" s="591"/>
      <c r="X105" s="591"/>
      <c r="Y105" s="591"/>
      <c r="Z105" s="591"/>
      <c r="AA105" s="591"/>
      <c r="AB105" s="591"/>
      <c r="AC105" s="591"/>
      <c r="AD105" s="591"/>
      <c r="AE105" s="591"/>
      <c r="AF105" s="591"/>
      <c r="AG105" s="591"/>
      <c r="AH105" s="591"/>
      <c r="AI105" s="591"/>
    </row>
    <row r="106" ht="15.95" customHeight="1" spans="2:35">
      <c r="B106" s="599"/>
      <c r="C106" s="600"/>
      <c r="D106" s="601"/>
      <c r="E106" s="603"/>
      <c r="F106" s="602"/>
      <c r="G106" s="603"/>
      <c r="H106" s="602"/>
      <c r="I106" s="603"/>
      <c r="J106" s="602"/>
      <c r="K106" s="600"/>
      <c r="M106" s="600" t="s">
        <v>1056</v>
      </c>
      <c r="N106" s="601"/>
      <c r="O106" s="606"/>
      <c r="P106" s="601"/>
      <c r="Q106" s="600"/>
      <c r="R106" s="601"/>
      <c r="S106" s="600"/>
      <c r="T106" s="601"/>
      <c r="V106" s="591"/>
      <c r="W106" s="591"/>
      <c r="X106" s="591"/>
      <c r="Y106" s="591"/>
      <c r="Z106" s="591"/>
      <c r="AA106" s="591"/>
      <c r="AB106" s="591"/>
      <c r="AC106" s="591"/>
      <c r="AD106" s="591"/>
      <c r="AE106" s="591"/>
      <c r="AF106" s="591"/>
      <c r="AG106" s="591"/>
      <c r="AH106" s="591"/>
      <c r="AI106" s="591"/>
    </row>
    <row r="107" ht="15.95" customHeight="1" spans="2:35">
      <c r="B107" s="607"/>
      <c r="C107" s="608"/>
      <c r="D107" s="609"/>
      <c r="E107" s="618"/>
      <c r="F107" s="609"/>
      <c r="G107" s="608"/>
      <c r="H107" s="609"/>
      <c r="I107" s="618"/>
      <c r="J107" s="609"/>
      <c r="K107" s="618"/>
      <c r="L107" s="613"/>
      <c r="M107" s="608"/>
      <c r="N107" s="611"/>
      <c r="O107" s="613"/>
      <c r="P107" s="609"/>
      <c r="Q107" s="608"/>
      <c r="R107" s="609"/>
      <c r="S107" s="608"/>
      <c r="T107" s="609"/>
      <c r="V107" s="591"/>
      <c r="W107" s="591"/>
      <c r="X107" s="591"/>
      <c r="Y107" s="591"/>
      <c r="Z107" s="591"/>
      <c r="AA107" s="591"/>
      <c r="AB107" s="591"/>
      <c r="AC107" s="591"/>
      <c r="AD107" s="591"/>
      <c r="AE107" s="591"/>
      <c r="AF107" s="591"/>
      <c r="AG107" s="591"/>
      <c r="AH107" s="591"/>
      <c r="AI107" s="591"/>
    </row>
    <row r="108" s="590" customFormat="1" ht="15.95" customHeight="1" spans="2:35">
      <c r="B108" s="615"/>
      <c r="C108" s="594" t="s">
        <v>1021</v>
      </c>
      <c r="D108" s="595"/>
      <c r="E108" s="594" t="s">
        <v>1022</v>
      </c>
      <c r="F108" s="595"/>
      <c r="G108" s="594" t="s">
        <v>1023</v>
      </c>
      <c r="H108" s="595"/>
      <c r="I108" s="594" t="s">
        <v>1024</v>
      </c>
      <c r="J108" s="595"/>
      <c r="K108" s="594" t="s">
        <v>1025</v>
      </c>
      <c r="L108" s="595"/>
      <c r="M108" s="620" t="s">
        <v>1026</v>
      </c>
      <c r="N108" s="620"/>
      <c r="O108" s="594" t="s">
        <v>1027</v>
      </c>
      <c r="P108" s="595"/>
      <c r="Q108" s="594" t="s">
        <v>1028</v>
      </c>
      <c r="R108" s="595"/>
      <c r="S108" s="594" t="s">
        <v>1029</v>
      </c>
      <c r="T108" s="595"/>
      <c r="V108" s="616"/>
      <c r="W108" s="616"/>
      <c r="X108" s="616"/>
      <c r="Y108" s="616"/>
      <c r="Z108" s="616"/>
      <c r="AA108" s="616"/>
      <c r="AB108" s="616"/>
      <c r="AC108" s="616"/>
      <c r="AD108" s="616"/>
      <c r="AE108" s="616"/>
      <c r="AF108" s="616"/>
      <c r="AG108" s="616"/>
      <c r="AH108" s="616"/>
      <c r="AI108" s="616"/>
    </row>
    <row r="109" ht="15.95" customHeight="1" spans="2:35">
      <c r="B109" s="596" t="s">
        <v>1051</v>
      </c>
      <c r="C109" s="597" t="s">
        <v>1000</v>
      </c>
      <c r="D109" s="598" t="s">
        <v>451</v>
      </c>
      <c r="E109" s="597" t="s">
        <v>1003</v>
      </c>
      <c r="F109" s="598" t="s">
        <v>1007</v>
      </c>
      <c r="G109" s="597" t="s">
        <v>993</v>
      </c>
      <c r="H109" s="598" t="s">
        <v>452</v>
      </c>
      <c r="I109" s="597" t="s">
        <v>1017</v>
      </c>
      <c r="J109" s="598" t="s">
        <v>447</v>
      </c>
      <c r="K109" s="597" t="s">
        <v>981</v>
      </c>
      <c r="L109" s="617" t="s">
        <v>950</v>
      </c>
      <c r="M109" s="600" t="s">
        <v>1016</v>
      </c>
      <c r="N109" s="601" t="s">
        <v>446</v>
      </c>
      <c r="O109" s="597" t="s">
        <v>454</v>
      </c>
      <c r="P109" s="598" t="s">
        <v>1011</v>
      </c>
      <c r="Q109" s="597" t="s">
        <v>1009</v>
      </c>
      <c r="R109" s="598" t="s">
        <v>989</v>
      </c>
      <c r="S109" s="597" t="s">
        <v>1006</v>
      </c>
      <c r="T109" s="598" t="s">
        <v>1012</v>
      </c>
      <c r="V109" s="591"/>
      <c r="W109" s="591"/>
      <c r="X109" s="591"/>
      <c r="Y109" s="591"/>
      <c r="Z109" s="591"/>
      <c r="AA109" s="591"/>
      <c r="AB109" s="591"/>
      <c r="AC109" s="591"/>
      <c r="AD109" s="591"/>
      <c r="AE109" s="591"/>
      <c r="AF109" s="591"/>
      <c r="AG109" s="591"/>
      <c r="AH109" s="591"/>
      <c r="AI109" s="591"/>
    </row>
    <row r="110" ht="15.95" customHeight="1" spans="2:35">
      <c r="B110" s="599"/>
      <c r="C110" s="600" t="s">
        <v>1015</v>
      </c>
      <c r="D110" s="601" t="s">
        <v>1001</v>
      </c>
      <c r="E110" s="600" t="s">
        <v>994</v>
      </c>
      <c r="F110" s="601" t="s">
        <v>978</v>
      </c>
      <c r="G110" s="600" t="s">
        <v>988</v>
      </c>
      <c r="H110" s="601" t="s">
        <v>982</v>
      </c>
      <c r="I110" s="600" t="s">
        <v>1005</v>
      </c>
      <c r="J110" s="601" t="s">
        <v>980</v>
      </c>
      <c r="K110" s="600" t="s">
        <v>948</v>
      </c>
      <c r="L110" s="602" t="s">
        <v>274</v>
      </c>
      <c r="M110" s="600" t="s">
        <v>1004</v>
      </c>
      <c r="N110" s="601" t="s">
        <v>996</v>
      </c>
      <c r="O110" s="600" t="s">
        <v>1008</v>
      </c>
      <c r="P110" s="601" t="s">
        <v>998</v>
      </c>
      <c r="Q110" s="600" t="s">
        <v>974</v>
      </c>
      <c r="R110" s="602" t="s">
        <v>990</v>
      </c>
      <c r="S110" s="600" t="s">
        <v>997</v>
      </c>
      <c r="T110" s="601" t="s">
        <v>1013</v>
      </c>
      <c r="V110" s="591"/>
      <c r="W110" s="591"/>
      <c r="X110" s="591"/>
      <c r="Y110" s="591"/>
      <c r="Z110" s="591"/>
      <c r="AA110" s="591"/>
      <c r="AB110" s="591"/>
      <c r="AC110" s="591"/>
      <c r="AD110" s="591"/>
      <c r="AE110" s="591"/>
      <c r="AF110" s="591"/>
      <c r="AG110" s="591"/>
      <c r="AH110" s="591"/>
      <c r="AI110" s="591"/>
    </row>
    <row r="111" ht="15.95" customHeight="1" spans="2:35">
      <c r="B111" s="599"/>
      <c r="C111" s="603" t="s">
        <v>449</v>
      </c>
      <c r="D111" s="602" t="s">
        <v>995</v>
      </c>
      <c r="E111" s="600" t="s">
        <v>453</v>
      </c>
      <c r="F111" s="602" t="s">
        <v>450</v>
      </c>
      <c r="G111" s="600" t="s">
        <v>973</v>
      </c>
      <c r="H111" s="602" t="s">
        <v>965</v>
      </c>
      <c r="I111" s="603" t="s">
        <v>968</v>
      </c>
      <c r="J111" s="602" t="s">
        <v>958</v>
      </c>
      <c r="K111" s="600" t="s">
        <v>289</v>
      </c>
      <c r="L111" s="602" t="s">
        <v>935</v>
      </c>
      <c r="M111" s="600" t="s">
        <v>1010</v>
      </c>
      <c r="N111" s="601" t="s">
        <v>992</v>
      </c>
      <c r="O111" s="600" t="s">
        <v>977</v>
      </c>
      <c r="P111" s="602" t="s">
        <v>976</v>
      </c>
      <c r="Q111" s="600" t="s">
        <v>983</v>
      </c>
      <c r="R111" s="601" t="s">
        <v>984</v>
      </c>
      <c r="S111" s="600" t="s">
        <v>991</v>
      </c>
      <c r="T111" s="602" t="s">
        <v>970</v>
      </c>
      <c r="V111" s="591"/>
      <c r="W111" s="591"/>
      <c r="X111" s="591"/>
      <c r="Y111" s="591"/>
      <c r="Z111" s="591"/>
      <c r="AA111" s="591"/>
      <c r="AB111" s="591"/>
      <c r="AC111" s="591"/>
      <c r="AD111" s="591"/>
      <c r="AE111" s="591"/>
      <c r="AF111" s="591"/>
      <c r="AG111" s="591"/>
      <c r="AH111" s="591"/>
      <c r="AI111" s="591"/>
    </row>
    <row r="112" ht="15.95" customHeight="1" spans="2:35">
      <c r="B112" s="599"/>
      <c r="C112" s="600" t="s">
        <v>966</v>
      </c>
      <c r="D112" s="601" t="s">
        <v>972</v>
      </c>
      <c r="E112" s="603" t="s">
        <v>969</v>
      </c>
      <c r="F112" s="602" t="s">
        <v>951</v>
      </c>
      <c r="G112" s="603" t="s">
        <v>1055</v>
      </c>
      <c r="H112" s="602" t="s">
        <v>945</v>
      </c>
      <c r="I112" s="603" t="s">
        <v>298</v>
      </c>
      <c r="J112" s="602" t="s">
        <v>301</v>
      </c>
      <c r="K112" s="600"/>
      <c r="L112" s="602"/>
      <c r="M112" s="600" t="s">
        <v>1014</v>
      </c>
      <c r="N112" s="601" t="s">
        <v>975</v>
      </c>
      <c r="O112" s="600" t="s">
        <v>963</v>
      </c>
      <c r="P112" s="601" t="s">
        <v>943</v>
      </c>
      <c r="Q112" s="600" t="s">
        <v>962</v>
      </c>
      <c r="R112" s="601" t="s">
        <v>448</v>
      </c>
      <c r="S112" s="600" t="s">
        <v>952</v>
      </c>
      <c r="T112" s="601" t="s">
        <v>964</v>
      </c>
      <c r="V112" s="591"/>
      <c r="W112" s="591"/>
      <c r="X112" s="591"/>
      <c r="Y112" s="591"/>
      <c r="Z112" s="591"/>
      <c r="AA112" s="591"/>
      <c r="AB112" s="591"/>
      <c r="AC112" s="591"/>
      <c r="AD112" s="591"/>
      <c r="AE112" s="591"/>
      <c r="AF112" s="591"/>
      <c r="AG112" s="591"/>
      <c r="AH112" s="591"/>
      <c r="AI112" s="591"/>
    </row>
    <row r="113" ht="15.95" customHeight="1" spans="2:35">
      <c r="B113" s="599"/>
      <c r="C113" s="600"/>
      <c r="D113" s="601"/>
      <c r="E113" s="603" t="s">
        <v>280</v>
      </c>
      <c r="F113" s="602" t="s">
        <v>286</v>
      </c>
      <c r="G113" s="603" t="s">
        <v>271</v>
      </c>
      <c r="H113" s="602"/>
      <c r="I113" s="600" t="s">
        <v>310</v>
      </c>
      <c r="J113" s="602" t="s">
        <v>320</v>
      </c>
      <c r="K113" s="600"/>
      <c r="L113" s="602"/>
      <c r="M113" s="600" t="s">
        <v>979</v>
      </c>
      <c r="N113" s="601" t="s">
        <v>986</v>
      </c>
      <c r="O113" s="600" t="s">
        <v>931</v>
      </c>
      <c r="P113" s="601"/>
      <c r="Q113" s="600" t="s">
        <v>957</v>
      </c>
      <c r="R113" s="601" t="s">
        <v>283</v>
      </c>
      <c r="S113" s="600" t="s">
        <v>317</v>
      </c>
      <c r="T113" s="601" t="s">
        <v>936</v>
      </c>
      <c r="V113" s="591"/>
      <c r="W113" s="591"/>
      <c r="X113" s="591"/>
      <c r="Y113" s="591"/>
      <c r="Z113" s="591"/>
      <c r="AA113" s="591"/>
      <c r="AB113" s="591"/>
      <c r="AC113" s="591"/>
      <c r="AD113" s="591"/>
      <c r="AE113" s="591"/>
      <c r="AF113" s="591"/>
      <c r="AG113" s="591"/>
      <c r="AH113" s="591"/>
      <c r="AI113" s="591"/>
    </row>
    <row r="114" ht="15.95" customHeight="1" spans="2:35">
      <c r="B114" s="599"/>
      <c r="C114" s="600"/>
      <c r="D114" s="601"/>
      <c r="E114" s="603" t="s">
        <v>961</v>
      </c>
      <c r="F114" s="602" t="s">
        <v>930</v>
      </c>
      <c r="G114" s="603"/>
      <c r="H114" s="602"/>
      <c r="I114" s="600"/>
      <c r="J114" s="602"/>
      <c r="K114" s="600"/>
      <c r="L114" s="602"/>
      <c r="M114" s="600" t="s">
        <v>1002</v>
      </c>
      <c r="N114" s="601" t="s">
        <v>985</v>
      </c>
      <c r="O114" s="600"/>
      <c r="P114" s="601"/>
      <c r="Q114" s="600" t="s">
        <v>307</v>
      </c>
      <c r="R114" s="601" t="s">
        <v>314</v>
      </c>
      <c r="S114" s="600" t="s">
        <v>1056</v>
      </c>
      <c r="T114" s="601"/>
      <c r="V114" s="591"/>
      <c r="W114" s="591"/>
      <c r="X114" s="591"/>
      <c r="Y114" s="591"/>
      <c r="Z114" s="591"/>
      <c r="AA114" s="591"/>
      <c r="AB114" s="591"/>
      <c r="AC114" s="591"/>
      <c r="AD114" s="591"/>
      <c r="AE114" s="591"/>
      <c r="AF114" s="591"/>
      <c r="AG114" s="591"/>
      <c r="AH114" s="591"/>
      <c r="AI114" s="591"/>
    </row>
    <row r="115" ht="15.95" customHeight="1" spans="2:35">
      <c r="B115" s="599"/>
      <c r="C115" s="600"/>
      <c r="D115" s="601"/>
      <c r="E115" s="603"/>
      <c r="F115" s="602"/>
      <c r="G115" s="603"/>
      <c r="H115" s="602"/>
      <c r="I115" s="600"/>
      <c r="J115" s="602"/>
      <c r="K115" s="600"/>
      <c r="L115" s="602"/>
      <c r="M115" s="600" t="s">
        <v>999</v>
      </c>
      <c r="N115" s="601" t="s">
        <v>955</v>
      </c>
      <c r="O115" s="600"/>
      <c r="P115" s="601"/>
      <c r="Q115" s="600"/>
      <c r="R115" s="601"/>
      <c r="S115" s="600"/>
      <c r="T115" s="601"/>
      <c r="V115" s="591"/>
      <c r="W115" s="591"/>
      <c r="X115" s="591"/>
      <c r="Y115" s="591"/>
      <c r="Z115" s="591"/>
      <c r="AA115" s="591"/>
      <c r="AB115" s="591"/>
      <c r="AC115" s="591"/>
      <c r="AD115" s="591"/>
      <c r="AE115" s="591"/>
      <c r="AF115" s="591"/>
      <c r="AG115" s="591"/>
      <c r="AH115" s="591"/>
      <c r="AI115" s="591"/>
    </row>
    <row r="116" ht="15.95" customHeight="1" spans="2:35">
      <c r="B116" s="599"/>
      <c r="C116" s="600"/>
      <c r="D116" s="601"/>
      <c r="E116" s="603"/>
      <c r="F116" s="602"/>
      <c r="G116" s="603"/>
      <c r="H116" s="602"/>
      <c r="I116" s="600"/>
      <c r="J116" s="602"/>
      <c r="K116" s="600"/>
      <c r="L116" s="602"/>
      <c r="M116" s="600" t="s">
        <v>956</v>
      </c>
      <c r="N116" s="601" t="s">
        <v>971</v>
      </c>
      <c r="O116" s="600"/>
      <c r="P116" s="601"/>
      <c r="Q116" s="600"/>
      <c r="R116" s="601"/>
      <c r="S116" s="600"/>
      <c r="T116" s="601"/>
      <c r="V116" s="591"/>
      <c r="W116" s="591"/>
      <c r="X116" s="591"/>
      <c r="Y116" s="591"/>
      <c r="Z116" s="591"/>
      <c r="AA116" s="591"/>
      <c r="AB116" s="591"/>
      <c r="AC116" s="591"/>
      <c r="AD116" s="591"/>
      <c r="AE116" s="591"/>
      <c r="AF116" s="591"/>
      <c r="AG116" s="591"/>
      <c r="AH116" s="591"/>
      <c r="AI116" s="591"/>
    </row>
    <row r="117" ht="15.95" customHeight="1" spans="2:35">
      <c r="B117" s="599"/>
      <c r="C117" s="600"/>
      <c r="D117" s="601"/>
      <c r="E117" s="603"/>
      <c r="F117" s="602"/>
      <c r="G117" s="603"/>
      <c r="H117" s="602"/>
      <c r="I117" s="600"/>
      <c r="J117" s="602"/>
      <c r="K117" s="600"/>
      <c r="L117" s="602"/>
      <c r="M117" s="600" t="s">
        <v>967</v>
      </c>
      <c r="N117" s="601" t="s">
        <v>277</v>
      </c>
      <c r="O117" s="600"/>
      <c r="P117" s="601"/>
      <c r="Q117" s="600"/>
      <c r="R117" s="601"/>
      <c r="S117" s="600"/>
      <c r="T117" s="601"/>
      <c r="V117" s="591"/>
      <c r="W117" s="591"/>
      <c r="X117" s="591"/>
      <c r="Y117" s="591"/>
      <c r="Z117" s="591"/>
      <c r="AA117" s="591"/>
      <c r="AB117" s="591"/>
      <c r="AC117" s="591"/>
      <c r="AD117" s="591"/>
      <c r="AE117" s="591"/>
      <c r="AF117" s="591"/>
      <c r="AG117" s="591"/>
      <c r="AH117" s="591"/>
      <c r="AI117" s="591"/>
    </row>
    <row r="118" ht="15.95" customHeight="1" spans="2:35">
      <c r="B118" s="599"/>
      <c r="C118" s="600"/>
      <c r="D118" s="601"/>
      <c r="E118" s="603"/>
      <c r="F118" s="602"/>
      <c r="G118" s="603"/>
      <c r="H118" s="602"/>
      <c r="I118" s="600"/>
      <c r="J118" s="602"/>
      <c r="K118" s="600"/>
      <c r="L118" s="602"/>
      <c r="M118" s="600" t="s">
        <v>947</v>
      </c>
      <c r="N118" s="601" t="s">
        <v>304</v>
      </c>
      <c r="O118" s="600"/>
      <c r="P118" s="601"/>
      <c r="Q118" s="600"/>
      <c r="R118" s="601"/>
      <c r="S118" s="600"/>
      <c r="T118" s="601"/>
      <c r="V118" s="591"/>
      <c r="W118" s="591"/>
      <c r="X118" s="591"/>
      <c r="Y118" s="591"/>
      <c r="Z118" s="591"/>
      <c r="AA118" s="591"/>
      <c r="AB118" s="591"/>
      <c r="AC118" s="591"/>
      <c r="AD118" s="591"/>
      <c r="AE118" s="591"/>
      <c r="AF118" s="591"/>
      <c r="AG118" s="591"/>
      <c r="AH118" s="591"/>
      <c r="AI118" s="591"/>
    </row>
    <row r="119" ht="15.95" customHeight="1" spans="2:35">
      <c r="B119" s="599"/>
      <c r="C119" s="600"/>
      <c r="D119" s="601"/>
      <c r="E119" s="603"/>
      <c r="F119" s="602"/>
      <c r="G119" s="603"/>
      <c r="H119" s="602"/>
      <c r="I119" s="600"/>
      <c r="J119" s="602"/>
      <c r="K119" s="600"/>
      <c r="L119" s="602"/>
      <c r="M119" s="600" t="s">
        <v>937</v>
      </c>
      <c r="N119" s="601" t="s">
        <v>293</v>
      </c>
      <c r="O119" s="600"/>
      <c r="P119" s="601"/>
      <c r="Q119" s="600"/>
      <c r="R119" s="601"/>
      <c r="S119" s="600"/>
      <c r="T119" s="601"/>
      <c r="V119" s="591"/>
      <c r="W119" s="591"/>
      <c r="X119" s="591"/>
      <c r="Y119" s="591"/>
      <c r="Z119" s="591"/>
      <c r="AA119" s="591"/>
      <c r="AB119" s="591"/>
      <c r="AC119" s="591"/>
      <c r="AD119" s="591"/>
      <c r="AE119" s="591"/>
      <c r="AF119" s="591"/>
      <c r="AG119" s="591"/>
      <c r="AH119" s="591"/>
      <c r="AI119" s="591"/>
    </row>
    <row r="120" ht="15.95" customHeight="1" spans="2:35">
      <c r="B120" s="599"/>
      <c r="C120" s="600"/>
      <c r="D120" s="601"/>
      <c r="E120" s="603"/>
      <c r="F120" s="602"/>
      <c r="G120" s="603"/>
      <c r="H120" s="602"/>
      <c r="I120" s="600"/>
      <c r="J120" s="602"/>
      <c r="K120" s="600"/>
      <c r="L120" s="602"/>
      <c r="M120" s="600" t="s">
        <v>928</v>
      </c>
      <c r="N120" s="601"/>
      <c r="O120" s="600"/>
      <c r="P120" s="601"/>
      <c r="Q120" s="600"/>
      <c r="R120" s="601"/>
      <c r="S120" s="600"/>
      <c r="T120" s="601"/>
      <c r="V120" s="591"/>
      <c r="W120" s="591"/>
      <c r="X120" s="591"/>
      <c r="Y120" s="591"/>
      <c r="Z120" s="591"/>
      <c r="AA120" s="591"/>
      <c r="AB120" s="591"/>
      <c r="AC120" s="591"/>
      <c r="AD120" s="591"/>
      <c r="AE120" s="591"/>
      <c r="AF120" s="591"/>
      <c r="AG120" s="591"/>
      <c r="AH120" s="591"/>
      <c r="AI120" s="591"/>
    </row>
    <row r="121" ht="15.95" customHeight="1" spans="2:35">
      <c r="B121" s="607"/>
      <c r="C121" s="608"/>
      <c r="D121" s="609"/>
      <c r="E121" s="608"/>
      <c r="F121" s="609"/>
      <c r="G121" s="608"/>
      <c r="H121" s="609"/>
      <c r="I121" s="608"/>
      <c r="J121" s="609"/>
      <c r="K121" s="608"/>
      <c r="L121" s="609"/>
      <c r="M121" s="618"/>
      <c r="N121" s="611"/>
      <c r="O121" s="608"/>
      <c r="P121" s="609"/>
      <c r="Q121" s="608"/>
      <c r="R121" s="609"/>
      <c r="S121" s="608"/>
      <c r="T121" s="609"/>
      <c r="V121" s="591"/>
      <c r="W121" s="591"/>
      <c r="X121" s="591"/>
      <c r="Y121" s="591"/>
      <c r="Z121" s="591"/>
      <c r="AA121" s="591"/>
      <c r="AB121" s="591"/>
      <c r="AC121" s="591"/>
      <c r="AD121" s="591"/>
      <c r="AE121" s="591"/>
      <c r="AF121" s="591"/>
      <c r="AG121" s="591"/>
      <c r="AH121" s="591"/>
      <c r="AI121" s="591"/>
    </row>
    <row r="122" s="590" customFormat="1" ht="15.95" customHeight="1" spans="2:35">
      <c r="B122" s="615"/>
      <c r="C122" s="594" t="s">
        <v>1021</v>
      </c>
      <c r="D122" s="595"/>
      <c r="E122" s="594" t="s">
        <v>1022</v>
      </c>
      <c r="F122" s="595"/>
      <c r="G122" s="594" t="s">
        <v>1023</v>
      </c>
      <c r="H122" s="595"/>
      <c r="I122" s="594" t="s">
        <v>1024</v>
      </c>
      <c r="J122" s="595"/>
      <c r="K122" s="594" t="s">
        <v>1025</v>
      </c>
      <c r="L122" s="595"/>
      <c r="M122" s="594" t="s">
        <v>1026</v>
      </c>
      <c r="N122" s="595"/>
      <c r="O122" s="594" t="s">
        <v>1027</v>
      </c>
      <c r="P122" s="595"/>
      <c r="Q122" s="594" t="s">
        <v>1028</v>
      </c>
      <c r="R122" s="595"/>
      <c r="S122" s="594" t="s">
        <v>1029</v>
      </c>
      <c r="T122" s="595"/>
      <c r="V122" s="616"/>
      <c r="W122" s="616"/>
      <c r="X122" s="616"/>
      <c r="Y122" s="616"/>
      <c r="Z122" s="616"/>
      <c r="AA122" s="616"/>
      <c r="AB122" s="616"/>
      <c r="AC122" s="616"/>
      <c r="AD122" s="616"/>
      <c r="AE122" s="616"/>
      <c r="AF122" s="616"/>
      <c r="AG122" s="616"/>
      <c r="AH122" s="616"/>
      <c r="AI122" s="616"/>
    </row>
    <row r="123" ht="15.95" customHeight="1" spans="2:35">
      <c r="B123" s="596" t="s">
        <v>1052</v>
      </c>
      <c r="C123" s="597" t="s">
        <v>446</v>
      </c>
      <c r="D123" s="598" t="s">
        <v>1005</v>
      </c>
      <c r="E123" s="597" t="s">
        <v>993</v>
      </c>
      <c r="F123" s="598" t="s">
        <v>452</v>
      </c>
      <c r="G123" s="597" t="s">
        <v>1010</v>
      </c>
      <c r="H123" s="598" t="s">
        <v>451</v>
      </c>
      <c r="I123" s="597" t="s">
        <v>1003</v>
      </c>
      <c r="J123" s="598" t="s">
        <v>1007</v>
      </c>
      <c r="K123" s="597" t="s">
        <v>956</v>
      </c>
      <c r="L123" s="617" t="s">
        <v>957</v>
      </c>
      <c r="M123" s="597" t="s">
        <v>1006</v>
      </c>
      <c r="N123" s="598" t="s">
        <v>1017</v>
      </c>
      <c r="O123" s="597" t="s">
        <v>997</v>
      </c>
      <c r="P123" s="598" t="s">
        <v>992</v>
      </c>
      <c r="Q123" s="597" t="s">
        <v>454</v>
      </c>
      <c r="R123" s="598" t="s">
        <v>1011</v>
      </c>
      <c r="S123" s="597" t="s">
        <v>1000</v>
      </c>
      <c r="T123" s="598" t="s">
        <v>1016</v>
      </c>
      <c r="V123" s="591"/>
      <c r="W123" s="591"/>
      <c r="X123" s="591"/>
      <c r="Y123" s="591"/>
      <c r="Z123" s="591"/>
      <c r="AA123" s="591"/>
      <c r="AB123" s="591"/>
      <c r="AC123" s="591"/>
      <c r="AD123" s="591"/>
      <c r="AE123" s="591"/>
      <c r="AF123" s="591"/>
      <c r="AG123" s="591"/>
      <c r="AH123" s="591"/>
      <c r="AI123" s="591"/>
    </row>
    <row r="124" ht="15.95" customHeight="1" spans="2:35">
      <c r="B124" s="599"/>
      <c r="C124" s="600" t="s">
        <v>996</v>
      </c>
      <c r="D124" s="601" t="s">
        <v>1014</v>
      </c>
      <c r="E124" s="600" t="s">
        <v>988</v>
      </c>
      <c r="F124" s="601" t="s">
        <v>982</v>
      </c>
      <c r="G124" s="600" t="s">
        <v>1013</v>
      </c>
      <c r="H124" s="602" t="s">
        <v>449</v>
      </c>
      <c r="I124" s="600" t="s">
        <v>994</v>
      </c>
      <c r="J124" s="602" t="s">
        <v>978</v>
      </c>
      <c r="K124" s="600" t="s">
        <v>283</v>
      </c>
      <c r="L124" s="602" t="s">
        <v>307</v>
      </c>
      <c r="M124" s="600" t="s">
        <v>1004</v>
      </c>
      <c r="N124" s="601" t="s">
        <v>1012</v>
      </c>
      <c r="O124" s="600" t="s">
        <v>1001</v>
      </c>
      <c r="P124" s="601" t="s">
        <v>985</v>
      </c>
      <c r="Q124" s="600" t="s">
        <v>1008</v>
      </c>
      <c r="R124" s="601" t="s">
        <v>998</v>
      </c>
      <c r="S124" s="600" t="s">
        <v>447</v>
      </c>
      <c r="T124" s="601" t="s">
        <v>1015</v>
      </c>
      <c r="V124" s="591"/>
      <c r="W124" s="591"/>
      <c r="X124" s="591"/>
      <c r="Y124" s="591"/>
      <c r="Z124" s="591"/>
      <c r="AA124" s="591"/>
      <c r="AB124" s="591"/>
      <c r="AC124" s="591"/>
      <c r="AD124" s="591"/>
      <c r="AE124" s="591"/>
      <c r="AF124" s="591"/>
      <c r="AG124" s="591"/>
      <c r="AH124" s="591"/>
      <c r="AI124" s="591"/>
    </row>
    <row r="125" ht="15.95" customHeight="1" spans="2:35">
      <c r="B125" s="599"/>
      <c r="C125" s="600" t="s">
        <v>979</v>
      </c>
      <c r="D125" s="601" t="s">
        <v>986</v>
      </c>
      <c r="E125" s="600" t="s">
        <v>973</v>
      </c>
      <c r="F125" s="602" t="s">
        <v>965</v>
      </c>
      <c r="G125" s="603" t="s">
        <v>995</v>
      </c>
      <c r="H125" s="602" t="s">
        <v>966</v>
      </c>
      <c r="I125" s="600" t="s">
        <v>453</v>
      </c>
      <c r="J125" s="602" t="s">
        <v>450</v>
      </c>
      <c r="K125" s="600" t="s">
        <v>317</v>
      </c>
      <c r="L125" s="602"/>
      <c r="M125" s="600" t="s">
        <v>1009</v>
      </c>
      <c r="N125" s="601" t="s">
        <v>991</v>
      </c>
      <c r="O125" s="603" t="s">
        <v>971</v>
      </c>
      <c r="P125" s="602" t="s">
        <v>930</v>
      </c>
      <c r="Q125" s="600" t="s">
        <v>977</v>
      </c>
      <c r="R125" s="602" t="s">
        <v>976</v>
      </c>
      <c r="S125" s="600" t="s">
        <v>975</v>
      </c>
      <c r="T125" s="602" t="s">
        <v>955</v>
      </c>
      <c r="V125" s="591"/>
      <c r="W125" s="591"/>
      <c r="X125" s="591"/>
      <c r="Y125" s="591"/>
      <c r="Z125" s="591"/>
      <c r="AA125" s="591"/>
      <c r="AB125" s="591"/>
      <c r="AC125" s="591"/>
      <c r="AD125" s="591"/>
      <c r="AE125" s="591"/>
      <c r="AF125" s="591"/>
      <c r="AG125" s="591"/>
      <c r="AH125" s="591"/>
      <c r="AI125" s="591"/>
    </row>
    <row r="126" ht="15.95" customHeight="1" spans="2:35">
      <c r="B126" s="599"/>
      <c r="C126" s="600" t="s">
        <v>1002</v>
      </c>
      <c r="D126" s="602" t="s">
        <v>981</v>
      </c>
      <c r="E126" s="603" t="s">
        <v>1055</v>
      </c>
      <c r="F126" s="602" t="s">
        <v>948</v>
      </c>
      <c r="G126" s="603" t="s">
        <v>972</v>
      </c>
      <c r="H126" s="602" t="s">
        <v>952</v>
      </c>
      <c r="I126" s="603" t="s">
        <v>969</v>
      </c>
      <c r="J126" s="602" t="s">
        <v>951</v>
      </c>
      <c r="K126" s="603"/>
      <c r="L126" s="602"/>
      <c r="M126" s="600" t="s">
        <v>980</v>
      </c>
      <c r="N126" s="601" t="s">
        <v>989</v>
      </c>
      <c r="O126" s="603"/>
      <c r="P126" s="602"/>
      <c r="Q126" s="603" t="s">
        <v>967</v>
      </c>
      <c r="R126" s="602" t="s">
        <v>943</v>
      </c>
      <c r="S126" s="603" t="s">
        <v>963</v>
      </c>
      <c r="T126" s="602" t="s">
        <v>274</v>
      </c>
      <c r="V126" s="591"/>
      <c r="W126" s="591"/>
      <c r="X126" s="591"/>
      <c r="Y126" s="591"/>
      <c r="Z126" s="591"/>
      <c r="AA126" s="591"/>
      <c r="AB126" s="591"/>
      <c r="AC126" s="591"/>
      <c r="AD126" s="591"/>
      <c r="AE126" s="591"/>
      <c r="AF126" s="591"/>
      <c r="AG126" s="591"/>
      <c r="AH126" s="591"/>
      <c r="AI126" s="591"/>
    </row>
    <row r="127" ht="15.95" customHeight="1" spans="2:35">
      <c r="B127" s="599"/>
      <c r="C127" s="600" t="s">
        <v>999</v>
      </c>
      <c r="D127" s="602" t="s">
        <v>950</v>
      </c>
      <c r="E127" s="603" t="s">
        <v>945</v>
      </c>
      <c r="F127" s="602" t="s">
        <v>271</v>
      </c>
      <c r="G127" s="603" t="s">
        <v>280</v>
      </c>
      <c r="H127" s="602" t="s">
        <v>935</v>
      </c>
      <c r="I127" s="603" t="s">
        <v>961</v>
      </c>
      <c r="J127" s="602" t="s">
        <v>937</v>
      </c>
      <c r="K127" s="600"/>
      <c r="L127" s="602"/>
      <c r="M127" s="600" t="s">
        <v>974</v>
      </c>
      <c r="N127" s="602" t="s">
        <v>990</v>
      </c>
      <c r="O127" s="603"/>
      <c r="P127" s="602"/>
      <c r="Q127" s="603" t="s">
        <v>931</v>
      </c>
      <c r="R127" s="602" t="s">
        <v>928</v>
      </c>
      <c r="S127" s="603" t="s">
        <v>286</v>
      </c>
      <c r="T127" s="602" t="s">
        <v>301</v>
      </c>
      <c r="V127" s="591"/>
      <c r="W127" s="591"/>
      <c r="X127" s="591"/>
      <c r="Y127" s="591"/>
      <c r="Z127" s="591"/>
      <c r="AA127" s="591"/>
      <c r="AB127" s="591"/>
      <c r="AC127" s="591"/>
      <c r="AD127" s="591"/>
      <c r="AE127" s="591"/>
      <c r="AF127" s="591"/>
      <c r="AG127" s="591"/>
      <c r="AH127" s="591"/>
      <c r="AI127" s="591"/>
    </row>
    <row r="128" ht="15.95" customHeight="1" spans="2:35">
      <c r="B128" s="599"/>
      <c r="C128" s="600" t="s">
        <v>289</v>
      </c>
      <c r="D128" s="602"/>
      <c r="E128" s="603" t="s">
        <v>947</v>
      </c>
      <c r="F128" s="602" t="s">
        <v>304</v>
      </c>
      <c r="G128" s="603" t="s">
        <v>1056</v>
      </c>
      <c r="H128" s="602"/>
      <c r="I128" s="603"/>
      <c r="J128" s="602"/>
      <c r="K128" s="600"/>
      <c r="L128" s="602"/>
      <c r="M128" s="600" t="s">
        <v>983</v>
      </c>
      <c r="N128" s="602" t="s">
        <v>984</v>
      </c>
      <c r="O128" s="603"/>
      <c r="P128" s="602"/>
      <c r="Q128" s="603"/>
      <c r="R128" s="602"/>
      <c r="S128" s="603" t="s">
        <v>310</v>
      </c>
      <c r="T128" s="602" t="s">
        <v>314</v>
      </c>
      <c r="V128" s="591"/>
      <c r="W128" s="591"/>
      <c r="X128" s="591"/>
      <c r="Y128" s="591"/>
      <c r="Z128" s="591"/>
      <c r="AA128" s="591"/>
      <c r="AB128" s="591"/>
      <c r="AC128" s="591"/>
      <c r="AD128" s="591"/>
      <c r="AE128" s="591"/>
      <c r="AF128" s="591"/>
      <c r="AG128" s="591"/>
      <c r="AH128" s="591"/>
      <c r="AI128" s="591"/>
    </row>
    <row r="129" ht="15.95" customHeight="1" spans="2:35">
      <c r="B129" s="599"/>
      <c r="C129" s="600"/>
      <c r="D129" s="602"/>
      <c r="E129" s="603" t="s">
        <v>320</v>
      </c>
      <c r="F129" s="602" t="s">
        <v>293</v>
      </c>
      <c r="G129" s="603"/>
      <c r="H129" s="602"/>
      <c r="I129" s="603"/>
      <c r="J129" s="602"/>
      <c r="K129" s="600"/>
      <c r="L129" s="602"/>
      <c r="M129" s="606" t="s">
        <v>962</v>
      </c>
      <c r="N129" s="591" t="s">
        <v>958</v>
      </c>
      <c r="O129" s="603"/>
      <c r="P129" s="602"/>
      <c r="Q129" s="603"/>
      <c r="R129" s="602"/>
      <c r="S129" s="603"/>
      <c r="T129" s="602"/>
      <c r="V129" s="591"/>
      <c r="W129" s="591"/>
      <c r="X129" s="591"/>
      <c r="Y129" s="591"/>
      <c r="Z129" s="591"/>
      <c r="AA129" s="591"/>
      <c r="AB129" s="591"/>
      <c r="AC129" s="591"/>
      <c r="AD129" s="591"/>
      <c r="AE129" s="591"/>
      <c r="AF129" s="591"/>
      <c r="AG129" s="591"/>
      <c r="AH129" s="591"/>
      <c r="AI129" s="591"/>
    </row>
    <row r="130" ht="15.95" customHeight="1" spans="2:35">
      <c r="B130" s="599"/>
      <c r="C130" s="600"/>
      <c r="D130" s="602"/>
      <c r="E130" s="603"/>
      <c r="F130" s="602"/>
      <c r="G130" s="603"/>
      <c r="H130" s="602"/>
      <c r="I130" s="603"/>
      <c r="J130" s="602"/>
      <c r="K130" s="600"/>
      <c r="L130" s="602"/>
      <c r="M130" s="600" t="s">
        <v>448</v>
      </c>
      <c r="N130" s="602" t="s">
        <v>964</v>
      </c>
      <c r="O130" s="603"/>
      <c r="P130" s="602"/>
      <c r="Q130" s="603"/>
      <c r="R130" s="602"/>
      <c r="S130" s="603"/>
      <c r="T130" s="602"/>
      <c r="V130" s="591"/>
      <c r="W130" s="591"/>
      <c r="X130" s="591"/>
      <c r="Y130" s="591"/>
      <c r="Z130" s="591"/>
      <c r="AA130" s="591"/>
      <c r="AB130" s="591"/>
      <c r="AC130" s="591"/>
      <c r="AD130" s="591"/>
      <c r="AE130" s="591"/>
      <c r="AF130" s="591"/>
      <c r="AG130" s="591"/>
      <c r="AH130" s="591"/>
      <c r="AI130" s="591"/>
    </row>
    <row r="131" ht="15.95" customHeight="1" spans="2:35">
      <c r="B131" s="599"/>
      <c r="C131" s="600"/>
      <c r="D131" s="602"/>
      <c r="E131" s="603"/>
      <c r="F131" s="602"/>
      <c r="G131" s="603"/>
      <c r="H131" s="602"/>
      <c r="I131" s="603"/>
      <c r="J131" s="602"/>
      <c r="K131" s="600"/>
      <c r="L131" s="602"/>
      <c r="M131" s="606" t="s">
        <v>277</v>
      </c>
      <c r="N131" s="591" t="s">
        <v>298</v>
      </c>
      <c r="O131" s="603"/>
      <c r="P131" s="602"/>
      <c r="Q131" s="603"/>
      <c r="R131" s="602"/>
      <c r="S131" s="603"/>
      <c r="T131" s="602"/>
      <c r="V131" s="591"/>
      <c r="W131" s="591"/>
      <c r="X131" s="591"/>
      <c r="Y131" s="591"/>
      <c r="Z131" s="591"/>
      <c r="AA131" s="591"/>
      <c r="AB131" s="591"/>
      <c r="AC131" s="591"/>
      <c r="AD131" s="591"/>
      <c r="AE131" s="591"/>
      <c r="AF131" s="591"/>
      <c r="AG131" s="591"/>
      <c r="AH131" s="591"/>
      <c r="AI131" s="591"/>
    </row>
    <row r="132" ht="15.95" customHeight="1" spans="2:35">
      <c r="B132" s="599"/>
      <c r="C132" s="600"/>
      <c r="D132" s="602"/>
      <c r="E132" s="603"/>
      <c r="F132" s="602"/>
      <c r="G132" s="603"/>
      <c r="H132" s="602"/>
      <c r="I132" s="603"/>
      <c r="J132" s="602"/>
      <c r="K132" s="600"/>
      <c r="L132" s="602"/>
      <c r="M132" s="606" t="s">
        <v>936</v>
      </c>
      <c r="O132" s="603"/>
      <c r="P132" s="602"/>
      <c r="Q132" s="603"/>
      <c r="R132" s="602"/>
      <c r="S132" s="603"/>
      <c r="T132" s="602"/>
      <c r="V132" s="591"/>
      <c r="W132" s="591"/>
      <c r="X132" s="591"/>
      <c r="Y132" s="591"/>
      <c r="Z132" s="591"/>
      <c r="AA132" s="591"/>
      <c r="AB132" s="591"/>
      <c r="AC132" s="591"/>
      <c r="AD132" s="591"/>
      <c r="AE132" s="591"/>
      <c r="AF132" s="591"/>
      <c r="AG132" s="591"/>
      <c r="AH132" s="591"/>
      <c r="AI132" s="591"/>
    </row>
    <row r="133" ht="15.95" customHeight="1" spans="2:35">
      <c r="B133" s="607"/>
      <c r="C133" s="618"/>
      <c r="D133" s="609"/>
      <c r="E133" s="608"/>
      <c r="F133" s="609"/>
      <c r="G133" s="608"/>
      <c r="H133" s="609"/>
      <c r="I133" s="608"/>
      <c r="J133" s="609"/>
      <c r="K133" s="618"/>
      <c r="L133" s="609"/>
      <c r="M133" s="613"/>
      <c r="N133" s="613"/>
      <c r="O133" s="608"/>
      <c r="P133" s="609"/>
      <c r="Q133" s="608"/>
      <c r="R133" s="609"/>
      <c r="S133" s="608"/>
      <c r="T133" s="609"/>
      <c r="V133" s="591"/>
      <c r="W133" s="591"/>
      <c r="X133" s="591"/>
      <c r="Y133" s="591"/>
      <c r="Z133" s="591"/>
      <c r="AA133" s="591"/>
      <c r="AB133" s="591"/>
      <c r="AC133" s="591"/>
      <c r="AD133" s="591"/>
      <c r="AE133" s="591"/>
      <c r="AF133" s="591"/>
      <c r="AG133" s="591"/>
      <c r="AH133" s="591"/>
      <c r="AI133" s="591"/>
    </row>
    <row r="134" spans="2:35">
      <c r="C134" s="592"/>
      <c r="D134" s="592"/>
      <c r="E134" s="592"/>
      <c r="F134" s="592"/>
      <c r="G134" s="592"/>
      <c r="H134" s="592"/>
      <c r="I134" s="592"/>
      <c r="J134" s="592"/>
      <c r="K134" s="592"/>
      <c r="L134" s="592"/>
      <c r="Q134" s="592"/>
      <c r="R134" s="592"/>
      <c r="S134" s="592"/>
      <c r="T134" s="592"/>
      <c r="V134" s="591"/>
      <c r="W134" s="591"/>
      <c r="X134" s="591"/>
      <c r="Y134" s="591"/>
      <c r="Z134" s="591"/>
      <c r="AA134" s="591"/>
      <c r="AB134" s="591"/>
      <c r="AC134" s="591"/>
      <c r="AD134" s="591"/>
      <c r="AE134" s="591"/>
      <c r="AF134" s="591"/>
      <c r="AG134" s="591"/>
      <c r="AH134" s="591"/>
      <c r="AI134" s="591"/>
    </row>
    <row r="135" spans="2:35">
      <c r="M135" s="592"/>
      <c r="N135" s="592"/>
      <c r="T135" s="592"/>
      <c r="V135" s="591"/>
      <c r="W135" s="591"/>
      <c r="X135" s="591"/>
      <c r="Y135" s="591"/>
      <c r="Z135" s="591"/>
      <c r="AA135" s="591"/>
      <c r="AB135" s="591"/>
      <c r="AC135" s="591"/>
      <c r="AD135" s="591"/>
      <c r="AE135" s="591"/>
      <c r="AF135" s="591"/>
      <c r="AG135" s="591"/>
      <c r="AH135" s="591"/>
      <c r="AI135" s="591"/>
    </row>
    <row r="139" spans="2:35">
      <c r="Q139" s="591">
        <v>1</v>
      </c>
    </row>
  </sheetData>
  <mergeCells count="90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B3:B16"/>
    <mergeCell ref="B18:B33"/>
    <mergeCell ref="B35:B51"/>
    <mergeCell ref="B53:B67"/>
    <mergeCell ref="B74:B83"/>
    <mergeCell ref="B85:B94"/>
    <mergeCell ref="B96:B107"/>
    <mergeCell ref="B109:B121"/>
    <mergeCell ref="B123:B13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85"/>
  <sheetViews>
    <sheetView workbookViewId="0">
      <selection activeCell="F21" sqref="F21"/>
    </sheetView>
  </sheetViews>
  <sheetFormatPr defaultColWidth="9" defaultRowHeight="13.5"/>
  <cols>
    <col min="1" max="3" width="12.625" customWidth="1"/>
    <col min="10" max="10" width="12.625" customWidth="1"/>
    <col min="13" max="13" width="15.625" style="576" customWidth="1"/>
    <col min="14" max="14" width="15.625" style="577" customWidth="1"/>
    <col min="15" max="15" width="15.625" customWidth="1"/>
    <col min="16" max="16" width="15.625" style="577" customWidth="1"/>
    <col min="17" max="18" width="15.625" customWidth="1"/>
    <col min="19" max="19" width="15.625" style="577" customWidth="1"/>
  </cols>
  <sheetData>
    <row r="2" spans="1:19">
      <c r="A2" t="s">
        <v>1057</v>
      </c>
      <c r="B2" t="s">
        <v>1058</v>
      </c>
      <c r="C2" t="s">
        <v>1059</v>
      </c>
      <c r="I2" s="578" t="s">
        <v>1060</v>
      </c>
      <c r="J2" s="578" t="s">
        <v>1061</v>
      </c>
      <c r="K2" s="578" t="s">
        <v>954</v>
      </c>
      <c r="M2" s="579" t="s">
        <v>1062</v>
      </c>
      <c r="N2" s="580" t="s">
        <v>1063</v>
      </c>
      <c r="O2" s="144" t="s">
        <v>1064</v>
      </c>
      <c r="P2" s="580" t="s">
        <v>1065</v>
      </c>
      <c r="Q2" s="144" t="s">
        <v>1066</v>
      </c>
      <c r="R2" s="144" t="s">
        <v>1067</v>
      </c>
      <c r="S2" s="580" t="s">
        <v>1068</v>
      </c>
    </row>
    <row r="3" spans="1:19">
      <c r="I3" s="578">
        <v>5</v>
      </c>
      <c r="J3" s="578" t="s">
        <v>1069</v>
      </c>
      <c r="K3" s="578">
        <v>5</v>
      </c>
      <c r="M3" s="579" t="s">
        <v>1070</v>
      </c>
      <c r="N3" s="581">
        <v>1000</v>
      </c>
      <c r="O3" s="41">
        <v>1200</v>
      </c>
      <c r="P3" s="581">
        <v>1400</v>
      </c>
      <c r="Q3" s="41">
        <v>1800</v>
      </c>
      <c r="R3" s="41">
        <v>2200</v>
      </c>
      <c r="S3" s="581">
        <v>2500</v>
      </c>
    </row>
    <row r="4" spans="1:19">
      <c r="A4" t="s">
        <v>1071</v>
      </c>
      <c r="B4" t="s">
        <v>1061</v>
      </c>
      <c r="C4" t="s">
        <v>1072</v>
      </c>
      <c r="D4" t="s">
        <v>1073</v>
      </c>
      <c r="E4" t="s">
        <v>1074</v>
      </c>
      <c r="F4" t="s">
        <v>1075</v>
      </c>
      <c r="G4" t="s">
        <v>1076</v>
      </c>
      <c r="I4" s="578">
        <v>10</v>
      </c>
      <c r="J4" s="582" t="s">
        <v>1077</v>
      </c>
      <c r="K4" s="583">
        <v>100</v>
      </c>
      <c r="M4" s="579" t="s">
        <v>1078</v>
      </c>
      <c r="N4" s="581">
        <v>0</v>
      </c>
      <c r="O4" s="41">
        <v>7000</v>
      </c>
      <c r="P4" s="581">
        <v>0</v>
      </c>
      <c r="Q4" s="41">
        <v>7000</v>
      </c>
      <c r="R4" s="41">
        <v>20000</v>
      </c>
      <c r="S4" s="581">
        <v>0</v>
      </c>
    </row>
    <row r="5" spans="1:19">
      <c r="A5">
        <v>0</v>
      </c>
      <c r="B5" t="s">
        <v>1079</v>
      </c>
      <c r="C5" t="s">
        <v>1080</v>
      </c>
      <c r="D5">
        <v>40</v>
      </c>
      <c r="E5">
        <v>10</v>
      </c>
      <c r="F5">
        <v>400</v>
      </c>
      <c r="I5" s="584">
        <v>20</v>
      </c>
      <c r="J5" s="584" t="s">
        <v>1081</v>
      </c>
      <c r="K5" s="584">
        <v>3</v>
      </c>
      <c r="M5" s="545" t="s">
        <v>1082</v>
      </c>
      <c r="N5" s="585" t="s">
        <v>1083</v>
      </c>
      <c r="O5" s="144" t="s">
        <v>1084</v>
      </c>
      <c r="P5" s="585" t="s">
        <v>1085</v>
      </c>
      <c r="Q5" s="144" t="s">
        <v>1086</v>
      </c>
      <c r="R5" s="144" t="s">
        <v>1087</v>
      </c>
      <c r="S5" s="580" t="s">
        <v>1088</v>
      </c>
    </row>
    <row r="6" spans="1:19">
      <c r="A6">
        <v>0</v>
      </c>
      <c r="B6" t="s">
        <v>1089</v>
      </c>
      <c r="C6" t="s">
        <v>1080</v>
      </c>
      <c r="D6">
        <v>10</v>
      </c>
      <c r="E6">
        <v>60</v>
      </c>
      <c r="F6">
        <v>600</v>
      </c>
      <c r="I6" s="578">
        <v>30</v>
      </c>
      <c r="J6" s="586" t="s">
        <v>1090</v>
      </c>
      <c r="K6" s="578">
        <v>2</v>
      </c>
      <c r="M6" s="545">
        <v>2021.8</v>
      </c>
      <c r="N6" s="581" t="s">
        <v>1091</v>
      </c>
      <c r="O6" s="41" t="s">
        <v>1092</v>
      </c>
      <c r="P6" s="581" t="s">
        <v>1093</v>
      </c>
      <c r="Q6" s="41" t="s">
        <v>1094</v>
      </c>
      <c r="R6" s="144" t="s">
        <v>1095</v>
      </c>
      <c r="S6" s="581" t="s">
        <v>1096</v>
      </c>
    </row>
    <row r="7" spans="1:19">
      <c r="A7">
        <v>0</v>
      </c>
      <c r="B7" t="s">
        <v>1097</v>
      </c>
      <c r="C7" t="s">
        <v>1080</v>
      </c>
      <c r="D7">
        <v>10</v>
      </c>
      <c r="E7">
        <v>60</v>
      </c>
      <c r="F7">
        <v>600</v>
      </c>
      <c r="I7" s="578">
        <v>40</v>
      </c>
      <c r="J7" s="586" t="s">
        <v>1098</v>
      </c>
      <c r="K7" s="578">
        <v>3</v>
      </c>
      <c r="M7" s="545">
        <v>2021.9</v>
      </c>
      <c r="N7" s="580" t="s">
        <v>1099</v>
      </c>
      <c r="O7" s="144" t="s">
        <v>1100</v>
      </c>
      <c r="P7" s="580" t="s">
        <v>1101</v>
      </c>
      <c r="Q7" s="144" t="s">
        <v>1102</v>
      </c>
      <c r="R7" s="144" t="s">
        <v>1103</v>
      </c>
      <c r="S7" s="580" t="s">
        <v>1104</v>
      </c>
    </row>
    <row r="8" spans="1:19">
      <c r="A8">
        <v>0</v>
      </c>
      <c r="B8" t="s">
        <v>1105</v>
      </c>
      <c r="C8" t="s">
        <v>1106</v>
      </c>
      <c r="D8">
        <v>20</v>
      </c>
      <c r="E8">
        <v>25</v>
      </c>
      <c r="F8">
        <v>500</v>
      </c>
      <c r="I8" s="584">
        <v>50</v>
      </c>
      <c r="J8" s="584" t="s">
        <v>1081</v>
      </c>
      <c r="K8" s="584">
        <v>3</v>
      </c>
      <c r="M8" s="579" t="s">
        <v>1107</v>
      </c>
      <c r="N8" s="580" t="s">
        <v>1108</v>
      </c>
      <c r="O8" s="144" t="s">
        <v>1109</v>
      </c>
      <c r="P8" s="580" t="s">
        <v>1110</v>
      </c>
      <c r="Q8" s="144" t="s">
        <v>1111</v>
      </c>
      <c r="R8" s="144" t="s">
        <v>1112</v>
      </c>
      <c r="S8" s="580" t="s">
        <v>1113</v>
      </c>
    </row>
    <row r="9" spans="1:19">
      <c r="A9">
        <v>0</v>
      </c>
      <c r="B9" t="s">
        <v>1114</v>
      </c>
      <c r="C9" t="s">
        <v>1106</v>
      </c>
      <c r="D9">
        <v>1</v>
      </c>
      <c r="E9">
        <v>1000</v>
      </c>
      <c r="F9">
        <v>1000</v>
      </c>
      <c r="I9" s="578">
        <v>60</v>
      </c>
      <c r="J9" s="586" t="s">
        <v>1115</v>
      </c>
      <c r="K9" s="578">
        <v>12</v>
      </c>
      <c r="M9" s="545">
        <v>2021.11</v>
      </c>
      <c r="N9" s="580" t="s">
        <v>1116</v>
      </c>
      <c r="O9" s="144" t="s">
        <v>1117</v>
      </c>
      <c r="P9" s="585" t="s">
        <v>1085</v>
      </c>
      <c r="Q9" s="144" t="s">
        <v>1118</v>
      </c>
      <c r="R9" s="144" t="s">
        <v>1119</v>
      </c>
      <c r="S9" s="580" t="s">
        <v>1120</v>
      </c>
    </row>
    <row r="10" spans="1:19">
      <c r="A10">
        <v>0</v>
      </c>
      <c r="B10" t="s">
        <v>1121</v>
      </c>
      <c r="C10" t="s">
        <v>1106</v>
      </c>
      <c r="D10">
        <v>2</v>
      </c>
      <c r="E10">
        <v>120</v>
      </c>
      <c r="F10">
        <v>240</v>
      </c>
      <c r="I10" s="587">
        <v>70</v>
      </c>
      <c r="J10" s="588" t="s">
        <v>1122</v>
      </c>
      <c r="K10" s="587">
        <v>1</v>
      </c>
      <c r="M10" s="545">
        <v>2021.12</v>
      </c>
      <c r="N10" s="580" t="s">
        <v>1123</v>
      </c>
      <c r="O10" s="144" t="s">
        <v>1124</v>
      </c>
      <c r="P10" s="580" t="s">
        <v>1125</v>
      </c>
      <c r="Q10" s="144" t="s">
        <v>1126</v>
      </c>
      <c r="R10" s="144" t="s">
        <v>1127</v>
      </c>
      <c r="S10" s="580" t="s">
        <v>1128</v>
      </c>
    </row>
    <row r="11" spans="1:19">
      <c r="A11">
        <v>0</v>
      </c>
      <c r="B11" t="s">
        <v>1129</v>
      </c>
      <c r="C11" t="s">
        <v>1106</v>
      </c>
      <c r="D11">
        <v>1</v>
      </c>
      <c r="E11">
        <v>600</v>
      </c>
      <c r="F11">
        <v>600</v>
      </c>
      <c r="I11" s="578">
        <v>80</v>
      </c>
      <c r="J11" s="586" t="s">
        <v>1130</v>
      </c>
      <c r="K11" s="578">
        <v>3</v>
      </c>
      <c r="M11" s="545">
        <v>2022.1</v>
      </c>
      <c r="N11" s="580" t="s">
        <v>1131</v>
      </c>
      <c r="O11" s="144" t="s">
        <v>1132</v>
      </c>
      <c r="P11" s="580" t="s">
        <v>1133</v>
      </c>
      <c r="Q11" s="144" t="s">
        <v>1134</v>
      </c>
      <c r="R11" s="144" t="s">
        <v>1135</v>
      </c>
      <c r="S11" s="580" t="s">
        <v>1136</v>
      </c>
    </row>
    <row r="12" spans="1:19">
      <c r="A12">
        <v>0</v>
      </c>
      <c r="F12">
        <v>0</v>
      </c>
      <c r="I12" s="578">
        <v>90</v>
      </c>
      <c r="J12" s="586" t="s">
        <v>1137</v>
      </c>
      <c r="K12" s="578">
        <v>1</v>
      </c>
      <c r="M12" s="545">
        <v>2022.2</v>
      </c>
      <c r="N12" s="580" t="s">
        <v>1138</v>
      </c>
      <c r="O12" s="144" t="s">
        <v>1139</v>
      </c>
      <c r="P12" s="580" t="s">
        <v>1140</v>
      </c>
      <c r="Q12" s="144" t="s">
        <v>1141</v>
      </c>
      <c r="R12" s="144" t="s">
        <v>1142</v>
      </c>
      <c r="S12" s="580" t="s">
        <v>1143</v>
      </c>
    </row>
    <row r="13" spans="1:19">
      <c r="A13">
        <v>0</v>
      </c>
      <c r="F13">
        <v>0</v>
      </c>
      <c r="I13" s="578">
        <v>100</v>
      </c>
      <c r="J13" s="582" t="s">
        <v>1077</v>
      </c>
      <c r="K13" s="583">
        <v>200</v>
      </c>
      <c r="M13" s="545">
        <v>2022.3</v>
      </c>
      <c r="N13" s="580" t="s">
        <v>1144</v>
      </c>
      <c r="O13" s="144" t="s">
        <v>1145</v>
      </c>
      <c r="P13" s="580" t="s">
        <v>1146</v>
      </c>
      <c r="Q13" s="144" t="s">
        <v>1147</v>
      </c>
      <c r="R13" s="144" t="s">
        <v>1148</v>
      </c>
      <c r="S13" s="580" t="s">
        <v>1149</v>
      </c>
    </row>
    <row r="14" spans="1:19">
      <c r="A14">
        <v>70</v>
      </c>
      <c r="B14" t="s">
        <v>1122</v>
      </c>
      <c r="C14" t="s">
        <v>1080</v>
      </c>
      <c r="D14">
        <v>1</v>
      </c>
      <c r="E14">
        <v>50</v>
      </c>
      <c r="F14">
        <v>50</v>
      </c>
      <c r="I14" s="578">
        <v>120</v>
      </c>
      <c r="J14" s="586" t="s">
        <v>1150</v>
      </c>
      <c r="K14" s="578">
        <v>80</v>
      </c>
      <c r="M14" s="545">
        <v>2022.4</v>
      </c>
      <c r="N14" s="581" t="s">
        <v>1091</v>
      </c>
      <c r="O14" s="41" t="s">
        <v>1094</v>
      </c>
      <c r="P14" s="581" t="s">
        <v>1093</v>
      </c>
      <c r="Q14" s="41" t="s">
        <v>1092</v>
      </c>
      <c r="R14" s="144" t="s">
        <v>1151</v>
      </c>
      <c r="S14" s="580" t="s">
        <v>1152</v>
      </c>
    </row>
    <row r="15" spans="1:19">
      <c r="A15">
        <v>200</v>
      </c>
      <c r="B15" t="s">
        <v>1153</v>
      </c>
      <c r="C15" t="s">
        <v>1080</v>
      </c>
      <c r="D15">
        <v>1</v>
      </c>
      <c r="E15">
        <v>600</v>
      </c>
      <c r="F15">
        <v>600</v>
      </c>
      <c r="I15" s="578">
        <v>140</v>
      </c>
      <c r="J15" s="586" t="s">
        <v>1154</v>
      </c>
      <c r="K15" s="578">
        <v>80</v>
      </c>
      <c r="M15" s="545">
        <v>2022.5</v>
      </c>
      <c r="N15" s="585" t="s">
        <v>1083</v>
      </c>
      <c r="O15" s="144" t="s">
        <v>1084</v>
      </c>
      <c r="P15" s="585" t="s">
        <v>1085</v>
      </c>
      <c r="Q15" s="144" t="s">
        <v>1086</v>
      </c>
      <c r="R15" s="144" t="s">
        <v>1087</v>
      </c>
      <c r="S15" s="580" t="s">
        <v>1088</v>
      </c>
    </row>
    <row r="16" spans="1:19">
      <c r="A16">
        <v>400</v>
      </c>
      <c r="B16" t="s">
        <v>1155</v>
      </c>
      <c r="C16" t="s">
        <v>1080</v>
      </c>
      <c r="D16">
        <v>1</v>
      </c>
      <c r="E16">
        <v>750</v>
      </c>
      <c r="F16">
        <v>750</v>
      </c>
      <c r="I16" s="578">
        <v>160</v>
      </c>
      <c r="J16" s="586" t="s">
        <v>1156</v>
      </c>
      <c r="K16" s="578">
        <v>80</v>
      </c>
      <c r="M16" s="545">
        <v>2022.6</v>
      </c>
      <c r="N16" s="581" t="s">
        <v>1091</v>
      </c>
      <c r="O16" s="41" t="s">
        <v>1092</v>
      </c>
      <c r="P16" s="581" t="s">
        <v>1093</v>
      </c>
      <c r="Q16" s="41" t="s">
        <v>1094</v>
      </c>
      <c r="R16" s="144" t="s">
        <v>1095</v>
      </c>
      <c r="S16" s="581" t="s">
        <v>1096</v>
      </c>
    </row>
    <row r="17" spans="1:19">
      <c r="A17">
        <v>800</v>
      </c>
      <c r="B17" t="s">
        <v>1157</v>
      </c>
      <c r="C17" t="s">
        <v>1080</v>
      </c>
      <c r="D17">
        <v>1</v>
      </c>
      <c r="E17">
        <v>600</v>
      </c>
      <c r="F17">
        <v>600</v>
      </c>
      <c r="I17" s="578">
        <v>180</v>
      </c>
      <c r="J17" s="586" t="s">
        <v>1158</v>
      </c>
      <c r="K17" s="578">
        <v>80</v>
      </c>
      <c r="M17" s="545">
        <v>2022.7</v>
      </c>
      <c r="N17" s="580" t="s">
        <v>1099</v>
      </c>
      <c r="O17" s="144" t="s">
        <v>1100</v>
      </c>
      <c r="P17" s="580" t="s">
        <v>1101</v>
      </c>
      <c r="Q17" s="144" t="s">
        <v>1102</v>
      </c>
      <c r="R17" s="144" t="s">
        <v>1103</v>
      </c>
      <c r="S17" s="580" t="s">
        <v>1104</v>
      </c>
    </row>
    <row r="18" spans="1:19">
      <c r="A18">
        <v>1200</v>
      </c>
      <c r="B18" s="26" t="s">
        <v>1064</v>
      </c>
      <c r="C18" t="s">
        <v>1106</v>
      </c>
      <c r="D18">
        <v>1</v>
      </c>
      <c r="G18">
        <v>7000</v>
      </c>
      <c r="I18" s="587">
        <v>200</v>
      </c>
      <c r="J18" s="588" t="s">
        <v>1153</v>
      </c>
      <c r="K18" s="587">
        <v>1</v>
      </c>
      <c r="M18" s="545">
        <v>2022.8</v>
      </c>
      <c r="N18" s="580" t="s">
        <v>1108</v>
      </c>
      <c r="O18" s="144" t="s">
        <v>1109</v>
      </c>
      <c r="P18" s="580" t="s">
        <v>1110</v>
      </c>
      <c r="Q18" s="144" t="s">
        <v>1111</v>
      </c>
      <c r="R18" s="144" t="s">
        <v>1112</v>
      </c>
      <c r="S18" s="580" t="s">
        <v>1113</v>
      </c>
    </row>
    <row r="19" spans="1:19">
      <c r="A19">
        <v>1800</v>
      </c>
      <c r="B19" s="26" t="s">
        <v>1066</v>
      </c>
      <c r="C19" t="s">
        <v>1106</v>
      </c>
      <c r="D19">
        <v>1</v>
      </c>
      <c r="G19">
        <v>7000</v>
      </c>
      <c r="I19" s="578">
        <v>240</v>
      </c>
      <c r="J19" s="586" t="s">
        <v>1159</v>
      </c>
      <c r="K19" s="578">
        <v>60</v>
      </c>
      <c r="M19" s="545">
        <v>2022.9</v>
      </c>
      <c r="N19" s="580" t="s">
        <v>1116</v>
      </c>
      <c r="O19" s="144" t="s">
        <v>1117</v>
      </c>
      <c r="P19" s="585" t="s">
        <v>1085</v>
      </c>
      <c r="Q19" s="144" t="s">
        <v>1118</v>
      </c>
      <c r="R19" s="144" t="s">
        <v>1119</v>
      </c>
      <c r="S19" s="580" t="s">
        <v>1120</v>
      </c>
    </row>
    <row r="20" spans="1:19">
      <c r="A20">
        <v>2200</v>
      </c>
      <c r="B20" s="26" t="s">
        <v>1067</v>
      </c>
      <c r="C20" t="s">
        <v>1106</v>
      </c>
      <c r="D20">
        <v>1</v>
      </c>
      <c r="G20">
        <v>20000</v>
      </c>
      <c r="I20" s="578">
        <v>280</v>
      </c>
      <c r="J20" s="586" t="s">
        <v>1160</v>
      </c>
      <c r="K20" s="578">
        <v>60</v>
      </c>
      <c r="M20" s="579" t="s">
        <v>1161</v>
      </c>
      <c r="N20" s="580" t="s">
        <v>1123</v>
      </c>
      <c r="O20" s="144" t="s">
        <v>1124</v>
      </c>
      <c r="P20" s="580" t="s">
        <v>1125</v>
      </c>
      <c r="Q20" s="144" t="s">
        <v>1126</v>
      </c>
      <c r="R20" s="144" t="s">
        <v>1127</v>
      </c>
      <c r="S20" s="580" t="s">
        <v>1128</v>
      </c>
    </row>
    <row r="21" spans="1:19">
      <c r="I21" s="578">
        <v>320</v>
      </c>
      <c r="J21" s="586" t="s">
        <v>1162</v>
      </c>
      <c r="K21" s="578">
        <v>60</v>
      </c>
      <c r="M21" s="579">
        <v>2022.11</v>
      </c>
      <c r="N21" s="580" t="s">
        <v>1131</v>
      </c>
      <c r="O21" s="144" t="s">
        <v>1132</v>
      </c>
      <c r="P21" s="580" t="s">
        <v>1133</v>
      </c>
      <c r="Q21" s="144" t="s">
        <v>1134</v>
      </c>
      <c r="R21" s="144" t="s">
        <v>1135</v>
      </c>
      <c r="S21" s="580" t="s">
        <v>1136</v>
      </c>
    </row>
    <row r="22" spans="1:19">
      <c r="E22" t="s">
        <v>226</v>
      </c>
      <c r="F22">
        <v>5940</v>
      </c>
      <c r="G22">
        <v>34000</v>
      </c>
      <c r="I22" s="578">
        <v>360</v>
      </c>
      <c r="J22" s="586" t="s">
        <v>1163</v>
      </c>
      <c r="K22" s="578">
        <v>60</v>
      </c>
      <c r="M22" s="579">
        <v>2022.12</v>
      </c>
      <c r="N22" s="580" t="s">
        <v>1138</v>
      </c>
      <c r="O22" s="144" t="s">
        <v>1139</v>
      </c>
      <c r="P22" s="580" t="s">
        <v>1140</v>
      </c>
      <c r="Q22" s="144" t="s">
        <v>1141</v>
      </c>
      <c r="R22" s="144" t="s">
        <v>1142</v>
      </c>
      <c r="S22" s="580" t="s">
        <v>1143</v>
      </c>
    </row>
    <row r="23" spans="1:19">
      <c r="I23" s="587">
        <v>400</v>
      </c>
      <c r="J23" s="588" t="s">
        <v>1155</v>
      </c>
      <c r="K23" s="587">
        <v>1</v>
      </c>
      <c r="M23" s="579">
        <v>2023.01</v>
      </c>
      <c r="N23" s="580" t="s">
        <v>1144</v>
      </c>
      <c r="O23" s="144" t="s">
        <v>1145</v>
      </c>
      <c r="P23" s="580" t="s">
        <v>1146</v>
      </c>
      <c r="Q23" s="144" t="s">
        <v>1147</v>
      </c>
      <c r="R23" s="144" t="s">
        <v>1148</v>
      </c>
      <c r="S23" s="580" t="s">
        <v>1149</v>
      </c>
    </row>
    <row r="24" spans="1:19">
      <c r="I24" s="578">
        <v>450</v>
      </c>
      <c r="J24" s="582" t="s">
        <v>1077</v>
      </c>
      <c r="K24" s="583">
        <v>800</v>
      </c>
      <c r="M24" s="579">
        <v>2023.02</v>
      </c>
      <c r="N24" s="581" t="s">
        <v>1091</v>
      </c>
      <c r="O24" s="41" t="s">
        <v>1094</v>
      </c>
      <c r="P24" s="581" t="s">
        <v>1093</v>
      </c>
      <c r="Q24" s="41" t="s">
        <v>1092</v>
      </c>
      <c r="R24" s="144" t="s">
        <v>1151</v>
      </c>
      <c r="S24" s="580" t="s">
        <v>1152</v>
      </c>
    </row>
    <row r="25" spans="1:19">
      <c r="A25" t="s">
        <v>1164</v>
      </c>
      <c r="B25" t="s">
        <v>1165</v>
      </c>
      <c r="I25" s="578">
        <v>500</v>
      </c>
      <c r="J25" s="586" t="s">
        <v>1089</v>
      </c>
      <c r="K25" s="578">
        <v>40</v>
      </c>
      <c r="M25" s="579">
        <v>2023.03</v>
      </c>
      <c r="N25" s="585" t="s">
        <v>1083</v>
      </c>
      <c r="O25" s="144" t="s">
        <v>1084</v>
      </c>
      <c r="P25" s="585" t="s">
        <v>1085</v>
      </c>
      <c r="Q25" s="144" t="s">
        <v>1086</v>
      </c>
      <c r="R25" s="144" t="s">
        <v>1087</v>
      </c>
      <c r="S25" s="580" t="s">
        <v>1088</v>
      </c>
    </row>
    <row r="26" spans="1:19">
      <c r="A26" t="s">
        <v>261</v>
      </c>
      <c r="B26" t="s">
        <v>1166</v>
      </c>
      <c r="C26" t="s">
        <v>1167</v>
      </c>
      <c r="I26" s="578">
        <v>550</v>
      </c>
      <c r="J26" s="586" t="s">
        <v>1097</v>
      </c>
      <c r="K26" s="578">
        <v>40</v>
      </c>
      <c r="M26" s="579">
        <v>2023.04</v>
      </c>
      <c r="N26" s="585" t="s">
        <v>1083</v>
      </c>
      <c r="O26" s="144" t="s">
        <v>1084</v>
      </c>
      <c r="P26" s="585" t="s">
        <v>1085</v>
      </c>
      <c r="Q26" s="144" t="s">
        <v>1086</v>
      </c>
      <c r="R26" s="144" t="s">
        <v>1087</v>
      </c>
      <c r="S26" s="580" t="s">
        <v>1088</v>
      </c>
    </row>
    <row r="27" spans="1:19">
      <c r="A27">
        <v>1</v>
      </c>
      <c r="B27">
        <v>50</v>
      </c>
      <c r="C27">
        <v>50</v>
      </c>
      <c r="I27" s="578">
        <v>600</v>
      </c>
      <c r="J27" s="586" t="s">
        <v>1079</v>
      </c>
      <c r="K27" s="578">
        <v>400</v>
      </c>
      <c r="M27" s="579">
        <v>2023.05</v>
      </c>
      <c r="N27" s="585" t="s">
        <v>1083</v>
      </c>
      <c r="O27" s="144" t="s">
        <v>1084</v>
      </c>
      <c r="P27" s="585" t="s">
        <v>1085</v>
      </c>
      <c r="Q27" s="144" t="s">
        <v>1086</v>
      </c>
      <c r="R27" s="144" t="s">
        <v>1087</v>
      </c>
      <c r="S27" s="580" t="s">
        <v>1088</v>
      </c>
    </row>
    <row r="28" spans="1:19">
      <c r="A28">
        <v>2</v>
      </c>
      <c r="B28">
        <v>50</v>
      </c>
      <c r="C28">
        <v>100</v>
      </c>
      <c r="I28" s="578">
        <v>650</v>
      </c>
      <c r="J28" s="586" t="s">
        <v>1105</v>
      </c>
      <c r="K28" s="578">
        <v>100</v>
      </c>
      <c r="M28" s="579">
        <v>2023.06</v>
      </c>
      <c r="N28" s="581" t="s">
        <v>1091</v>
      </c>
      <c r="O28" s="41" t="s">
        <v>1092</v>
      </c>
      <c r="P28" s="581" t="s">
        <v>1093</v>
      </c>
      <c r="Q28" s="41" t="s">
        <v>1094</v>
      </c>
      <c r="R28" s="144" t="s">
        <v>1095</v>
      </c>
      <c r="S28" s="581" t="s">
        <v>1096</v>
      </c>
    </row>
    <row r="29" spans="1:19">
      <c r="A29">
        <v>3</v>
      </c>
      <c r="B29">
        <v>50</v>
      </c>
      <c r="C29">
        <v>150</v>
      </c>
      <c r="I29" s="578">
        <v>700</v>
      </c>
      <c r="J29" s="586" t="s">
        <v>1168</v>
      </c>
      <c r="K29" s="578">
        <v>40</v>
      </c>
      <c r="M29" s="579">
        <v>2023.07</v>
      </c>
      <c r="N29" s="580" t="s">
        <v>1099</v>
      </c>
      <c r="O29" s="144" t="s">
        <v>1100</v>
      </c>
      <c r="P29" s="580" t="s">
        <v>1101</v>
      </c>
      <c r="Q29" s="144" t="s">
        <v>1102</v>
      </c>
      <c r="R29" s="144" t="s">
        <v>1103</v>
      </c>
      <c r="S29" s="580" t="s">
        <v>1104</v>
      </c>
    </row>
    <row r="30" spans="1:19">
      <c r="A30">
        <v>4</v>
      </c>
      <c r="B30">
        <v>50</v>
      </c>
      <c r="C30">
        <v>200</v>
      </c>
      <c r="I30" s="578">
        <v>750</v>
      </c>
      <c r="J30" s="586" t="s">
        <v>1114</v>
      </c>
      <c r="K30" s="578">
        <v>2</v>
      </c>
      <c r="M30" s="579">
        <v>2023.08</v>
      </c>
      <c r="N30" s="580" t="s">
        <v>1108</v>
      </c>
      <c r="O30" s="144" t="s">
        <v>1109</v>
      </c>
      <c r="P30" s="580" t="s">
        <v>1110</v>
      </c>
      <c r="Q30" s="144" t="s">
        <v>1111</v>
      </c>
      <c r="R30" s="144" t="s">
        <v>1112</v>
      </c>
      <c r="S30" s="580" t="s">
        <v>1113</v>
      </c>
    </row>
    <row r="31" spans="1:19">
      <c r="A31">
        <v>5</v>
      </c>
      <c r="B31">
        <v>100</v>
      </c>
      <c r="C31">
        <v>300</v>
      </c>
      <c r="I31" s="587">
        <v>800</v>
      </c>
      <c r="J31" s="588" t="s">
        <v>1157</v>
      </c>
      <c r="K31" s="587">
        <v>1</v>
      </c>
      <c r="M31" s="579">
        <v>2023.09</v>
      </c>
      <c r="N31" s="580" t="s">
        <v>1116</v>
      </c>
      <c r="O31" s="144" t="s">
        <v>1117</v>
      </c>
      <c r="P31" s="585" t="s">
        <v>1085</v>
      </c>
      <c r="Q31" s="144" t="s">
        <v>1118</v>
      </c>
      <c r="R31" s="144" t="s">
        <v>1119</v>
      </c>
      <c r="S31" s="580" t="s">
        <v>1120</v>
      </c>
    </row>
    <row r="32" spans="1:19">
      <c r="A32">
        <v>6</v>
      </c>
      <c r="B32">
        <v>100</v>
      </c>
      <c r="C32">
        <v>400</v>
      </c>
      <c r="I32" s="578">
        <v>900</v>
      </c>
      <c r="J32" s="582" t="s">
        <v>1077</v>
      </c>
      <c r="K32" s="583">
        <v>1500</v>
      </c>
      <c r="M32" s="579" t="s">
        <v>1169</v>
      </c>
      <c r="N32" s="580" t="s">
        <v>1123</v>
      </c>
      <c r="O32" s="144" t="s">
        <v>1124</v>
      </c>
      <c r="P32" s="580" t="s">
        <v>1125</v>
      </c>
      <c r="Q32" s="144" t="s">
        <v>1126</v>
      </c>
      <c r="R32" s="144" t="s">
        <v>1127</v>
      </c>
      <c r="S32" s="580" t="s">
        <v>1128</v>
      </c>
    </row>
    <row r="33" spans="1:19">
      <c r="A33">
        <v>7</v>
      </c>
      <c r="B33">
        <v>100</v>
      </c>
      <c r="C33">
        <v>500</v>
      </c>
      <c r="I33" s="578">
        <v>1000</v>
      </c>
      <c r="J33" s="586" t="s">
        <v>1063</v>
      </c>
      <c r="K33" s="578">
        <v>1</v>
      </c>
      <c r="M33" s="579">
        <v>2023.11</v>
      </c>
      <c r="N33" s="580" t="s">
        <v>1131</v>
      </c>
      <c r="O33" s="144" t="s">
        <v>1132</v>
      </c>
      <c r="P33" s="580" t="s">
        <v>1133</v>
      </c>
      <c r="Q33" s="144" t="s">
        <v>1134</v>
      </c>
      <c r="R33" s="144" t="s">
        <v>1135</v>
      </c>
      <c r="S33" s="580" t="s">
        <v>1136</v>
      </c>
    </row>
    <row r="34" spans="1:19">
      <c r="A34">
        <v>8</v>
      </c>
      <c r="B34">
        <v>100</v>
      </c>
      <c r="C34">
        <v>600</v>
      </c>
      <c r="I34" s="578">
        <v>1100</v>
      </c>
      <c r="J34" s="586" t="s">
        <v>1170</v>
      </c>
      <c r="K34" s="578">
        <v>120</v>
      </c>
      <c r="M34" s="579">
        <v>2023.12</v>
      </c>
      <c r="N34" s="580" t="s">
        <v>1138</v>
      </c>
      <c r="O34" s="144" t="s">
        <v>1139</v>
      </c>
      <c r="P34" s="580" t="s">
        <v>1140</v>
      </c>
      <c r="Q34" s="144" t="s">
        <v>1141</v>
      </c>
      <c r="R34" s="144" t="s">
        <v>1142</v>
      </c>
      <c r="S34" s="580" t="s">
        <v>1143</v>
      </c>
    </row>
    <row r="35" spans="1:19">
      <c r="A35">
        <v>9</v>
      </c>
      <c r="B35">
        <v>200</v>
      </c>
      <c r="C35">
        <v>800</v>
      </c>
      <c r="I35" s="587">
        <v>1200</v>
      </c>
      <c r="J35" s="588" t="s">
        <v>1064</v>
      </c>
      <c r="K35" s="587">
        <v>1</v>
      </c>
    </row>
    <row r="36" spans="1:19">
      <c r="A36">
        <v>10</v>
      </c>
      <c r="B36">
        <v>200</v>
      </c>
      <c r="C36">
        <v>1000</v>
      </c>
      <c r="I36" s="578">
        <v>1300</v>
      </c>
      <c r="J36" s="586" t="s">
        <v>1171</v>
      </c>
      <c r="K36" s="578">
        <v>120</v>
      </c>
      <c r="M36" s="579" t="s">
        <v>1062</v>
      </c>
      <c r="N36" s="580" t="s">
        <v>1063</v>
      </c>
      <c r="O36" s="144" t="s">
        <v>1064</v>
      </c>
      <c r="P36" s="580" t="s">
        <v>1065</v>
      </c>
      <c r="Q36" s="144" t="s">
        <v>1066</v>
      </c>
      <c r="R36" s="144" t="s">
        <v>1067</v>
      </c>
      <c r="S36" s="580" t="s">
        <v>1068</v>
      </c>
    </row>
    <row r="37" spans="1:19">
      <c r="I37" s="578">
        <v>1400</v>
      </c>
      <c r="J37" s="586" t="s">
        <v>1065</v>
      </c>
      <c r="K37" s="578">
        <v>1</v>
      </c>
      <c r="M37" s="579" t="s">
        <v>1070</v>
      </c>
      <c r="N37" s="581">
        <v>1000</v>
      </c>
      <c r="O37" s="41">
        <v>1200</v>
      </c>
      <c r="P37" s="581">
        <v>1400</v>
      </c>
      <c r="Q37" s="41">
        <v>1800</v>
      </c>
      <c r="R37" s="41">
        <v>2200</v>
      </c>
      <c r="S37" s="581">
        <v>2500</v>
      </c>
    </row>
    <row r="38" spans="1:19">
      <c r="I38" s="578">
        <v>1600</v>
      </c>
      <c r="J38" s="586" t="s">
        <v>1172</v>
      </c>
      <c r="K38" s="578">
        <v>120</v>
      </c>
      <c r="M38" s="579" t="s">
        <v>1078</v>
      </c>
      <c r="N38" s="581">
        <v>0</v>
      </c>
      <c r="O38" s="41">
        <v>7000</v>
      </c>
      <c r="P38" s="581">
        <v>0</v>
      </c>
      <c r="Q38" s="41">
        <v>7000</v>
      </c>
      <c r="R38" s="41">
        <v>20000</v>
      </c>
      <c r="S38" s="581">
        <v>0</v>
      </c>
    </row>
    <row r="39" spans="1:19">
      <c r="I39" s="587">
        <v>1800</v>
      </c>
      <c r="J39" s="588" t="s">
        <v>1066</v>
      </c>
      <c r="K39" s="587">
        <v>1</v>
      </c>
      <c r="M39" s="579" t="s">
        <v>1173</v>
      </c>
      <c r="N39" s="580" t="s">
        <v>1144</v>
      </c>
      <c r="O39" s="144" t="s">
        <v>1145</v>
      </c>
      <c r="P39" s="580" t="s">
        <v>1146</v>
      </c>
      <c r="Q39" s="144" t="s">
        <v>1147</v>
      </c>
      <c r="R39" s="144" t="s">
        <v>1148</v>
      </c>
      <c r="S39" s="580" t="s">
        <v>1149</v>
      </c>
    </row>
    <row r="40" spans="1:19">
      <c r="I40" s="578">
        <v>2000</v>
      </c>
      <c r="J40" s="586" t="s">
        <v>1174</v>
      </c>
      <c r="K40" s="578">
        <v>120</v>
      </c>
      <c r="M40" s="579" t="s">
        <v>1175</v>
      </c>
      <c r="N40" s="581" t="s">
        <v>1091</v>
      </c>
      <c r="O40" s="41" t="s">
        <v>1094</v>
      </c>
      <c r="P40" s="581" t="s">
        <v>1093</v>
      </c>
      <c r="Q40" s="41" t="s">
        <v>1092</v>
      </c>
      <c r="R40" s="144" t="s">
        <v>1151</v>
      </c>
      <c r="S40" s="580" t="s">
        <v>1152</v>
      </c>
    </row>
    <row r="41" spans="1:19">
      <c r="I41" s="587">
        <v>2200</v>
      </c>
      <c r="J41" s="587" t="s">
        <v>1067</v>
      </c>
      <c r="K41" s="587">
        <v>1</v>
      </c>
      <c r="M41" s="579" t="s">
        <v>1176</v>
      </c>
      <c r="N41" s="585" t="s">
        <v>1083</v>
      </c>
      <c r="O41" s="144" t="s">
        <v>1084</v>
      </c>
      <c r="P41" s="585" t="s">
        <v>1085</v>
      </c>
      <c r="Q41" s="144" t="s">
        <v>1086</v>
      </c>
      <c r="R41" s="144" t="s">
        <v>1087</v>
      </c>
      <c r="S41" s="580" t="s">
        <v>1088</v>
      </c>
    </row>
    <row r="42" spans="1:19">
      <c r="I42" s="578">
        <v>2500</v>
      </c>
      <c r="J42" s="578" t="s">
        <v>1068</v>
      </c>
      <c r="K42" s="578">
        <v>1</v>
      </c>
      <c r="M42" s="579" t="s">
        <v>1177</v>
      </c>
      <c r="N42" s="581" t="s">
        <v>1091</v>
      </c>
      <c r="O42" s="41" t="s">
        <v>1092</v>
      </c>
      <c r="P42" s="581" t="s">
        <v>1093</v>
      </c>
      <c r="Q42" s="41" t="s">
        <v>1094</v>
      </c>
      <c r="R42" s="144" t="s">
        <v>1095</v>
      </c>
      <c r="S42" s="581" t="s">
        <v>1096</v>
      </c>
    </row>
    <row r="43" spans="1:19">
      <c r="M43" s="579" t="s">
        <v>1178</v>
      </c>
      <c r="N43" s="580" t="s">
        <v>1099</v>
      </c>
      <c r="O43" s="144" t="s">
        <v>1100</v>
      </c>
      <c r="P43" s="580" t="s">
        <v>1101</v>
      </c>
      <c r="Q43" s="144" t="s">
        <v>1102</v>
      </c>
      <c r="R43" s="144" t="s">
        <v>1103</v>
      </c>
      <c r="S43" s="580" t="s">
        <v>1104</v>
      </c>
    </row>
    <row r="44" spans="1:19">
      <c r="M44" s="579" t="s">
        <v>1179</v>
      </c>
      <c r="N44" s="580" t="s">
        <v>1108</v>
      </c>
      <c r="O44" s="144" t="s">
        <v>1109</v>
      </c>
      <c r="P44" s="580" t="s">
        <v>1110</v>
      </c>
      <c r="Q44" s="144" t="s">
        <v>1111</v>
      </c>
      <c r="R44" s="144" t="s">
        <v>1112</v>
      </c>
      <c r="S44" s="580" t="s">
        <v>1113</v>
      </c>
    </row>
    <row r="45" spans="1:19">
      <c r="M45" s="579" t="s">
        <v>1180</v>
      </c>
      <c r="N45" s="580" t="s">
        <v>1116</v>
      </c>
      <c r="O45" s="144" t="s">
        <v>1117</v>
      </c>
      <c r="P45" s="585" t="s">
        <v>1085</v>
      </c>
      <c r="Q45" s="144" t="s">
        <v>1118</v>
      </c>
      <c r="R45" s="144" t="s">
        <v>1119</v>
      </c>
      <c r="S45" s="580" t="s">
        <v>1120</v>
      </c>
    </row>
    <row r="46" spans="1:19">
      <c r="M46" s="579" t="s">
        <v>1181</v>
      </c>
      <c r="N46" s="580" t="s">
        <v>1123</v>
      </c>
      <c r="O46" s="144" t="s">
        <v>1124</v>
      </c>
      <c r="P46" s="580" t="s">
        <v>1125</v>
      </c>
      <c r="Q46" s="144" t="s">
        <v>1126</v>
      </c>
      <c r="R46" s="144" t="s">
        <v>1127</v>
      </c>
      <c r="S46" s="580" t="s">
        <v>1128</v>
      </c>
    </row>
    <row r="47" spans="1:19">
      <c r="M47" s="579" t="s">
        <v>1182</v>
      </c>
      <c r="N47" s="580" t="s">
        <v>1131</v>
      </c>
      <c r="O47" s="144" t="s">
        <v>1132</v>
      </c>
      <c r="P47" s="580" t="s">
        <v>1133</v>
      </c>
      <c r="Q47" s="144" t="s">
        <v>1134</v>
      </c>
      <c r="R47" s="144" t="s">
        <v>1135</v>
      </c>
      <c r="S47" s="580" t="s">
        <v>1136</v>
      </c>
    </row>
    <row r="48" spans="1:19">
      <c r="M48" s="579" t="s">
        <v>1183</v>
      </c>
      <c r="N48" s="580" t="s">
        <v>1138</v>
      </c>
      <c r="O48" s="144" t="s">
        <v>1139</v>
      </c>
      <c r="P48" s="580" t="s">
        <v>1140</v>
      </c>
      <c r="Q48" s="144" t="s">
        <v>1141</v>
      </c>
      <c r="R48" s="144" t="s">
        <v>1142</v>
      </c>
      <c r="S48" s="580" t="s">
        <v>1143</v>
      </c>
    </row>
    <row r="49" spans="13:19">
      <c r="M49" s="579" t="s">
        <v>1184</v>
      </c>
      <c r="N49" s="580" t="s">
        <v>1144</v>
      </c>
      <c r="O49" s="144" t="s">
        <v>1145</v>
      </c>
      <c r="P49" s="580" t="s">
        <v>1146</v>
      </c>
      <c r="Q49" s="144" t="s">
        <v>1147</v>
      </c>
      <c r="R49" s="144" t="s">
        <v>1148</v>
      </c>
      <c r="S49" s="580" t="s">
        <v>1149</v>
      </c>
    </row>
    <row r="50" spans="13:19">
      <c r="M50" s="579" t="s">
        <v>1185</v>
      </c>
      <c r="N50" s="581" t="s">
        <v>1091</v>
      </c>
      <c r="O50" s="41" t="s">
        <v>1094</v>
      </c>
      <c r="P50" s="581" t="s">
        <v>1093</v>
      </c>
      <c r="Q50" s="41" t="s">
        <v>1092</v>
      </c>
      <c r="R50" s="144" t="s">
        <v>1151</v>
      </c>
      <c r="S50" s="580" t="s">
        <v>1152</v>
      </c>
    </row>
    <row r="52" spans="13:19">
      <c r="M52" s="579" t="s">
        <v>1062</v>
      </c>
      <c r="N52" s="580" t="s">
        <v>1063</v>
      </c>
      <c r="O52" s="144" t="s">
        <v>1064</v>
      </c>
      <c r="P52" s="580" t="s">
        <v>1065</v>
      </c>
      <c r="Q52" s="144" t="s">
        <v>1066</v>
      </c>
      <c r="R52" s="144" t="s">
        <v>1067</v>
      </c>
      <c r="S52" s="580" t="s">
        <v>1068</v>
      </c>
    </row>
    <row r="53" spans="13:19">
      <c r="M53" s="579" t="s">
        <v>1070</v>
      </c>
      <c r="N53" s="581">
        <v>1000</v>
      </c>
      <c r="O53" s="41">
        <v>1200</v>
      </c>
      <c r="P53" s="581">
        <v>1400</v>
      </c>
      <c r="Q53" s="41">
        <v>1800</v>
      </c>
      <c r="R53" s="41">
        <v>2200</v>
      </c>
      <c r="S53" s="581">
        <v>2500</v>
      </c>
    </row>
    <row r="54" spans="13:19">
      <c r="M54" s="579" t="s">
        <v>1078</v>
      </c>
      <c r="N54" s="581">
        <v>0</v>
      </c>
      <c r="O54" s="41">
        <v>7000</v>
      </c>
      <c r="P54" s="581">
        <v>0</v>
      </c>
      <c r="Q54" s="41">
        <v>7000</v>
      </c>
      <c r="R54" s="41">
        <v>20000</v>
      </c>
      <c r="S54" s="581">
        <v>0</v>
      </c>
    </row>
    <row r="55" spans="13:19">
      <c r="M55" s="545" t="s">
        <v>1186</v>
      </c>
      <c r="N55" s="585" t="s">
        <v>1083</v>
      </c>
      <c r="O55" s="144" t="s">
        <v>1084</v>
      </c>
      <c r="P55" s="585" t="s">
        <v>1085</v>
      </c>
      <c r="Q55" s="144" t="s">
        <v>1086</v>
      </c>
      <c r="R55" s="144" t="s">
        <v>1087</v>
      </c>
      <c r="S55" s="580" t="s">
        <v>1088</v>
      </c>
    </row>
    <row r="56" spans="13:19">
      <c r="M56" s="545" t="s">
        <v>1187</v>
      </c>
      <c r="N56" s="581" t="s">
        <v>1091</v>
      </c>
      <c r="O56" s="41" t="s">
        <v>1092</v>
      </c>
      <c r="P56" s="581" t="s">
        <v>1093</v>
      </c>
      <c r="Q56" s="41" t="s">
        <v>1094</v>
      </c>
      <c r="R56" s="144" t="s">
        <v>1095</v>
      </c>
      <c r="S56" s="581" t="s">
        <v>1096</v>
      </c>
    </row>
    <row r="57" spans="13:19">
      <c r="M57" s="545" t="s">
        <v>1188</v>
      </c>
      <c r="N57" s="580" t="s">
        <v>1099</v>
      </c>
      <c r="O57" s="144" t="s">
        <v>1100</v>
      </c>
      <c r="P57" s="580" t="s">
        <v>1101</v>
      </c>
      <c r="Q57" s="144" t="s">
        <v>1102</v>
      </c>
      <c r="R57" s="144" t="s">
        <v>1103</v>
      </c>
      <c r="S57" s="580" t="s">
        <v>1104</v>
      </c>
    </row>
    <row r="58" spans="13:19">
      <c r="M58" s="545" t="s">
        <v>1189</v>
      </c>
      <c r="N58" s="580" t="s">
        <v>1108</v>
      </c>
      <c r="O58" s="144" t="s">
        <v>1109</v>
      </c>
      <c r="P58" s="580" t="s">
        <v>1110</v>
      </c>
      <c r="Q58" s="144" t="s">
        <v>1111</v>
      </c>
      <c r="R58" s="144" t="s">
        <v>1112</v>
      </c>
      <c r="S58" s="580" t="s">
        <v>1113</v>
      </c>
    </row>
    <row r="59" spans="13:19">
      <c r="M59" s="545" t="s">
        <v>1190</v>
      </c>
      <c r="N59" s="580" t="s">
        <v>1116</v>
      </c>
      <c r="O59" s="144" t="s">
        <v>1117</v>
      </c>
      <c r="P59" s="585" t="s">
        <v>1085</v>
      </c>
      <c r="Q59" s="144" t="s">
        <v>1118</v>
      </c>
      <c r="R59" s="144" t="s">
        <v>1119</v>
      </c>
      <c r="S59" s="580" t="s">
        <v>1120</v>
      </c>
    </row>
    <row r="60" spans="13:19">
      <c r="M60" s="545" t="s">
        <v>1191</v>
      </c>
      <c r="N60" s="580" t="s">
        <v>1123</v>
      </c>
      <c r="O60" s="144" t="s">
        <v>1124</v>
      </c>
      <c r="P60" s="580" t="s">
        <v>1125</v>
      </c>
      <c r="Q60" s="144" t="s">
        <v>1126</v>
      </c>
      <c r="R60" s="144" t="s">
        <v>1127</v>
      </c>
      <c r="S60" s="580" t="s">
        <v>1128</v>
      </c>
    </row>
    <row r="61" spans="13:19">
      <c r="M61" s="545" t="s">
        <v>1192</v>
      </c>
      <c r="N61" s="580" t="s">
        <v>1131</v>
      </c>
      <c r="O61" s="144" t="s">
        <v>1132</v>
      </c>
      <c r="P61" s="580" t="s">
        <v>1133</v>
      </c>
      <c r="Q61" s="144" t="s">
        <v>1134</v>
      </c>
      <c r="R61" s="144" t="s">
        <v>1135</v>
      </c>
      <c r="S61" s="580" t="s">
        <v>1136</v>
      </c>
    </row>
    <row r="62" spans="13:19">
      <c r="M62" s="545" t="s">
        <v>1193</v>
      </c>
      <c r="N62" s="580" t="s">
        <v>1138</v>
      </c>
      <c r="O62" s="144" t="s">
        <v>1139</v>
      </c>
      <c r="P62" s="580" t="s">
        <v>1140</v>
      </c>
      <c r="Q62" s="144" t="s">
        <v>1141</v>
      </c>
      <c r="R62" s="144" t="s">
        <v>1142</v>
      </c>
      <c r="S62" s="580" t="s">
        <v>1143</v>
      </c>
    </row>
    <row r="63" spans="13:19">
      <c r="M63" s="545" t="s">
        <v>1194</v>
      </c>
      <c r="N63" s="580" t="s">
        <v>1144</v>
      </c>
      <c r="O63" s="144" t="s">
        <v>1145</v>
      </c>
      <c r="P63" s="580" t="s">
        <v>1146</v>
      </c>
      <c r="Q63" s="144" t="s">
        <v>1147</v>
      </c>
      <c r="R63" s="144" t="s">
        <v>1148</v>
      </c>
      <c r="S63" s="580" t="s">
        <v>1149</v>
      </c>
    </row>
    <row r="64" spans="13:19">
      <c r="M64" s="545" t="s">
        <v>1195</v>
      </c>
      <c r="N64" s="581" t="s">
        <v>1091</v>
      </c>
      <c r="O64" s="41" t="s">
        <v>1094</v>
      </c>
      <c r="P64" s="581" t="s">
        <v>1093</v>
      </c>
      <c r="Q64" s="41" t="s">
        <v>1092</v>
      </c>
      <c r="R64" s="144" t="s">
        <v>1151</v>
      </c>
      <c r="S64" s="580" t="s">
        <v>1152</v>
      </c>
    </row>
    <row r="65" spans="13:19">
      <c r="M65" s="545" t="s">
        <v>1196</v>
      </c>
      <c r="N65" s="585" t="s">
        <v>1083</v>
      </c>
      <c r="O65" s="144" t="s">
        <v>1084</v>
      </c>
      <c r="P65" s="585" t="s">
        <v>1085</v>
      </c>
      <c r="Q65" s="144" t="s">
        <v>1086</v>
      </c>
      <c r="R65" s="144" t="s">
        <v>1087</v>
      </c>
      <c r="S65" s="580" t="s">
        <v>1088</v>
      </c>
    </row>
    <row r="66" spans="13:19">
      <c r="M66" s="545" t="s">
        <v>1197</v>
      </c>
      <c r="N66" s="581" t="s">
        <v>1091</v>
      </c>
      <c r="O66" s="41" t="s">
        <v>1092</v>
      </c>
      <c r="P66" s="581" t="s">
        <v>1093</v>
      </c>
      <c r="Q66" s="41" t="s">
        <v>1094</v>
      </c>
      <c r="R66" s="144" t="s">
        <v>1095</v>
      </c>
      <c r="S66" s="581" t="s">
        <v>1096</v>
      </c>
    </row>
    <row r="67" spans="13:19">
      <c r="N67" s="581"/>
      <c r="O67" s="41"/>
      <c r="P67" s="581"/>
      <c r="Q67" s="41"/>
      <c r="R67" s="144"/>
      <c r="S67" s="581"/>
    </row>
    <row r="68" spans="13:19">
      <c r="M68" s="579" t="s">
        <v>1062</v>
      </c>
      <c r="N68" s="580" t="s">
        <v>1063</v>
      </c>
      <c r="O68" s="144" t="s">
        <v>1064</v>
      </c>
      <c r="P68" s="580" t="s">
        <v>1065</v>
      </c>
      <c r="Q68" s="144" t="s">
        <v>1066</v>
      </c>
      <c r="R68" s="144" t="s">
        <v>1067</v>
      </c>
      <c r="S68" s="580" t="s">
        <v>1068</v>
      </c>
    </row>
    <row r="69" spans="13:19">
      <c r="M69" s="579" t="s">
        <v>1070</v>
      </c>
      <c r="N69" s="581">
        <v>1000</v>
      </c>
      <c r="O69" s="41">
        <v>1200</v>
      </c>
      <c r="P69" s="581">
        <v>1400</v>
      </c>
      <c r="Q69" s="41">
        <v>1800</v>
      </c>
      <c r="R69" s="41">
        <v>2200</v>
      </c>
      <c r="S69" s="581">
        <v>2500</v>
      </c>
    </row>
    <row r="70" spans="13:19">
      <c r="M70" s="579" t="s">
        <v>1078</v>
      </c>
      <c r="N70" s="581">
        <v>0</v>
      </c>
      <c r="O70" s="41">
        <v>7000</v>
      </c>
      <c r="P70" s="581">
        <v>0</v>
      </c>
      <c r="Q70" s="41">
        <v>7000</v>
      </c>
      <c r="R70" s="41">
        <v>20000</v>
      </c>
      <c r="S70" s="581">
        <v>0</v>
      </c>
    </row>
    <row r="71" spans="13:19">
      <c r="M71" s="545" t="s">
        <v>1198</v>
      </c>
      <c r="N71" s="580" t="s">
        <v>1099</v>
      </c>
      <c r="O71" s="144" t="s">
        <v>1100</v>
      </c>
      <c r="P71" s="580" t="s">
        <v>1101</v>
      </c>
      <c r="Q71" s="144" t="s">
        <v>1102</v>
      </c>
      <c r="R71" s="144" t="s">
        <v>1103</v>
      </c>
      <c r="S71" s="580" t="s">
        <v>1104</v>
      </c>
    </row>
    <row r="72" spans="13:19">
      <c r="M72" s="545" t="s">
        <v>1199</v>
      </c>
      <c r="N72" s="580" t="s">
        <v>1108</v>
      </c>
      <c r="O72" s="144" t="s">
        <v>1109</v>
      </c>
      <c r="P72" s="580" t="s">
        <v>1110</v>
      </c>
      <c r="Q72" s="144" t="s">
        <v>1111</v>
      </c>
      <c r="R72" s="144" t="s">
        <v>1112</v>
      </c>
      <c r="S72" s="580" t="s">
        <v>1113</v>
      </c>
    </row>
    <row r="73" spans="13:19">
      <c r="M73" s="545" t="s">
        <v>1200</v>
      </c>
      <c r="N73" s="580" t="s">
        <v>1116</v>
      </c>
      <c r="O73" s="144" t="s">
        <v>1117</v>
      </c>
      <c r="P73" s="585" t="s">
        <v>1085</v>
      </c>
      <c r="Q73" s="144" t="s">
        <v>1118</v>
      </c>
      <c r="R73" s="144" t="s">
        <v>1119</v>
      </c>
      <c r="S73" s="580" t="s">
        <v>1120</v>
      </c>
    </row>
    <row r="74" spans="13:19">
      <c r="M74" s="545" t="s">
        <v>1201</v>
      </c>
      <c r="N74" s="580" t="s">
        <v>1123</v>
      </c>
      <c r="O74" s="144" t="s">
        <v>1124</v>
      </c>
      <c r="P74" s="580" t="s">
        <v>1125</v>
      </c>
      <c r="Q74" s="144" t="s">
        <v>1126</v>
      </c>
      <c r="R74" s="144" t="s">
        <v>1127</v>
      </c>
      <c r="S74" s="580" t="s">
        <v>1128</v>
      </c>
    </row>
    <row r="75" spans="13:19">
      <c r="M75" s="545" t="s">
        <v>1202</v>
      </c>
      <c r="N75" s="580" t="s">
        <v>1131</v>
      </c>
      <c r="O75" s="144" t="s">
        <v>1132</v>
      </c>
      <c r="P75" s="580" t="s">
        <v>1133</v>
      </c>
      <c r="Q75" s="144" t="s">
        <v>1134</v>
      </c>
      <c r="R75" s="144" t="s">
        <v>1135</v>
      </c>
      <c r="S75" s="580" t="s">
        <v>1136</v>
      </c>
    </row>
    <row r="76" spans="13:19">
      <c r="M76" s="545" t="s">
        <v>1203</v>
      </c>
      <c r="N76" s="580" t="s">
        <v>1138</v>
      </c>
      <c r="O76" s="144" t="s">
        <v>1139</v>
      </c>
      <c r="P76" s="580" t="s">
        <v>1140</v>
      </c>
      <c r="Q76" s="144" t="s">
        <v>1141</v>
      </c>
      <c r="R76" s="144" t="s">
        <v>1142</v>
      </c>
      <c r="S76" s="580" t="s">
        <v>1143</v>
      </c>
    </row>
    <row r="77" spans="13:19">
      <c r="M77" s="545" t="s">
        <v>1204</v>
      </c>
      <c r="N77" s="580" t="s">
        <v>1144</v>
      </c>
      <c r="O77" s="144" t="s">
        <v>1145</v>
      </c>
      <c r="P77" s="580" t="s">
        <v>1146</v>
      </c>
      <c r="Q77" s="144" t="s">
        <v>1147</v>
      </c>
      <c r="R77" s="144" t="s">
        <v>1148</v>
      </c>
      <c r="S77" s="580" t="s">
        <v>1149</v>
      </c>
    </row>
    <row r="78" spans="13:19">
      <c r="M78" s="545" t="s">
        <v>1205</v>
      </c>
      <c r="N78" s="581" t="s">
        <v>1091</v>
      </c>
      <c r="O78" s="41" t="s">
        <v>1094</v>
      </c>
      <c r="P78" s="581" t="s">
        <v>1093</v>
      </c>
      <c r="Q78" s="41" t="s">
        <v>1092</v>
      </c>
      <c r="R78" s="144" t="s">
        <v>1151</v>
      </c>
      <c r="S78" s="580" t="s">
        <v>1152</v>
      </c>
    </row>
    <row r="79" spans="13:19">
      <c r="M79" s="545" t="s">
        <v>1206</v>
      </c>
      <c r="N79" s="585" t="s">
        <v>1083</v>
      </c>
      <c r="O79" s="144" t="s">
        <v>1084</v>
      </c>
      <c r="P79" s="585" t="s">
        <v>1085</v>
      </c>
      <c r="Q79" s="144" t="s">
        <v>1086</v>
      </c>
      <c r="R79" s="144" t="s">
        <v>1087</v>
      </c>
      <c r="S79" s="580" t="s">
        <v>1088</v>
      </c>
    </row>
    <row r="80" spans="13:19">
      <c r="M80" s="545" t="s">
        <v>1207</v>
      </c>
      <c r="N80" s="581" t="s">
        <v>1091</v>
      </c>
      <c r="O80" s="41" t="s">
        <v>1092</v>
      </c>
      <c r="P80" s="581" t="s">
        <v>1093</v>
      </c>
      <c r="Q80" s="41" t="s">
        <v>1094</v>
      </c>
      <c r="R80" s="144" t="s">
        <v>1095</v>
      </c>
      <c r="S80" s="581" t="s">
        <v>1096</v>
      </c>
    </row>
    <row r="81" spans="13:19">
      <c r="M81" s="545" t="s">
        <v>1208</v>
      </c>
      <c r="N81" s="580" t="s">
        <v>1099</v>
      </c>
      <c r="O81" s="144" t="s">
        <v>1100</v>
      </c>
      <c r="P81" s="580" t="s">
        <v>1101</v>
      </c>
      <c r="Q81" s="144" t="s">
        <v>1102</v>
      </c>
      <c r="R81" s="144" t="s">
        <v>1103</v>
      </c>
      <c r="S81" s="580" t="s">
        <v>1104</v>
      </c>
    </row>
    <row r="82" spans="13:19">
      <c r="M82" s="545" t="s">
        <v>1209</v>
      </c>
      <c r="N82" s="580" t="s">
        <v>1108</v>
      </c>
      <c r="O82" s="144" t="s">
        <v>1109</v>
      </c>
      <c r="P82" s="580" t="s">
        <v>1110</v>
      </c>
      <c r="Q82" s="144" t="s">
        <v>1111</v>
      </c>
      <c r="R82" s="144" t="s">
        <v>1112</v>
      </c>
      <c r="S82" s="580" t="s">
        <v>1113</v>
      </c>
    </row>
    <row r="83" spans="13:19">
      <c r="N83" s="580"/>
      <c r="O83" s="144"/>
      <c r="P83" s="585"/>
      <c r="Q83" s="144"/>
      <c r="R83" s="144"/>
      <c r="S83" s="580"/>
    </row>
    <row r="84" spans="13:19">
      <c r="N84" s="580"/>
      <c r="O84" s="144"/>
      <c r="P84" s="580"/>
      <c r="Q84" s="144"/>
      <c r="R84" s="144"/>
      <c r="S84" s="580"/>
    </row>
    <row r="85" spans="13:19">
      <c r="N85" s="580"/>
      <c r="O85" s="144"/>
      <c r="P85" s="580"/>
      <c r="Q85" s="144"/>
      <c r="R85" s="144"/>
      <c r="S85" s="580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topLeftCell="A3" workbookViewId="0">
      <selection activeCell="G26" sqref="G26"/>
    </sheetView>
  </sheetViews>
  <sheetFormatPr defaultColWidth="9" defaultRowHeight="13.5"/>
  <cols>
    <col min="1" max="1" width="3.5" customWidth="1"/>
    <col min="2" max="2" width="14.625" style="545" customWidth="1"/>
    <col min="3" max="13" width="12.625" style="545" customWidth="1"/>
  </cols>
  <sheetData>
    <row r="1" ht="14.25" spans="1:13"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</row>
    <row r="2" ht="24.75" customHeight="1" spans="1:13">
      <c r="A2" s="547"/>
      <c r="B2" s="548" t="s">
        <v>1210</v>
      </c>
      <c r="C2" s="549" t="s">
        <v>1211</v>
      </c>
      <c r="D2" s="548" t="s">
        <v>1210</v>
      </c>
      <c r="E2" s="549" t="s">
        <v>1211</v>
      </c>
      <c r="F2" s="548" t="s">
        <v>1210</v>
      </c>
      <c r="G2" s="549" t="s">
        <v>1211</v>
      </c>
      <c r="H2" s="548" t="s">
        <v>1210</v>
      </c>
      <c r="I2" s="549" t="s">
        <v>1211</v>
      </c>
      <c r="J2" s="548" t="s">
        <v>1210</v>
      </c>
      <c r="K2" s="549" t="s">
        <v>1211</v>
      </c>
      <c r="L2" s="548" t="s">
        <v>1210</v>
      </c>
      <c r="M2" s="549" t="s">
        <v>1211</v>
      </c>
    </row>
    <row r="3" ht="24.75" customHeight="1" spans="1:13">
      <c r="A3" s="547"/>
      <c r="B3" s="550"/>
      <c r="C3" s="551"/>
      <c r="D3" s="552" t="s">
        <v>776</v>
      </c>
      <c r="E3" s="553" t="s">
        <v>1212</v>
      </c>
      <c r="F3" s="552" t="s">
        <v>790</v>
      </c>
      <c r="G3" s="553" t="s">
        <v>1213</v>
      </c>
      <c r="H3" s="552"/>
      <c r="I3" s="553"/>
      <c r="J3" s="552" t="s">
        <v>824</v>
      </c>
      <c r="K3" s="553" t="s">
        <v>1214</v>
      </c>
      <c r="L3" s="552" t="s">
        <v>851</v>
      </c>
      <c r="M3" s="553" t="s">
        <v>1215</v>
      </c>
    </row>
    <row r="4" ht="24.75" customHeight="1" spans="1:13">
      <c r="A4" s="547"/>
      <c r="B4" s="552"/>
      <c r="C4" s="553"/>
      <c r="D4" s="552" t="s">
        <v>800</v>
      </c>
      <c r="E4" s="553" t="s">
        <v>1216</v>
      </c>
      <c r="F4" s="552" t="s">
        <v>849</v>
      </c>
      <c r="G4" s="553" t="s">
        <v>1217</v>
      </c>
      <c r="H4" s="552" t="s">
        <v>844</v>
      </c>
      <c r="I4" s="553" t="s">
        <v>1218</v>
      </c>
      <c r="J4" s="552"/>
      <c r="K4" s="553"/>
      <c r="L4" s="552"/>
      <c r="M4" s="553"/>
    </row>
    <row r="5" ht="24.75" customHeight="1" spans="1:13">
      <c r="A5" s="547"/>
      <c r="B5" s="552"/>
      <c r="C5" s="553"/>
      <c r="D5" s="552" t="s">
        <v>812</v>
      </c>
      <c r="E5" s="553" t="s">
        <v>1219</v>
      </c>
      <c r="F5" s="554" t="s">
        <v>1047</v>
      </c>
      <c r="G5" s="555" t="s">
        <v>1220</v>
      </c>
      <c r="H5" s="552"/>
      <c r="I5" s="553"/>
      <c r="J5" s="552"/>
      <c r="K5" s="553"/>
      <c r="L5" s="552"/>
      <c r="M5" s="553"/>
    </row>
    <row r="6" ht="24.75" customHeight="1" spans="1:13">
      <c r="A6" s="547"/>
      <c r="B6" s="556"/>
      <c r="C6" s="557"/>
      <c r="D6" s="552" t="s">
        <v>801</v>
      </c>
      <c r="E6" s="553" t="s">
        <v>1221</v>
      </c>
      <c r="F6" s="552" t="s">
        <v>792</v>
      </c>
      <c r="G6" s="553" t="s">
        <v>1222</v>
      </c>
      <c r="H6" s="552" t="s">
        <v>778</v>
      </c>
      <c r="I6" s="553" t="s">
        <v>1223</v>
      </c>
      <c r="J6" s="552" t="s">
        <v>821</v>
      </c>
      <c r="K6" s="553" t="s">
        <v>1224</v>
      </c>
      <c r="L6" s="552" t="s">
        <v>831</v>
      </c>
      <c r="M6" s="553" t="s">
        <v>1225</v>
      </c>
    </row>
    <row r="7" ht="24.75" customHeight="1" spans="1:13">
      <c r="A7" s="547"/>
      <c r="B7" s="552"/>
      <c r="C7" s="553"/>
      <c r="D7" s="552" t="s">
        <v>1226</v>
      </c>
      <c r="E7" s="553" t="s">
        <v>1227</v>
      </c>
      <c r="F7" s="552" t="s">
        <v>782</v>
      </c>
      <c r="G7" s="553" t="s">
        <v>1228</v>
      </c>
      <c r="H7" s="552"/>
      <c r="I7" s="553"/>
      <c r="J7" s="552"/>
      <c r="K7" s="553"/>
      <c r="L7" s="552"/>
      <c r="M7" s="553"/>
    </row>
    <row r="8" ht="24.75" customHeight="1" spans="1:13">
      <c r="A8" s="547"/>
      <c r="B8" s="552"/>
      <c r="C8" s="553"/>
      <c r="D8" s="552" t="s">
        <v>817</v>
      </c>
      <c r="E8" s="553" t="s">
        <v>1229</v>
      </c>
      <c r="F8" s="552" t="s">
        <v>772</v>
      </c>
      <c r="G8" s="553" t="s">
        <v>1230</v>
      </c>
      <c r="H8" s="554" t="s">
        <v>500</v>
      </c>
      <c r="I8" s="555" t="s">
        <v>1231</v>
      </c>
      <c r="J8" s="552" t="s">
        <v>802</v>
      </c>
      <c r="K8" s="553" t="s">
        <v>1232</v>
      </c>
      <c r="L8" s="552" t="s">
        <v>815</v>
      </c>
      <c r="M8" s="553" t="s">
        <v>1233</v>
      </c>
    </row>
    <row r="9" ht="24.75" customHeight="1" spans="1:13">
      <c r="A9" s="547"/>
      <c r="B9" s="554" t="s">
        <v>1040</v>
      </c>
      <c r="C9" s="555" t="s">
        <v>1234</v>
      </c>
      <c r="D9" s="552" t="s">
        <v>811</v>
      </c>
      <c r="E9" s="553" t="s">
        <v>1235</v>
      </c>
      <c r="F9" s="552" t="s">
        <v>787</v>
      </c>
      <c r="G9" s="553" t="s">
        <v>1236</v>
      </c>
      <c r="H9" s="552"/>
      <c r="I9" s="553"/>
      <c r="J9" s="552"/>
      <c r="K9" s="553"/>
      <c r="L9" s="552"/>
      <c r="M9" s="553"/>
    </row>
    <row r="10" ht="24.75" customHeight="1" spans="1:13">
      <c r="A10" s="547"/>
      <c r="B10" s="552" t="s">
        <v>786</v>
      </c>
      <c r="C10" s="553" t="s">
        <v>1237</v>
      </c>
      <c r="D10" s="552" t="s">
        <v>823</v>
      </c>
      <c r="E10" s="553" t="s">
        <v>1238</v>
      </c>
      <c r="F10" s="552" t="s">
        <v>827</v>
      </c>
      <c r="G10" s="553" t="s">
        <v>1239</v>
      </c>
      <c r="H10" s="552" t="s">
        <v>809</v>
      </c>
      <c r="I10" s="553" t="s">
        <v>1240</v>
      </c>
      <c r="J10" s="552" t="s">
        <v>828</v>
      </c>
      <c r="K10" s="553" t="s">
        <v>1241</v>
      </c>
      <c r="L10" s="552" t="s">
        <v>854</v>
      </c>
      <c r="M10" s="553" t="s">
        <v>1242</v>
      </c>
    </row>
    <row r="11" ht="24.75" customHeight="1" spans="1:13">
      <c r="A11" s="547"/>
      <c r="B11" s="552" t="s">
        <v>785</v>
      </c>
      <c r="C11" s="553" t="s">
        <v>1243</v>
      </c>
      <c r="D11" s="552" t="s">
        <v>808</v>
      </c>
      <c r="E11" s="553" t="s">
        <v>1244</v>
      </c>
      <c r="F11" s="558"/>
      <c r="G11" s="559"/>
      <c r="H11" s="552"/>
      <c r="I11" s="553"/>
      <c r="J11" s="552"/>
      <c r="K11" s="553"/>
      <c r="L11" s="552"/>
      <c r="M11" s="553"/>
    </row>
    <row r="12" ht="24.75" customHeight="1" spans="1:13">
      <c r="A12" s="547"/>
      <c r="B12" s="560" t="s">
        <v>1041</v>
      </c>
      <c r="C12" s="561" t="s">
        <v>1245</v>
      </c>
      <c r="D12" s="562" t="s">
        <v>788</v>
      </c>
      <c r="E12" s="563" t="s">
        <v>1246</v>
      </c>
      <c r="F12" s="562" t="s">
        <v>818</v>
      </c>
      <c r="G12" s="563" t="s">
        <v>1247</v>
      </c>
      <c r="H12" s="562" t="s">
        <v>816</v>
      </c>
      <c r="I12" s="563" t="s">
        <v>1248</v>
      </c>
      <c r="J12" s="562" t="s">
        <v>826</v>
      </c>
      <c r="K12" s="563" t="s">
        <v>1249</v>
      </c>
      <c r="L12" s="560" t="s">
        <v>1045</v>
      </c>
      <c r="M12" s="561" t="s">
        <v>1250</v>
      </c>
    </row>
    <row r="13" ht="24.75" customHeight="1" spans="1:13">
      <c r="A13" s="547"/>
      <c r="B13" s="552" t="s">
        <v>774</v>
      </c>
      <c r="C13" s="553" t="s">
        <v>1251</v>
      </c>
      <c r="D13" s="552" t="s">
        <v>793</v>
      </c>
      <c r="E13" s="553" t="s">
        <v>1252</v>
      </c>
      <c r="F13" s="552" t="s">
        <v>806</v>
      </c>
      <c r="G13" s="553" t="s">
        <v>1253</v>
      </c>
      <c r="H13" s="552"/>
      <c r="I13" s="553"/>
      <c r="J13" s="552"/>
      <c r="K13" s="553"/>
      <c r="L13" s="552"/>
      <c r="M13" s="553"/>
    </row>
    <row r="14" ht="24.75" customHeight="1" spans="1:13">
      <c r="A14" s="547"/>
      <c r="B14" s="564" t="s">
        <v>780</v>
      </c>
      <c r="C14" s="565" t="s">
        <v>1254</v>
      </c>
      <c r="D14" s="566" t="s">
        <v>783</v>
      </c>
      <c r="E14" s="565" t="s">
        <v>1255</v>
      </c>
      <c r="F14" s="566"/>
      <c r="G14" s="565"/>
      <c r="H14" s="566" t="s">
        <v>836</v>
      </c>
      <c r="I14" s="565" t="s">
        <v>1256</v>
      </c>
      <c r="J14" s="566" t="s">
        <v>833</v>
      </c>
      <c r="K14" s="565" t="s">
        <v>1257</v>
      </c>
      <c r="L14" s="566" t="s">
        <v>819</v>
      </c>
      <c r="M14" s="565" t="s">
        <v>1258</v>
      </c>
    </row>
    <row r="15" s="14" customFormat="1" ht="24.75" customHeight="1" spans="1:13">
      <c r="B15" s="567"/>
      <c r="C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</row>
    <row r="16" ht="24.75" customHeight="1" spans="1:13">
      <c r="A16" s="547"/>
      <c r="B16" s="568" t="s">
        <v>1210</v>
      </c>
      <c r="C16" s="569" t="s">
        <v>1211</v>
      </c>
      <c r="D16" s="568" t="s">
        <v>1210</v>
      </c>
      <c r="E16" s="569" t="s">
        <v>1211</v>
      </c>
      <c r="F16" s="568" t="s">
        <v>1210</v>
      </c>
      <c r="G16" s="569" t="s">
        <v>1211</v>
      </c>
      <c r="H16" s="568" t="s">
        <v>1210</v>
      </c>
      <c r="I16" s="569" t="s">
        <v>1211</v>
      </c>
      <c r="J16" s="568" t="s">
        <v>1210</v>
      </c>
      <c r="K16" s="569" t="s">
        <v>1211</v>
      </c>
      <c r="L16" s="568" t="s">
        <v>1210</v>
      </c>
      <c r="M16" s="569" t="s">
        <v>1211</v>
      </c>
    </row>
    <row r="17" ht="24.75" customHeight="1" spans="1:13">
      <c r="A17" s="547"/>
      <c r="B17" s="552"/>
      <c r="C17" s="553"/>
      <c r="D17" s="552" t="s">
        <v>863</v>
      </c>
      <c r="E17" s="553" t="s">
        <v>1259</v>
      </c>
      <c r="F17" s="552"/>
      <c r="G17" s="553"/>
      <c r="H17" s="552"/>
      <c r="I17" s="553"/>
      <c r="J17" s="552"/>
      <c r="K17" s="553"/>
      <c r="L17" s="552"/>
      <c r="M17" s="553"/>
    </row>
    <row r="18" ht="24.75" customHeight="1" spans="1:13">
      <c r="A18" s="547"/>
      <c r="B18" s="552" t="s">
        <v>835</v>
      </c>
      <c r="C18" s="553" t="s">
        <v>1260</v>
      </c>
      <c r="D18" s="552"/>
      <c r="E18" s="553"/>
      <c r="F18" s="552" t="s">
        <v>1048</v>
      </c>
      <c r="G18" s="553" t="s">
        <v>1261</v>
      </c>
      <c r="H18" s="552"/>
      <c r="I18" s="553"/>
      <c r="J18" s="552"/>
      <c r="K18" s="553"/>
      <c r="L18" s="552"/>
      <c r="M18" s="553"/>
    </row>
    <row r="19" ht="24.75" customHeight="1" spans="1:13">
      <c r="A19" s="547"/>
      <c r="B19" s="552"/>
      <c r="C19" s="553"/>
      <c r="D19" s="552" t="s">
        <v>839</v>
      </c>
      <c r="E19" s="553" t="s">
        <v>1262</v>
      </c>
      <c r="F19" s="552"/>
      <c r="G19" s="553"/>
      <c r="H19" s="552"/>
      <c r="I19" s="553"/>
      <c r="J19" s="552"/>
      <c r="K19" s="553"/>
      <c r="L19" s="552"/>
      <c r="M19" s="553"/>
    </row>
    <row r="20" ht="24.75" customHeight="1" spans="1:13">
      <c r="A20" s="547"/>
      <c r="B20" s="552" t="s">
        <v>837</v>
      </c>
      <c r="C20" s="553" t="s">
        <v>1263</v>
      </c>
      <c r="D20" s="552"/>
      <c r="E20" s="553"/>
      <c r="F20" s="552" t="s">
        <v>1043</v>
      </c>
      <c r="G20" s="553" t="s">
        <v>1264</v>
      </c>
      <c r="H20" s="552"/>
      <c r="I20" s="553"/>
      <c r="J20" s="552"/>
      <c r="K20" s="553"/>
      <c r="L20" s="552"/>
      <c r="M20" s="553"/>
    </row>
    <row r="21" ht="24.75" customHeight="1" spans="1:13">
      <c r="A21" s="547"/>
      <c r="B21" s="552"/>
      <c r="C21" s="553"/>
      <c r="D21" s="552" t="s">
        <v>825</v>
      </c>
      <c r="E21" s="553" t="s">
        <v>1265</v>
      </c>
      <c r="F21" s="552"/>
      <c r="G21" s="553"/>
      <c r="H21" s="552"/>
      <c r="I21" s="553"/>
      <c r="J21" s="552"/>
      <c r="K21" s="553"/>
      <c r="L21" s="552"/>
      <c r="M21" s="553"/>
    </row>
    <row r="22" ht="24.75" customHeight="1" spans="1:13">
      <c r="A22" s="547"/>
      <c r="B22" s="554" t="s">
        <v>1266</v>
      </c>
      <c r="C22" s="555" t="s">
        <v>1267</v>
      </c>
      <c r="D22" s="552"/>
      <c r="E22" s="553"/>
      <c r="F22" s="552" t="s">
        <v>1049</v>
      </c>
      <c r="G22" s="553" t="s">
        <v>1268</v>
      </c>
      <c r="H22" s="552"/>
      <c r="I22" s="553"/>
      <c r="J22" s="552"/>
      <c r="K22" s="553"/>
      <c r="L22" s="552"/>
      <c r="M22" s="553"/>
    </row>
    <row r="23" ht="24.75" customHeight="1" spans="1:13">
      <c r="A23" s="547"/>
      <c r="B23" s="552"/>
      <c r="C23" s="553"/>
      <c r="D23" s="552" t="s">
        <v>1042</v>
      </c>
      <c r="E23" s="553" t="s">
        <v>1269</v>
      </c>
      <c r="F23" s="552"/>
      <c r="G23" s="553"/>
      <c r="H23" s="552"/>
      <c r="I23" s="553"/>
      <c r="J23" s="552"/>
      <c r="K23" s="553"/>
      <c r="L23" s="552"/>
      <c r="M23" s="553"/>
    </row>
    <row r="24" ht="24.75" customHeight="1" spans="1:13">
      <c r="A24" s="547"/>
      <c r="B24" s="552" t="s">
        <v>858</v>
      </c>
      <c r="C24" s="553" t="s">
        <v>1270</v>
      </c>
      <c r="D24" s="552"/>
      <c r="E24" s="553"/>
      <c r="F24" s="552"/>
      <c r="G24" s="553"/>
      <c r="H24" s="552"/>
      <c r="I24" s="553"/>
      <c r="J24" s="552"/>
      <c r="K24" s="553"/>
      <c r="L24" s="552"/>
      <c r="M24" s="553"/>
    </row>
    <row r="25" ht="24.75" customHeight="1" spans="1:13">
      <c r="A25" s="547"/>
      <c r="B25" s="552"/>
      <c r="C25" s="553"/>
      <c r="D25" s="552"/>
      <c r="E25" s="553"/>
      <c r="F25" s="552"/>
      <c r="G25" s="553"/>
      <c r="H25" s="552"/>
      <c r="I25" s="553"/>
      <c r="J25" s="552"/>
      <c r="K25" s="553"/>
      <c r="L25" s="552"/>
      <c r="M25" s="553"/>
    </row>
    <row r="26" ht="24.75" customHeight="1" spans="1:13">
      <c r="A26" s="547"/>
      <c r="B26" s="562" t="s">
        <v>861</v>
      </c>
      <c r="C26" s="563" t="s">
        <v>1271</v>
      </c>
      <c r="D26" s="570" t="s">
        <v>1044</v>
      </c>
      <c r="E26" s="563" t="s">
        <v>1272</v>
      </c>
      <c r="F26" s="570"/>
      <c r="G26" s="571"/>
      <c r="H26" s="570"/>
      <c r="I26" s="571"/>
      <c r="J26" s="570"/>
      <c r="K26" s="571"/>
      <c r="L26" s="570"/>
      <c r="M26" s="571"/>
    </row>
    <row r="27" s="14" customFormat="1" ht="33.75" customHeight="1" spans="1:13">
      <c r="A27" s="547"/>
      <c r="B27" s="554" t="s">
        <v>1047</v>
      </c>
      <c r="C27" s="572" t="s">
        <v>1273</v>
      </c>
      <c r="D27" s="573" t="s">
        <v>1274</v>
      </c>
      <c r="E27" s="553" t="s">
        <v>1275</v>
      </c>
      <c r="F27" s="552"/>
      <c r="G27" s="553"/>
      <c r="H27" s="552"/>
      <c r="I27" s="553"/>
      <c r="J27" s="552"/>
      <c r="K27" s="553"/>
      <c r="L27" s="552"/>
      <c r="M27" s="553"/>
    </row>
    <row r="28" s="14" customFormat="1" ht="24.75" customHeight="1" spans="1:13">
      <c r="A28" s="547"/>
      <c r="B28" s="552"/>
      <c r="C28" s="574"/>
      <c r="D28" s="566"/>
      <c r="E28" s="565"/>
      <c r="F28" s="566"/>
      <c r="G28" s="565"/>
      <c r="H28" s="566"/>
      <c r="I28" s="565"/>
      <c r="J28" s="566"/>
      <c r="K28" s="565"/>
      <c r="L28" s="566"/>
      <c r="M28" s="565"/>
    </row>
    <row r="29" s="14" customFormat="1" ht="24.75" customHeight="1" spans="1:13">
      <c r="B29" s="575"/>
      <c r="C29" s="575"/>
      <c r="D29" s="575"/>
      <c r="E29" s="575"/>
      <c r="F29" s="575"/>
      <c r="G29" s="575"/>
      <c r="H29" s="575"/>
      <c r="I29" s="575"/>
      <c r="J29" s="575"/>
      <c r="K29" s="575"/>
      <c r="L29" s="575"/>
      <c r="M29" s="575"/>
    </row>
    <row r="30" s="14" customFormat="1" ht="24.75" customHeight="1" spans="1:13">
      <c r="B30" s="575"/>
      <c r="C30" s="575"/>
      <c r="D30" s="575"/>
      <c r="E30" s="575"/>
      <c r="F30" s="575"/>
      <c r="G30" s="575"/>
      <c r="H30" s="575"/>
      <c r="I30" s="575"/>
      <c r="J30" s="575"/>
      <c r="K30" s="575"/>
      <c r="L30" s="575"/>
      <c r="M30" s="575"/>
    </row>
    <row r="31" s="14" customFormat="1" ht="24.75" customHeight="1" spans="1:13">
      <c r="B31" s="575"/>
      <c r="C31" s="575"/>
      <c r="D31" s="575"/>
      <c r="E31" s="575"/>
      <c r="F31" s="575"/>
      <c r="G31" s="575"/>
      <c r="H31" s="575"/>
      <c r="I31" s="575"/>
      <c r="J31" s="575"/>
      <c r="K31" s="575"/>
      <c r="L31" s="575"/>
      <c r="M31" s="575"/>
    </row>
    <row r="32" s="14" customFormat="1" ht="24.75" customHeight="1" spans="1:13">
      <c r="B32" s="575"/>
      <c r="C32" s="575"/>
      <c r="D32" s="575"/>
      <c r="E32" s="575"/>
      <c r="F32" s="575"/>
      <c r="G32" s="575"/>
      <c r="H32" s="575"/>
      <c r="I32" s="575"/>
      <c r="J32" s="575"/>
      <c r="K32" s="575"/>
      <c r="L32" s="575"/>
      <c r="M32" s="575"/>
    </row>
    <row r="33" s="14" customFormat="1" ht="24.75" customHeight="1" spans="2:13">
      <c r="B33" s="575"/>
      <c r="C33" s="575"/>
      <c r="D33" s="575"/>
      <c r="E33" s="575"/>
      <c r="F33" s="575"/>
      <c r="G33" s="575"/>
      <c r="H33" s="575"/>
      <c r="I33" s="575"/>
      <c r="J33" s="575"/>
      <c r="K33" s="575"/>
      <c r="L33" s="575"/>
      <c r="M33" s="575"/>
    </row>
    <row r="34" s="14" customFormat="1" ht="24.75" customHeight="1" spans="2:13">
      <c r="B34" s="575"/>
      <c r="C34" s="575"/>
      <c r="D34" s="575"/>
      <c r="E34" s="575"/>
      <c r="F34" s="575"/>
      <c r="G34" s="575"/>
      <c r="H34" s="575"/>
      <c r="I34" s="575"/>
      <c r="J34" s="575"/>
      <c r="K34" s="575"/>
      <c r="L34" s="575"/>
      <c r="M34" s="575"/>
    </row>
    <row r="35" s="14" customFormat="1" ht="24.75" customHeight="1" spans="2:13">
      <c r="B35" s="575"/>
      <c r="C35" s="575"/>
      <c r="D35" s="575"/>
      <c r="E35" s="575"/>
      <c r="F35" s="575"/>
      <c r="G35" s="575"/>
      <c r="H35" s="575"/>
      <c r="I35" s="575"/>
      <c r="J35" s="575"/>
      <c r="K35" s="575"/>
      <c r="L35" s="575"/>
      <c r="M35" s="575"/>
    </row>
    <row r="36" s="14" customFormat="1" ht="24.75" customHeight="1" spans="2:13">
      <c r="B36" s="575"/>
      <c r="C36" s="575"/>
      <c r="D36" s="575"/>
      <c r="E36" s="575"/>
      <c r="F36" s="575"/>
      <c r="G36" s="575"/>
      <c r="H36" s="575"/>
      <c r="I36" s="575"/>
      <c r="J36" s="575"/>
      <c r="K36" s="575"/>
      <c r="L36" s="575"/>
      <c r="M36" s="575"/>
    </row>
    <row r="37" s="14" customFormat="1" ht="24.75" customHeight="1" spans="2:13">
      <c r="B37" s="575"/>
      <c r="C37" s="575"/>
      <c r="D37" s="575"/>
      <c r="E37" s="575"/>
      <c r="F37" s="575"/>
      <c r="G37" s="575"/>
      <c r="H37" s="575"/>
      <c r="I37" s="575"/>
      <c r="J37" s="575"/>
      <c r="K37" s="575"/>
      <c r="L37" s="575"/>
      <c r="M37" s="575"/>
    </row>
    <row r="38" s="14" customFormat="1" ht="24.75" customHeight="1" spans="2:13">
      <c r="B38" s="575"/>
      <c r="C38" s="575"/>
      <c r="D38" s="575"/>
      <c r="E38" s="575"/>
      <c r="F38" s="575"/>
      <c r="G38" s="575"/>
      <c r="H38" s="575"/>
      <c r="I38" s="575"/>
      <c r="J38" s="575"/>
      <c r="K38" s="575"/>
      <c r="L38" s="575"/>
      <c r="M38" s="575"/>
    </row>
    <row r="39" s="14" customFormat="1" ht="24.75" customHeight="1" spans="2:13">
      <c r="B39" s="575"/>
      <c r="C39" s="575"/>
      <c r="D39" s="575"/>
      <c r="E39" s="575"/>
      <c r="F39" s="575"/>
      <c r="G39" s="575"/>
      <c r="H39" s="575"/>
      <c r="I39" s="575"/>
      <c r="J39" s="575"/>
      <c r="K39" s="575"/>
      <c r="L39" s="575"/>
      <c r="M39" s="575"/>
    </row>
    <row r="40" s="14" customFormat="1" ht="24.75" customHeight="1" spans="2:13">
      <c r="B40" s="575"/>
      <c r="C40" s="575"/>
      <c r="D40" s="575"/>
      <c r="E40" s="575"/>
      <c r="F40" s="575"/>
      <c r="G40" s="575"/>
      <c r="H40" s="575"/>
      <c r="I40" s="575"/>
      <c r="J40" s="575"/>
      <c r="K40" s="575"/>
      <c r="L40" s="575"/>
      <c r="M40" s="575"/>
    </row>
    <row r="41" s="14" customFormat="1" ht="24.75" customHeight="1" spans="2:13">
      <c r="B41" s="575"/>
      <c r="C41" s="575"/>
      <c r="D41" s="575"/>
      <c r="E41" s="575"/>
      <c r="F41" s="575"/>
      <c r="G41" s="575"/>
      <c r="H41" s="575"/>
      <c r="I41" s="575"/>
      <c r="J41" s="575"/>
      <c r="K41" s="575"/>
      <c r="L41" s="575"/>
      <c r="M41" s="575"/>
    </row>
    <row r="42" s="14" customFormat="1" ht="24.75" customHeight="1" spans="2:13">
      <c r="B42" s="575"/>
      <c r="C42" s="575"/>
      <c r="D42" s="575"/>
      <c r="E42" s="575"/>
      <c r="F42" s="575"/>
      <c r="G42" s="575"/>
      <c r="H42" s="575"/>
      <c r="I42" s="575"/>
      <c r="J42" s="575"/>
      <c r="K42" s="575"/>
      <c r="L42" s="575"/>
      <c r="M42" s="575"/>
    </row>
    <row r="43" s="14" customFormat="1" ht="24.75" customHeight="1" spans="2:13">
      <c r="B43" s="575"/>
      <c r="C43" s="575"/>
      <c r="D43" s="575"/>
      <c r="E43" s="575"/>
      <c r="F43" s="575"/>
      <c r="G43" s="575"/>
      <c r="H43" s="575"/>
      <c r="I43" s="575"/>
      <c r="J43" s="575"/>
      <c r="K43" s="575"/>
      <c r="L43" s="575"/>
      <c r="M43" s="575"/>
    </row>
    <row r="44" s="14" customFormat="1" ht="24.75" customHeight="1" spans="2:13">
      <c r="B44" s="575"/>
      <c r="C44" s="575"/>
      <c r="D44" s="575"/>
      <c r="E44" s="575"/>
      <c r="F44" s="575"/>
      <c r="G44" s="575"/>
      <c r="H44" s="575"/>
      <c r="I44" s="575"/>
      <c r="J44" s="575"/>
      <c r="K44" s="575"/>
      <c r="L44" s="575"/>
      <c r="M44" s="575"/>
    </row>
    <row r="45" s="14" customFormat="1" ht="24.75" customHeight="1" spans="2:13">
      <c r="B45" s="575"/>
      <c r="C45" s="575"/>
      <c r="D45" s="575"/>
      <c r="E45" s="575"/>
      <c r="F45" s="575"/>
      <c r="G45" s="575"/>
      <c r="H45" s="575"/>
      <c r="I45" s="575"/>
      <c r="J45" s="575"/>
      <c r="K45" s="575"/>
      <c r="L45" s="575"/>
      <c r="M45" s="575"/>
    </row>
    <row r="46" s="14" customFormat="1" ht="24.75" customHeight="1" spans="2:13">
      <c r="B46" s="575"/>
      <c r="C46" s="575"/>
      <c r="D46" s="575"/>
      <c r="E46" s="575"/>
      <c r="F46" s="575"/>
      <c r="G46" s="575"/>
      <c r="H46" s="575"/>
      <c r="I46" s="575"/>
      <c r="J46" s="575"/>
      <c r="K46" s="575"/>
      <c r="L46" s="575"/>
      <c r="M46" s="575"/>
    </row>
    <row r="47" s="14" customFormat="1" ht="24.75" customHeight="1" spans="2:13">
      <c r="B47" s="575"/>
      <c r="C47" s="575"/>
      <c r="D47" s="575"/>
      <c r="E47" s="575"/>
      <c r="F47" s="575"/>
      <c r="G47" s="575"/>
      <c r="H47" s="575"/>
      <c r="I47" s="575"/>
      <c r="J47" s="575"/>
      <c r="K47" s="575"/>
      <c r="L47" s="575"/>
      <c r="M47" s="575"/>
    </row>
    <row r="48" s="14" customFormat="1" ht="24.75" customHeight="1" spans="2:13">
      <c r="B48" s="575"/>
      <c r="C48" s="575"/>
      <c r="D48" s="575"/>
      <c r="E48" s="575"/>
      <c r="F48" s="575"/>
      <c r="G48" s="575"/>
      <c r="H48" s="575"/>
      <c r="I48" s="575"/>
      <c r="J48" s="575"/>
      <c r="K48" s="575"/>
      <c r="L48" s="575"/>
      <c r="M48" s="575"/>
    </row>
    <row r="49" s="14" customFormat="1" ht="24.75" customHeight="1" spans="2:13">
      <c r="B49" s="575"/>
      <c r="C49" s="575"/>
      <c r="D49" s="575"/>
      <c r="E49" s="575"/>
      <c r="F49" s="575"/>
      <c r="G49" s="575"/>
      <c r="H49" s="575"/>
      <c r="I49" s="575"/>
      <c r="J49" s="575"/>
      <c r="K49" s="575"/>
      <c r="L49" s="575"/>
      <c r="M49" s="575"/>
    </row>
    <row r="50" s="14" customFormat="1" ht="24.75" customHeight="1" spans="2:13">
      <c r="B50" s="575"/>
      <c r="C50" s="575"/>
      <c r="D50" s="575"/>
      <c r="E50" s="575"/>
      <c r="F50" s="575"/>
      <c r="G50" s="575"/>
      <c r="H50" s="575"/>
      <c r="I50" s="575"/>
      <c r="J50" s="575"/>
      <c r="K50" s="575"/>
      <c r="L50" s="575"/>
      <c r="M50" s="575"/>
    </row>
    <row r="51" s="14" customFormat="1" ht="24.75" customHeight="1" spans="2:13"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</row>
    <row r="52" s="14" customFormat="1" ht="24.75" customHeight="1" spans="2:13">
      <c r="B52" s="575"/>
      <c r="C52" s="575"/>
      <c r="D52" s="575"/>
      <c r="E52" s="575"/>
      <c r="F52" s="575"/>
      <c r="G52" s="575"/>
      <c r="H52" s="575"/>
      <c r="I52" s="575"/>
      <c r="J52" s="575"/>
      <c r="K52" s="575"/>
      <c r="L52" s="575"/>
      <c r="M52" s="575"/>
    </row>
    <row r="53" s="14" customFormat="1" ht="24.75" customHeight="1" spans="2:13">
      <c r="B53" s="575"/>
      <c r="C53" s="575"/>
      <c r="D53" s="575"/>
      <c r="E53" s="575"/>
      <c r="F53" s="575"/>
      <c r="G53" s="575"/>
      <c r="H53" s="575"/>
      <c r="I53" s="575"/>
      <c r="J53" s="575"/>
      <c r="K53" s="575"/>
      <c r="L53" s="575"/>
      <c r="M53" s="575"/>
    </row>
    <row r="54" s="14" customFormat="1" ht="24.75" customHeight="1" spans="2:13">
      <c r="B54" s="575"/>
      <c r="C54" s="575"/>
      <c r="D54" s="575"/>
      <c r="E54" s="575"/>
      <c r="F54" s="575"/>
      <c r="G54" s="575"/>
      <c r="H54" s="575"/>
      <c r="I54" s="575"/>
      <c r="J54" s="575"/>
      <c r="K54" s="575"/>
      <c r="L54" s="575"/>
      <c r="M54" s="575"/>
    </row>
    <row r="55" s="14" customFormat="1" ht="24.75" customHeight="1" spans="2:13">
      <c r="B55" s="575"/>
      <c r="C55" s="575"/>
      <c r="D55" s="575"/>
      <c r="E55" s="575"/>
      <c r="F55" s="575"/>
      <c r="G55" s="575"/>
      <c r="H55" s="575"/>
      <c r="I55" s="575"/>
      <c r="J55" s="575"/>
      <c r="K55" s="575"/>
      <c r="L55" s="575"/>
      <c r="M55" s="575"/>
    </row>
    <row r="56" s="14" customFormat="1" ht="24.75" customHeight="1" spans="2:13">
      <c r="B56" s="575"/>
      <c r="C56" s="575"/>
      <c r="D56" s="575"/>
      <c r="E56" s="575"/>
      <c r="F56" s="575"/>
      <c r="G56" s="575"/>
      <c r="H56" s="575"/>
      <c r="I56" s="575"/>
      <c r="J56" s="575"/>
      <c r="K56" s="575"/>
      <c r="L56" s="575"/>
      <c r="M56" s="575"/>
    </row>
    <row r="57" s="14" customFormat="1" ht="24.75" customHeight="1" spans="2:13">
      <c r="B57" s="575"/>
      <c r="C57" s="575"/>
      <c r="D57" s="575"/>
      <c r="E57" s="575"/>
      <c r="F57" s="575"/>
      <c r="G57" s="575"/>
      <c r="H57" s="575"/>
      <c r="I57" s="575"/>
      <c r="J57" s="575"/>
      <c r="K57" s="575"/>
      <c r="L57" s="575"/>
      <c r="M57" s="575"/>
    </row>
    <row r="58" s="14" customFormat="1" ht="24.75" customHeight="1" spans="2:13">
      <c r="B58" s="575"/>
      <c r="C58" s="575"/>
      <c r="D58" s="575"/>
      <c r="E58" s="575"/>
      <c r="F58" s="575"/>
      <c r="G58" s="575"/>
      <c r="H58" s="575"/>
      <c r="I58" s="575"/>
      <c r="J58" s="575"/>
      <c r="K58" s="575"/>
      <c r="L58" s="575"/>
      <c r="M58" s="575"/>
    </row>
    <row r="59" s="14" customFormat="1" ht="24.75" customHeight="1" spans="2:13">
      <c r="B59" s="575"/>
      <c r="C59" s="575"/>
      <c r="D59" s="575"/>
      <c r="E59" s="575"/>
      <c r="F59" s="575"/>
      <c r="G59" s="575"/>
      <c r="H59" s="575"/>
      <c r="I59" s="575"/>
      <c r="J59" s="575"/>
      <c r="K59" s="575"/>
      <c r="L59" s="575"/>
      <c r="M59" s="575"/>
    </row>
    <row r="60" s="14" customFormat="1" ht="24.75" customHeight="1" spans="2:13">
      <c r="B60" s="575"/>
      <c r="C60" s="575"/>
      <c r="D60" s="575"/>
      <c r="E60" s="575"/>
      <c r="F60" s="575"/>
      <c r="G60" s="575"/>
      <c r="H60" s="575"/>
      <c r="I60" s="575"/>
      <c r="J60" s="575"/>
      <c r="K60" s="575"/>
      <c r="L60" s="575"/>
      <c r="M60" s="575"/>
    </row>
    <row r="61" s="14" customFormat="1" ht="24.75" customHeight="1" spans="2:13">
      <c r="B61" s="575"/>
      <c r="C61" s="575"/>
      <c r="D61" s="575"/>
      <c r="E61" s="575"/>
      <c r="F61" s="575"/>
      <c r="G61" s="575"/>
      <c r="H61" s="575"/>
      <c r="I61" s="575"/>
      <c r="J61" s="575"/>
      <c r="K61" s="575"/>
      <c r="L61" s="575"/>
      <c r="M61" s="575"/>
    </row>
    <row r="62" s="14" customFormat="1" ht="24.75" customHeight="1" spans="2:13">
      <c r="B62" s="575"/>
      <c r="C62" s="575"/>
      <c r="D62" s="575"/>
      <c r="E62" s="575"/>
      <c r="F62" s="575"/>
      <c r="G62" s="575"/>
      <c r="H62" s="575"/>
      <c r="I62" s="575"/>
      <c r="J62" s="575"/>
      <c r="K62" s="575"/>
      <c r="L62" s="575"/>
      <c r="M62" s="575"/>
    </row>
    <row r="63" s="14" customFormat="1" ht="24.75" customHeight="1" spans="2:13">
      <c r="B63" s="575"/>
      <c r="C63" s="575"/>
      <c r="D63" s="575"/>
      <c r="E63" s="575"/>
      <c r="F63" s="575"/>
      <c r="G63" s="575"/>
      <c r="H63" s="575"/>
      <c r="I63" s="575"/>
      <c r="J63" s="575"/>
      <c r="K63" s="575"/>
      <c r="L63" s="575"/>
      <c r="M63" s="575"/>
    </row>
    <row r="64" s="14" customFormat="1" ht="24.75" customHeight="1" spans="2:13">
      <c r="B64" s="575"/>
      <c r="C64" s="575"/>
      <c r="D64" s="575"/>
      <c r="E64" s="575"/>
      <c r="F64" s="575"/>
      <c r="G64" s="575"/>
      <c r="H64" s="575"/>
      <c r="I64" s="575"/>
      <c r="J64" s="575"/>
      <c r="K64" s="575"/>
      <c r="L64" s="575"/>
      <c r="M64" s="575"/>
    </row>
    <row r="65" s="14" customFormat="1" ht="24.75" customHeight="1" spans="2:13">
      <c r="B65" s="575"/>
      <c r="C65" s="575"/>
      <c r="D65" s="575"/>
      <c r="E65" s="575"/>
      <c r="F65" s="575"/>
      <c r="G65" s="575"/>
      <c r="H65" s="575"/>
      <c r="I65" s="575"/>
      <c r="J65" s="575"/>
      <c r="K65" s="575"/>
      <c r="L65" s="575"/>
      <c r="M65" s="575"/>
    </row>
    <row r="66" s="14" customFormat="1" ht="24.75" customHeight="1" spans="2:13"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</row>
    <row r="67" s="14" customFormat="1" ht="24.75" customHeight="1" spans="2:13"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</row>
    <row r="68" s="14" customFormat="1" ht="24.75" customHeight="1" spans="2:13">
      <c r="B68" s="575"/>
      <c r="C68" s="575"/>
      <c r="D68" s="575"/>
      <c r="E68" s="575"/>
      <c r="F68" s="575"/>
      <c r="G68" s="575"/>
      <c r="H68" s="575"/>
      <c r="I68" s="575"/>
      <c r="J68" s="575"/>
      <c r="K68" s="575"/>
      <c r="L68" s="575"/>
      <c r="M68" s="575"/>
    </row>
    <row r="69" s="14" customFormat="1" ht="24.75" customHeight="1" spans="2:13">
      <c r="B69" s="575"/>
      <c r="C69" s="575"/>
      <c r="D69" s="575"/>
      <c r="E69" s="575"/>
      <c r="F69" s="575"/>
      <c r="G69" s="575"/>
      <c r="H69" s="575"/>
      <c r="I69" s="575"/>
      <c r="J69" s="575"/>
      <c r="K69" s="575"/>
      <c r="L69" s="575"/>
      <c r="M69" s="575"/>
    </row>
    <row r="70" s="14" customFormat="1" ht="24.75" customHeight="1" spans="2:13">
      <c r="B70" s="575"/>
      <c r="C70" s="575"/>
      <c r="D70" s="575"/>
      <c r="E70" s="575"/>
      <c r="F70" s="575"/>
      <c r="G70" s="575"/>
      <c r="H70" s="575"/>
      <c r="I70" s="575"/>
      <c r="J70" s="575"/>
      <c r="K70" s="575"/>
      <c r="L70" s="575"/>
      <c r="M70" s="575"/>
    </row>
    <row r="71" s="14" customFormat="1" ht="24.75" customHeight="1" spans="2:13">
      <c r="B71" s="575"/>
      <c r="C71" s="575"/>
      <c r="D71" s="575"/>
      <c r="E71" s="575"/>
      <c r="F71" s="575"/>
      <c r="G71" s="575"/>
      <c r="H71" s="575"/>
      <c r="I71" s="575"/>
      <c r="J71" s="575"/>
      <c r="K71" s="575"/>
      <c r="L71" s="575"/>
      <c r="M71" s="575"/>
    </row>
    <row r="72" s="14" customFormat="1" ht="24.75" customHeight="1" spans="2:13">
      <c r="B72" s="575"/>
      <c r="C72" s="575"/>
      <c r="D72" s="575"/>
      <c r="E72" s="575"/>
      <c r="F72" s="575"/>
      <c r="G72" s="575"/>
      <c r="H72" s="575"/>
      <c r="I72" s="575"/>
      <c r="J72" s="575"/>
      <c r="K72" s="575"/>
      <c r="L72" s="575"/>
      <c r="M72" s="575"/>
    </row>
    <row r="73" s="14" customFormat="1" ht="24.75" customHeight="1" spans="2:13">
      <c r="B73" s="575"/>
      <c r="C73" s="575"/>
      <c r="D73" s="575"/>
      <c r="E73" s="575"/>
      <c r="F73" s="575"/>
      <c r="G73" s="575"/>
      <c r="H73" s="575"/>
      <c r="I73" s="575"/>
      <c r="J73" s="575"/>
      <c r="K73" s="575"/>
      <c r="L73" s="575"/>
      <c r="M73" s="575"/>
    </row>
    <row r="74" s="14" customFormat="1" ht="24.75" customHeight="1" spans="2:13">
      <c r="B74" s="575"/>
      <c r="C74" s="575"/>
      <c r="D74" s="575"/>
      <c r="E74" s="575"/>
      <c r="F74" s="575"/>
      <c r="G74" s="575"/>
      <c r="H74" s="575"/>
      <c r="I74" s="575"/>
      <c r="J74" s="575"/>
      <c r="K74" s="575"/>
      <c r="L74" s="575"/>
      <c r="M74" s="575"/>
    </row>
    <row r="75" s="14" customFormat="1" ht="24.75" customHeight="1" spans="2:13">
      <c r="B75" s="575"/>
      <c r="C75" s="575"/>
      <c r="D75" s="575"/>
      <c r="E75" s="575"/>
      <c r="F75" s="575"/>
      <c r="G75" s="575"/>
      <c r="H75" s="575"/>
      <c r="I75" s="575"/>
      <c r="J75" s="575"/>
      <c r="K75" s="575"/>
      <c r="L75" s="575"/>
      <c r="M75" s="575"/>
    </row>
    <row r="76" s="14" customFormat="1" ht="24.75" customHeight="1" spans="2:13">
      <c r="B76" s="575"/>
      <c r="C76" s="575"/>
      <c r="D76" s="575"/>
      <c r="E76" s="575"/>
      <c r="F76" s="575"/>
      <c r="G76" s="575"/>
      <c r="H76" s="575"/>
      <c r="I76" s="575"/>
      <c r="J76" s="575"/>
      <c r="K76" s="575"/>
      <c r="L76" s="575"/>
      <c r="M76" s="575"/>
    </row>
    <row r="77" s="14" customFormat="1" ht="24.75" customHeight="1" spans="2:13">
      <c r="B77" s="575"/>
      <c r="C77" s="575"/>
      <c r="D77" s="575"/>
      <c r="E77" s="575"/>
      <c r="F77" s="575"/>
      <c r="G77" s="575"/>
      <c r="H77" s="575"/>
      <c r="I77" s="575"/>
      <c r="J77" s="575"/>
      <c r="K77" s="575"/>
      <c r="L77" s="575"/>
      <c r="M77" s="575"/>
    </row>
    <row r="78" s="14" customFormat="1" ht="24.75" customHeight="1" spans="2:13">
      <c r="B78" s="575"/>
      <c r="C78" s="575"/>
      <c r="D78" s="575"/>
      <c r="E78" s="575"/>
      <c r="F78" s="575"/>
      <c r="G78" s="575"/>
      <c r="H78" s="575"/>
      <c r="I78" s="575"/>
      <c r="J78" s="575"/>
      <c r="K78" s="575"/>
      <c r="L78" s="575"/>
      <c r="M78" s="575"/>
    </row>
    <row r="79" s="14" customFormat="1" ht="24.75" customHeight="1" spans="2:13">
      <c r="B79" s="575"/>
      <c r="C79" s="575"/>
      <c r="D79" s="575"/>
      <c r="E79" s="575"/>
      <c r="F79" s="575"/>
      <c r="G79" s="575"/>
      <c r="H79" s="575"/>
      <c r="I79" s="575"/>
      <c r="J79" s="575"/>
      <c r="K79" s="575"/>
      <c r="L79" s="575"/>
      <c r="M79" s="575"/>
    </row>
    <row r="80" s="14" customFormat="1" ht="24.75" customHeight="1" spans="2:13">
      <c r="B80" s="575"/>
      <c r="C80" s="575"/>
      <c r="D80" s="575"/>
      <c r="E80" s="575"/>
      <c r="F80" s="575"/>
      <c r="G80" s="575"/>
      <c r="H80" s="575"/>
      <c r="I80" s="575"/>
      <c r="J80" s="575"/>
      <c r="K80" s="575"/>
      <c r="L80" s="575"/>
      <c r="M80" s="575"/>
    </row>
    <row r="81" s="14" customFormat="1" ht="17.25" customHeight="1" spans="2:13">
      <c r="B81" s="575"/>
      <c r="C81" s="575"/>
      <c r="D81" s="575"/>
      <c r="E81" s="575"/>
      <c r="F81" s="575"/>
      <c r="G81" s="575"/>
      <c r="H81" s="575"/>
      <c r="I81" s="575"/>
      <c r="J81" s="575"/>
      <c r="K81" s="575"/>
      <c r="L81" s="575"/>
      <c r="M81" s="575"/>
    </row>
    <row r="82" s="14" customFormat="1" ht="17.25" customHeight="1" spans="2:13">
      <c r="B82" s="575"/>
      <c r="C82" s="575"/>
      <c r="D82" s="575"/>
      <c r="E82" s="575"/>
      <c r="F82" s="575"/>
      <c r="G82" s="575"/>
      <c r="H82" s="575"/>
      <c r="I82" s="575"/>
      <c r="J82" s="575"/>
      <c r="K82" s="575"/>
      <c r="L82" s="575"/>
      <c r="M82" s="575"/>
    </row>
    <row r="83" ht="17.25" customHeight="1"/>
    <row r="84" ht="17.25" customHeight="1"/>
    <row r="85" ht="17.25" customHeight="1"/>
    <row r="86" ht="17.25" customHeight="1"/>
    <row r="87" ht="17.25" customHeight="1"/>
    <row r="88" ht="24.75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134"/>
  <sheetViews>
    <sheetView zoomScale="115" zoomScaleNormal="115" workbookViewId="0">
      <selection activeCell="N106" sqref="N106"/>
    </sheetView>
  </sheetViews>
  <sheetFormatPr defaultColWidth="9" defaultRowHeight="13.5"/>
  <cols>
    <col min="1" max="1" width="2.75" style="269" customWidth="1"/>
    <col min="2" max="2" width="6.625" style="526" customWidth="1"/>
    <col min="3" max="3" width="12.625" style="526" customWidth="1"/>
    <col min="4" max="4" width="6.625" style="526" customWidth="1"/>
    <col min="5" max="5" width="12.625" style="526" customWidth="1"/>
    <col min="6" max="6" width="6.625" style="526" customWidth="1"/>
    <col min="7" max="7" width="12.625" style="526" customWidth="1"/>
    <col min="8" max="8" width="6.625" style="526" customWidth="1"/>
    <col min="9" max="9" width="12.625" style="269" customWidth="1"/>
    <col min="10" max="11" width="10.625" style="269" customWidth="1"/>
    <col min="12" max="14" width="12.625" style="152" customWidth="1"/>
    <col min="15" max="15" width="5.625" style="152" customWidth="1"/>
    <col min="16" max="18" width="12.625" style="152" customWidth="1"/>
    <col min="19" max="19" width="5.625" style="269" customWidth="1"/>
    <col min="20" max="16384" width="9" style="269"/>
  </cols>
  <sheetData>
    <row r="2" ht="15" customHeight="1" spans="2:18">
      <c r="B2" s="527" t="s">
        <v>1276</v>
      </c>
      <c r="C2" s="527" t="s">
        <v>1277</v>
      </c>
      <c r="D2" s="527" t="s">
        <v>1276</v>
      </c>
      <c r="E2" s="527" t="s">
        <v>1277</v>
      </c>
      <c r="F2" s="527" t="s">
        <v>1276</v>
      </c>
      <c r="G2" s="527" t="s">
        <v>1277</v>
      </c>
      <c r="H2" s="527" t="s">
        <v>1276</v>
      </c>
      <c r="I2" s="527" t="s">
        <v>1277</v>
      </c>
      <c r="J2" s="526"/>
      <c r="L2" s="152" t="s">
        <v>1278</v>
      </c>
      <c r="M2" s="152" t="s">
        <v>1279</v>
      </c>
      <c r="N2" s="152" t="s">
        <v>1280</v>
      </c>
      <c r="P2" s="152" t="s">
        <v>1278</v>
      </c>
      <c r="Q2" s="152" t="s">
        <v>1279</v>
      </c>
      <c r="R2" s="152" t="s">
        <v>1280</v>
      </c>
    </row>
    <row r="3" ht="15" customHeight="1" spans="2:18">
      <c r="B3" s="526">
        <v>1</v>
      </c>
      <c r="C3" s="526" t="s">
        <v>267</v>
      </c>
      <c r="D3" s="526">
        <v>101</v>
      </c>
      <c r="E3" s="526" t="s">
        <v>1281</v>
      </c>
      <c r="F3" s="526">
        <v>201</v>
      </c>
      <c r="G3" s="526" t="s">
        <v>1282</v>
      </c>
      <c r="H3" s="526">
        <v>301</v>
      </c>
      <c r="L3" s="152">
        <v>10001</v>
      </c>
      <c r="M3" s="152" t="s">
        <v>1005</v>
      </c>
      <c r="N3" s="152">
        <v>603</v>
      </c>
      <c r="P3" s="152">
        <v>10059</v>
      </c>
      <c r="Q3" s="152" t="s">
        <v>965</v>
      </c>
      <c r="R3" s="152">
        <v>606</v>
      </c>
    </row>
    <row r="4" ht="15" customHeight="1" spans="2:18">
      <c r="B4" s="526">
        <v>2</v>
      </c>
      <c r="C4" s="527" t="s">
        <v>275</v>
      </c>
      <c r="D4" s="526">
        <v>102</v>
      </c>
      <c r="E4" s="526" t="s">
        <v>1283</v>
      </c>
      <c r="F4" s="526">
        <v>202</v>
      </c>
      <c r="G4" s="526" t="s">
        <v>1284</v>
      </c>
      <c r="H4" s="526">
        <v>302</v>
      </c>
      <c r="L4" s="152">
        <v>10002</v>
      </c>
      <c r="M4" s="152" t="s">
        <v>1004</v>
      </c>
      <c r="N4" s="152">
        <v>605</v>
      </c>
      <c r="P4" s="152">
        <v>10029</v>
      </c>
      <c r="Q4" s="152" t="s">
        <v>453</v>
      </c>
      <c r="R4" s="152">
        <v>606</v>
      </c>
    </row>
    <row r="5" ht="15" customHeight="1" spans="2:18">
      <c r="B5" s="526">
        <v>3</v>
      </c>
      <c r="C5" s="527" t="s">
        <v>278</v>
      </c>
      <c r="D5" s="526">
        <v>103</v>
      </c>
      <c r="E5" s="526" t="s">
        <v>1285</v>
      </c>
      <c r="F5" s="526">
        <v>203</v>
      </c>
      <c r="G5" s="526" t="s">
        <v>1286</v>
      </c>
      <c r="H5" s="526">
        <v>303</v>
      </c>
      <c r="L5" s="152">
        <v>10003</v>
      </c>
      <c r="M5" s="152" t="s">
        <v>447</v>
      </c>
      <c r="N5" s="152">
        <v>597</v>
      </c>
      <c r="P5" s="152">
        <v>10090</v>
      </c>
      <c r="Q5" s="152" t="s">
        <v>314</v>
      </c>
      <c r="R5" s="152">
        <v>605</v>
      </c>
    </row>
    <row r="6" ht="15" customHeight="1" spans="2:18">
      <c r="B6" s="526">
        <v>4</v>
      </c>
      <c r="C6" s="526" t="s">
        <v>329</v>
      </c>
      <c r="D6" s="526">
        <v>104</v>
      </c>
      <c r="E6" s="526" t="s">
        <v>1287</v>
      </c>
      <c r="F6" s="526">
        <v>204</v>
      </c>
      <c r="G6" s="526" t="s">
        <v>1032</v>
      </c>
      <c r="H6" s="526">
        <v>304</v>
      </c>
      <c r="L6" s="152">
        <v>10004</v>
      </c>
      <c r="M6" s="152" t="s">
        <v>446</v>
      </c>
      <c r="N6" s="152">
        <v>604</v>
      </c>
      <c r="P6" s="152">
        <v>10084</v>
      </c>
      <c r="Q6" s="152" t="s">
        <v>947</v>
      </c>
      <c r="R6" s="152">
        <v>605</v>
      </c>
    </row>
    <row r="7" ht="15" customHeight="1" spans="2:18">
      <c r="B7" s="526">
        <v>5</v>
      </c>
      <c r="C7" s="526" t="s">
        <v>1288</v>
      </c>
      <c r="D7" s="526">
        <v>105</v>
      </c>
      <c r="E7" s="526" t="s">
        <v>1289</v>
      </c>
      <c r="F7" s="526">
        <v>205</v>
      </c>
      <c r="G7" s="526" t="s">
        <v>1033</v>
      </c>
      <c r="H7" s="526">
        <v>305</v>
      </c>
      <c r="L7" s="152">
        <v>10005</v>
      </c>
      <c r="M7" s="152" t="s">
        <v>1017</v>
      </c>
      <c r="N7" s="152">
        <v>585</v>
      </c>
      <c r="P7" s="152">
        <v>10070</v>
      </c>
      <c r="Q7" s="152" t="s">
        <v>967</v>
      </c>
      <c r="R7" s="152">
        <v>605</v>
      </c>
    </row>
    <row r="8" ht="15" customHeight="1" spans="2:18">
      <c r="B8" s="526">
        <v>6</v>
      </c>
      <c r="C8" s="526" t="s">
        <v>1290</v>
      </c>
      <c r="D8" s="526">
        <v>106</v>
      </c>
      <c r="E8" s="526" t="s">
        <v>1291</v>
      </c>
      <c r="F8" s="526">
        <v>206</v>
      </c>
      <c r="G8" s="526" t="s">
        <v>1031</v>
      </c>
      <c r="H8" s="526">
        <v>306</v>
      </c>
      <c r="L8" s="152">
        <v>10006</v>
      </c>
      <c r="M8" s="152" t="s">
        <v>1016</v>
      </c>
      <c r="N8" s="152">
        <v>601</v>
      </c>
      <c r="P8" s="152">
        <v>10065</v>
      </c>
      <c r="Q8" s="152" t="s">
        <v>971</v>
      </c>
      <c r="R8" s="152">
        <v>605</v>
      </c>
    </row>
    <row r="9" ht="15" customHeight="1" spans="2:18">
      <c r="B9" s="526">
        <v>7</v>
      </c>
      <c r="C9" s="526" t="s">
        <v>337</v>
      </c>
      <c r="D9" s="526">
        <v>107</v>
      </c>
      <c r="E9" s="526" t="s">
        <v>377</v>
      </c>
      <c r="F9" s="526">
        <v>207</v>
      </c>
      <c r="G9" s="526" t="s">
        <v>1034</v>
      </c>
      <c r="H9" s="526">
        <v>307</v>
      </c>
      <c r="L9" s="152">
        <v>10007</v>
      </c>
      <c r="M9" s="152" t="s">
        <v>1015</v>
      </c>
      <c r="N9" s="152">
        <v>594</v>
      </c>
      <c r="P9" s="152">
        <v>10064</v>
      </c>
      <c r="Q9" s="152" t="s">
        <v>972</v>
      </c>
      <c r="R9" s="152">
        <v>605</v>
      </c>
    </row>
    <row r="10" ht="15" customHeight="1" spans="2:18">
      <c r="B10" s="526">
        <v>8</v>
      </c>
      <c r="C10" s="527" t="s">
        <v>361</v>
      </c>
      <c r="D10" s="526">
        <v>108</v>
      </c>
      <c r="E10" s="526" t="s">
        <v>381</v>
      </c>
      <c r="F10" s="526">
        <v>208</v>
      </c>
      <c r="G10" s="526" t="s">
        <v>1292</v>
      </c>
      <c r="H10" s="526">
        <v>308</v>
      </c>
      <c r="L10" s="152">
        <v>10008</v>
      </c>
      <c r="M10" s="152" t="s">
        <v>1014</v>
      </c>
      <c r="N10" s="152">
        <v>592</v>
      </c>
      <c r="P10" s="152">
        <v>10055</v>
      </c>
      <c r="Q10" s="152" t="s">
        <v>968</v>
      </c>
      <c r="R10" s="152">
        <v>605</v>
      </c>
    </row>
    <row r="11" ht="15" customHeight="1" spans="2:18">
      <c r="B11" s="526">
        <v>9</v>
      </c>
      <c r="C11" s="526" t="s">
        <v>351</v>
      </c>
      <c r="D11" s="526">
        <v>109</v>
      </c>
      <c r="E11" s="526" t="s">
        <v>387</v>
      </c>
      <c r="F11" s="526">
        <v>209</v>
      </c>
      <c r="G11" s="526" t="s">
        <v>1293</v>
      </c>
      <c r="H11" s="526">
        <v>309</v>
      </c>
      <c r="L11" s="152">
        <v>10009</v>
      </c>
      <c r="M11" s="152" t="s">
        <v>1006</v>
      </c>
      <c r="N11" s="152">
        <v>589</v>
      </c>
      <c r="P11" s="152">
        <v>10052</v>
      </c>
      <c r="Q11" s="152" t="s">
        <v>984</v>
      </c>
      <c r="R11" s="152">
        <v>605</v>
      </c>
    </row>
    <row r="12" ht="15" customHeight="1" spans="2:18">
      <c r="B12" s="526">
        <v>10</v>
      </c>
      <c r="C12" s="526" t="s">
        <v>356</v>
      </c>
      <c r="D12" s="526">
        <v>110</v>
      </c>
      <c r="E12" s="526" t="s">
        <v>78</v>
      </c>
      <c r="F12" s="526">
        <v>210</v>
      </c>
      <c r="G12" s="526" t="s">
        <v>858</v>
      </c>
      <c r="H12" s="526">
        <v>310</v>
      </c>
      <c r="L12" s="152">
        <v>10010</v>
      </c>
      <c r="M12" s="152" t="s">
        <v>1000</v>
      </c>
      <c r="N12" s="152">
        <v>595</v>
      </c>
      <c r="P12" s="152">
        <v>10030</v>
      </c>
      <c r="Q12" s="152" t="s">
        <v>983</v>
      </c>
      <c r="R12" s="152">
        <v>605</v>
      </c>
    </row>
    <row r="13" ht="15" customHeight="1" spans="2:18">
      <c r="B13" s="526">
        <v>11</v>
      </c>
      <c r="C13" s="526" t="s">
        <v>305</v>
      </c>
      <c r="D13" s="526">
        <v>111</v>
      </c>
      <c r="E13" s="527" t="s">
        <v>365</v>
      </c>
      <c r="F13" s="526">
        <v>211</v>
      </c>
      <c r="G13" s="526" t="s">
        <v>861</v>
      </c>
      <c r="H13" s="526">
        <v>311</v>
      </c>
      <c r="L13" s="152">
        <v>10011</v>
      </c>
      <c r="M13" s="152" t="s">
        <v>996</v>
      </c>
      <c r="N13" s="152">
        <v>586</v>
      </c>
      <c r="P13" s="152">
        <v>10002</v>
      </c>
      <c r="Q13" s="152" t="s">
        <v>1004</v>
      </c>
      <c r="R13" s="152">
        <v>605</v>
      </c>
    </row>
    <row r="14" ht="15" customHeight="1" spans="2:18">
      <c r="B14" s="526">
        <v>12</v>
      </c>
      <c r="C14" s="527" t="s">
        <v>358</v>
      </c>
      <c r="D14" s="526">
        <v>112</v>
      </c>
      <c r="E14" s="526" t="s">
        <v>339</v>
      </c>
      <c r="F14" s="526">
        <v>212</v>
      </c>
      <c r="G14" s="526" t="s">
        <v>863</v>
      </c>
      <c r="H14" s="526">
        <v>312</v>
      </c>
      <c r="L14" s="152">
        <v>10012</v>
      </c>
      <c r="M14" s="152" t="s">
        <v>1012</v>
      </c>
      <c r="N14" s="152">
        <v>594</v>
      </c>
      <c r="P14" s="152">
        <v>10100</v>
      </c>
      <c r="Q14" s="152" t="s">
        <v>930</v>
      </c>
      <c r="R14" s="152">
        <v>604</v>
      </c>
    </row>
    <row r="15" ht="15" customHeight="1" spans="2:18">
      <c r="B15" s="526">
        <v>13</v>
      </c>
      <c r="C15" s="526" t="s">
        <v>383</v>
      </c>
      <c r="D15" s="526">
        <v>113</v>
      </c>
      <c r="E15" s="526" t="s">
        <v>1294</v>
      </c>
      <c r="F15" s="526">
        <v>213</v>
      </c>
      <c r="G15" s="526" t="s">
        <v>1295</v>
      </c>
      <c r="H15" s="526">
        <v>313</v>
      </c>
      <c r="L15" s="152">
        <v>10013</v>
      </c>
      <c r="M15" s="152" t="s">
        <v>1013</v>
      </c>
      <c r="N15" s="152">
        <v>599</v>
      </c>
      <c r="P15" s="152">
        <v>10095</v>
      </c>
      <c r="Q15" s="152" t="s">
        <v>293</v>
      </c>
      <c r="R15" s="152">
        <v>604</v>
      </c>
    </row>
    <row r="16" ht="15" customHeight="1" spans="2:18">
      <c r="B16" s="526">
        <v>14</v>
      </c>
      <c r="C16" s="526" t="s">
        <v>171</v>
      </c>
      <c r="D16" s="526">
        <v>114</v>
      </c>
      <c r="E16" s="526" t="s">
        <v>1296</v>
      </c>
      <c r="F16" s="526">
        <v>214</v>
      </c>
      <c r="G16" s="526" t="s">
        <v>839</v>
      </c>
      <c r="H16" s="526">
        <v>314</v>
      </c>
      <c r="L16" s="152">
        <v>10014</v>
      </c>
      <c r="M16" s="152" t="s">
        <v>1001</v>
      </c>
      <c r="N16" s="152">
        <v>588</v>
      </c>
      <c r="P16" s="152">
        <v>10091</v>
      </c>
      <c r="Q16" s="152" t="s">
        <v>317</v>
      </c>
      <c r="R16" s="152">
        <v>604</v>
      </c>
    </row>
    <row r="17" ht="15" customHeight="1" spans="2:18">
      <c r="B17" s="526">
        <v>15</v>
      </c>
      <c r="C17" s="526" t="s">
        <v>281</v>
      </c>
      <c r="D17" s="526">
        <v>115</v>
      </c>
      <c r="E17" s="526" t="s">
        <v>752</v>
      </c>
      <c r="F17" s="526">
        <v>215</v>
      </c>
      <c r="G17" s="526" t="s">
        <v>825</v>
      </c>
      <c r="H17" s="526">
        <v>315</v>
      </c>
      <c r="L17" s="152">
        <v>10015</v>
      </c>
      <c r="M17" s="152" t="s">
        <v>1010</v>
      </c>
      <c r="N17" s="152">
        <v>596</v>
      </c>
      <c r="P17" s="152">
        <v>10085</v>
      </c>
      <c r="Q17" s="152" t="s">
        <v>301</v>
      </c>
      <c r="R17" s="152">
        <v>604</v>
      </c>
    </row>
    <row r="18" ht="15" customHeight="1" spans="2:18">
      <c r="B18" s="526">
        <v>16</v>
      </c>
      <c r="C18" s="527" t="s">
        <v>335</v>
      </c>
      <c r="D18" s="526">
        <v>116</v>
      </c>
      <c r="E18" s="526" t="s">
        <v>363</v>
      </c>
      <c r="F18" s="526">
        <v>216</v>
      </c>
      <c r="G18" s="526" t="s">
        <v>1042</v>
      </c>
      <c r="H18" s="526">
        <v>316</v>
      </c>
      <c r="L18" s="152">
        <v>10016</v>
      </c>
      <c r="M18" s="152" t="s">
        <v>997</v>
      </c>
      <c r="N18" s="152">
        <v>602</v>
      </c>
      <c r="P18" s="152">
        <v>10072</v>
      </c>
      <c r="Q18" s="152" t="s">
        <v>963</v>
      </c>
      <c r="R18" s="152">
        <v>604</v>
      </c>
    </row>
    <row r="19" ht="15" customHeight="1" spans="2:18">
      <c r="B19" s="526">
        <v>17</v>
      </c>
      <c r="C19" s="527" t="s">
        <v>367</v>
      </c>
      <c r="D19" s="526">
        <v>117</v>
      </c>
      <c r="E19" s="526" t="s">
        <v>379</v>
      </c>
      <c r="F19" s="526">
        <v>217</v>
      </c>
      <c r="G19" s="526" t="s">
        <v>1044</v>
      </c>
      <c r="H19" s="526">
        <v>317</v>
      </c>
      <c r="L19" s="152">
        <v>10017</v>
      </c>
      <c r="M19" s="152" t="s">
        <v>451</v>
      </c>
      <c r="N19" s="152">
        <v>600</v>
      </c>
      <c r="P19" s="152">
        <v>10066</v>
      </c>
      <c r="Q19" s="152" t="s">
        <v>952</v>
      </c>
      <c r="R19" s="152">
        <v>604</v>
      </c>
    </row>
    <row r="20" ht="15" customHeight="1" spans="2:18">
      <c r="B20" s="526">
        <v>18</v>
      </c>
      <c r="C20" s="526" t="s">
        <v>1297</v>
      </c>
      <c r="D20" s="526">
        <v>118</v>
      </c>
      <c r="E20" s="526" t="s">
        <v>372</v>
      </c>
      <c r="F20" s="526">
        <v>218</v>
      </c>
      <c r="G20" s="526" t="s">
        <v>1048</v>
      </c>
      <c r="H20" s="526">
        <v>318</v>
      </c>
      <c r="L20" s="152">
        <v>10018</v>
      </c>
      <c r="M20" s="152" t="s">
        <v>992</v>
      </c>
      <c r="N20" s="152">
        <v>598</v>
      </c>
      <c r="P20" s="152">
        <v>10050</v>
      </c>
      <c r="Q20" s="152" t="s">
        <v>977</v>
      </c>
      <c r="R20" s="152">
        <v>604</v>
      </c>
    </row>
    <row r="21" ht="15" customHeight="1" spans="2:18">
      <c r="B21" s="526">
        <v>19</v>
      </c>
      <c r="C21" s="526" t="s">
        <v>127</v>
      </c>
      <c r="D21" s="526">
        <v>119</v>
      </c>
      <c r="E21" s="527" t="s">
        <v>272</v>
      </c>
      <c r="F21" s="526">
        <v>219</v>
      </c>
      <c r="G21" s="526" t="s">
        <v>1037</v>
      </c>
      <c r="H21" s="526">
        <v>319</v>
      </c>
      <c r="L21" s="152">
        <v>10019</v>
      </c>
      <c r="M21" s="152" t="s">
        <v>993</v>
      </c>
      <c r="N21" s="152">
        <v>584</v>
      </c>
      <c r="P21" s="152">
        <v>10043</v>
      </c>
      <c r="Q21" s="152" t="s">
        <v>982</v>
      </c>
      <c r="R21" s="152">
        <v>604</v>
      </c>
    </row>
    <row r="22" ht="15" customHeight="1" spans="2:18">
      <c r="B22" s="526">
        <v>20</v>
      </c>
      <c r="C22" s="526" t="s">
        <v>308</v>
      </c>
      <c r="D22" s="526">
        <v>120</v>
      </c>
      <c r="E22" s="527" t="s">
        <v>299</v>
      </c>
      <c r="F22" s="526">
        <v>220</v>
      </c>
      <c r="G22" s="526" t="s">
        <v>1046</v>
      </c>
      <c r="H22" s="526">
        <v>320</v>
      </c>
      <c r="L22" s="152">
        <v>10020</v>
      </c>
      <c r="M22" s="152" t="s">
        <v>454</v>
      </c>
      <c r="N22" s="152">
        <v>593</v>
      </c>
      <c r="P22" s="152">
        <v>10039</v>
      </c>
      <c r="Q22" s="152" t="s">
        <v>986</v>
      </c>
      <c r="R22" s="152">
        <v>604</v>
      </c>
    </row>
    <row r="23" ht="15" customHeight="1" spans="2:18">
      <c r="B23" s="526">
        <v>21</v>
      </c>
      <c r="C23" s="526" t="s">
        <v>1039</v>
      </c>
      <c r="D23" s="526">
        <v>121</v>
      </c>
      <c r="E23" s="526" t="s">
        <v>385</v>
      </c>
      <c r="F23" s="526">
        <v>221</v>
      </c>
      <c r="G23" s="526" t="s">
        <v>1043</v>
      </c>
      <c r="H23" s="526">
        <v>321</v>
      </c>
      <c r="L23" s="152">
        <v>10021</v>
      </c>
      <c r="M23" s="152" t="s">
        <v>452</v>
      </c>
      <c r="N23" s="152">
        <v>595</v>
      </c>
      <c r="P23" s="152">
        <v>10033</v>
      </c>
      <c r="Q23" s="152" t="s">
        <v>975</v>
      </c>
      <c r="R23" s="152">
        <v>604</v>
      </c>
    </row>
    <row r="24" ht="15" customHeight="1" spans="2:18">
      <c r="B24" s="526">
        <v>22</v>
      </c>
      <c r="C24" s="526" t="s">
        <v>343</v>
      </c>
      <c r="D24" s="526">
        <v>122</v>
      </c>
      <c r="E24" s="526" t="s">
        <v>302</v>
      </c>
      <c r="F24" s="526">
        <v>222</v>
      </c>
      <c r="H24" s="526">
        <v>322</v>
      </c>
      <c r="L24" s="152">
        <v>10022</v>
      </c>
      <c r="M24" s="152" t="s">
        <v>1011</v>
      </c>
      <c r="N24" s="152">
        <v>604</v>
      </c>
      <c r="P24" s="152">
        <v>10032</v>
      </c>
      <c r="Q24" s="152" t="s">
        <v>980</v>
      </c>
      <c r="R24" s="152">
        <v>604</v>
      </c>
    </row>
    <row r="25" ht="15" customHeight="1" spans="2:18">
      <c r="B25" s="526">
        <v>23</v>
      </c>
      <c r="C25" s="526" t="s">
        <v>345</v>
      </c>
      <c r="D25" s="526">
        <v>123</v>
      </c>
      <c r="E25" s="527" t="s">
        <v>318</v>
      </c>
      <c r="F25" s="526">
        <v>223</v>
      </c>
      <c r="H25" s="526">
        <v>323</v>
      </c>
      <c r="L25" s="152">
        <v>10023</v>
      </c>
      <c r="M25" s="152" t="s">
        <v>988</v>
      </c>
      <c r="N25" s="152">
        <v>581</v>
      </c>
      <c r="P25" s="152">
        <v>10022</v>
      </c>
      <c r="Q25" s="152" t="s">
        <v>1011</v>
      </c>
      <c r="R25" s="152">
        <v>604</v>
      </c>
    </row>
    <row r="26" ht="15" customHeight="1" spans="2:18">
      <c r="B26" s="526">
        <v>24</v>
      </c>
      <c r="C26" s="526" t="s">
        <v>349</v>
      </c>
      <c r="D26" s="526">
        <v>124</v>
      </c>
      <c r="E26" s="527" t="s">
        <v>405</v>
      </c>
      <c r="F26" s="526">
        <v>224</v>
      </c>
      <c r="H26" s="526">
        <v>324</v>
      </c>
      <c r="L26" s="152">
        <v>10024</v>
      </c>
      <c r="M26" s="152" t="s">
        <v>1008</v>
      </c>
      <c r="N26" s="152">
        <v>601</v>
      </c>
      <c r="P26" s="152">
        <v>10004</v>
      </c>
      <c r="Q26" s="152" t="s">
        <v>446</v>
      </c>
      <c r="R26" s="152">
        <v>604</v>
      </c>
    </row>
    <row r="27" ht="15" customHeight="1" spans="2:18">
      <c r="B27" s="526">
        <v>25</v>
      </c>
      <c r="C27" s="526" t="s">
        <v>331</v>
      </c>
      <c r="D27" s="526">
        <v>125</v>
      </c>
      <c r="E27" s="527" t="s">
        <v>312</v>
      </c>
      <c r="F27" s="526">
        <v>225</v>
      </c>
      <c r="H27" s="526">
        <v>325</v>
      </c>
      <c r="L27" s="152">
        <v>10025</v>
      </c>
      <c r="M27" s="152" t="s">
        <v>1003</v>
      </c>
      <c r="N27" s="152">
        <v>591</v>
      </c>
      <c r="P27" s="152">
        <v>10101</v>
      </c>
      <c r="Q27" s="152" t="s">
        <v>929</v>
      </c>
      <c r="R27" s="152">
        <v>603</v>
      </c>
    </row>
    <row r="28" ht="15" customHeight="1" spans="2:18">
      <c r="B28" s="526">
        <v>26</v>
      </c>
      <c r="C28" s="526" t="s">
        <v>347</v>
      </c>
      <c r="D28" s="526">
        <v>126</v>
      </c>
      <c r="E28" s="527" t="s">
        <v>321</v>
      </c>
      <c r="F28" s="526">
        <v>226</v>
      </c>
      <c r="H28" s="526">
        <v>326</v>
      </c>
      <c r="L28" s="152">
        <v>10026</v>
      </c>
      <c r="M28" s="152" t="s">
        <v>1009</v>
      </c>
      <c r="N28" s="152">
        <v>603</v>
      </c>
      <c r="P28" s="152">
        <v>10097</v>
      </c>
      <c r="Q28" s="152" t="s">
        <v>935</v>
      </c>
      <c r="R28" s="152">
        <v>603</v>
      </c>
    </row>
    <row r="29" ht="15" customHeight="1" spans="2:18">
      <c r="B29" s="526">
        <v>27</v>
      </c>
      <c r="C29" s="526" t="s">
        <v>374</v>
      </c>
      <c r="D29" s="526">
        <v>127</v>
      </c>
      <c r="E29" s="527" t="s">
        <v>324</v>
      </c>
      <c r="F29" s="526">
        <v>227</v>
      </c>
      <c r="H29" s="526">
        <v>327</v>
      </c>
      <c r="L29" s="152">
        <v>10027</v>
      </c>
      <c r="M29" s="152" t="s">
        <v>1007</v>
      </c>
      <c r="N29" s="152">
        <v>591</v>
      </c>
      <c r="P29" s="152">
        <v>10094</v>
      </c>
      <c r="Q29" s="152" t="s">
        <v>289</v>
      </c>
      <c r="R29" s="152">
        <v>603</v>
      </c>
    </row>
    <row r="30" ht="15" customHeight="1" spans="2:18">
      <c r="B30" s="526">
        <v>28</v>
      </c>
      <c r="C30" s="527" t="s">
        <v>284</v>
      </c>
      <c r="D30" s="526">
        <v>128</v>
      </c>
      <c r="E30" s="526" t="s">
        <v>744</v>
      </c>
      <c r="F30" s="526">
        <v>228</v>
      </c>
      <c r="H30" s="526">
        <v>328</v>
      </c>
      <c r="L30" s="152">
        <v>10028</v>
      </c>
      <c r="M30" s="152" t="s">
        <v>989</v>
      </c>
      <c r="N30" s="152">
        <v>602</v>
      </c>
      <c r="P30" s="152">
        <v>10088</v>
      </c>
      <c r="Q30" s="152" t="s">
        <v>943</v>
      </c>
      <c r="R30" s="152">
        <v>603</v>
      </c>
    </row>
    <row r="31" ht="15" customHeight="1" spans="2:18">
      <c r="B31" s="526">
        <v>29</v>
      </c>
      <c r="C31" s="527" t="s">
        <v>287</v>
      </c>
      <c r="D31" s="526">
        <v>129</v>
      </c>
      <c r="E31" s="526" t="s">
        <v>745</v>
      </c>
      <c r="F31" s="526">
        <v>229</v>
      </c>
      <c r="H31" s="526">
        <v>329</v>
      </c>
      <c r="L31" s="152">
        <v>10029</v>
      </c>
      <c r="M31" s="152" t="s">
        <v>453</v>
      </c>
      <c r="N31" s="152">
        <v>606</v>
      </c>
      <c r="P31" s="152">
        <v>10074</v>
      </c>
      <c r="Q31" s="152" t="s">
        <v>1298</v>
      </c>
      <c r="R31" s="152">
        <v>603</v>
      </c>
    </row>
    <row r="32" ht="15" customHeight="1" spans="2:18">
      <c r="B32" s="526">
        <v>30</v>
      </c>
      <c r="C32" s="526" t="s">
        <v>291</v>
      </c>
      <c r="D32" s="526">
        <v>130</v>
      </c>
      <c r="E32" s="527" t="s">
        <v>326</v>
      </c>
      <c r="F32" s="526">
        <v>230</v>
      </c>
      <c r="H32" s="526">
        <v>330</v>
      </c>
      <c r="L32" s="152">
        <v>10030</v>
      </c>
      <c r="M32" s="152" t="s">
        <v>983</v>
      </c>
      <c r="N32" s="152">
        <v>605</v>
      </c>
      <c r="P32" s="152">
        <v>10054</v>
      </c>
      <c r="Q32" s="152" t="s">
        <v>981</v>
      </c>
      <c r="R32" s="152">
        <v>603</v>
      </c>
    </row>
    <row r="33" ht="15" customHeight="1" spans="2:18">
      <c r="B33" s="526">
        <v>31</v>
      </c>
      <c r="C33" s="526" t="s">
        <v>1035</v>
      </c>
      <c r="D33" s="526">
        <v>131</v>
      </c>
      <c r="E33" s="527" t="s">
        <v>403</v>
      </c>
      <c r="F33" s="526">
        <v>231</v>
      </c>
      <c r="H33" s="526">
        <v>331</v>
      </c>
      <c r="L33" s="152">
        <v>10031</v>
      </c>
      <c r="M33" s="152" t="s">
        <v>1002</v>
      </c>
      <c r="N33" s="152">
        <v>603</v>
      </c>
      <c r="P33" s="152">
        <v>10047</v>
      </c>
      <c r="Q33" s="152" t="s">
        <v>978</v>
      </c>
      <c r="R33" s="152">
        <v>603</v>
      </c>
    </row>
    <row r="34" ht="15" customHeight="1" spans="2:18">
      <c r="B34" s="526">
        <v>32</v>
      </c>
      <c r="C34" s="526" t="s">
        <v>369</v>
      </c>
      <c r="D34" s="526">
        <v>132</v>
      </c>
      <c r="E34" s="527" t="s">
        <v>414</v>
      </c>
      <c r="F34" s="526">
        <v>232</v>
      </c>
      <c r="H34" s="526">
        <v>332</v>
      </c>
      <c r="L34" s="152">
        <v>10032</v>
      </c>
      <c r="M34" s="152" t="s">
        <v>980</v>
      </c>
      <c r="N34" s="152">
        <v>604</v>
      </c>
      <c r="P34" s="152">
        <v>10045</v>
      </c>
      <c r="Q34" s="152" t="s">
        <v>994</v>
      </c>
      <c r="R34" s="152">
        <v>603</v>
      </c>
    </row>
    <row r="35" ht="15" customHeight="1" spans="2:18">
      <c r="B35" s="526">
        <v>33</v>
      </c>
      <c r="C35" s="526" t="s">
        <v>1036</v>
      </c>
      <c r="D35" s="526">
        <v>133</v>
      </c>
      <c r="E35" s="527" t="s">
        <v>407</v>
      </c>
      <c r="F35" s="526">
        <v>233</v>
      </c>
      <c r="H35" s="526">
        <v>333</v>
      </c>
      <c r="L35" s="152">
        <v>10033</v>
      </c>
      <c r="M35" s="152" t="s">
        <v>975</v>
      </c>
      <c r="N35" s="152">
        <v>604</v>
      </c>
      <c r="P35" s="152">
        <v>10042</v>
      </c>
      <c r="Q35" s="152" t="s">
        <v>985</v>
      </c>
      <c r="R35" s="152">
        <v>603</v>
      </c>
    </row>
    <row r="36" ht="15" customHeight="1" spans="2:18">
      <c r="B36" s="526">
        <v>34</v>
      </c>
      <c r="C36" s="526" t="s">
        <v>130</v>
      </c>
      <c r="D36" s="526">
        <v>134</v>
      </c>
      <c r="E36" s="527" t="s">
        <v>397</v>
      </c>
      <c r="F36" s="526">
        <v>234</v>
      </c>
      <c r="H36" s="526">
        <v>334</v>
      </c>
      <c r="L36" s="152">
        <v>10034</v>
      </c>
      <c r="M36" s="152" t="s">
        <v>979</v>
      </c>
      <c r="N36" s="152">
        <v>602</v>
      </c>
      <c r="P36" s="152">
        <v>10031</v>
      </c>
      <c r="Q36" s="152" t="s">
        <v>1002</v>
      </c>
      <c r="R36" s="152">
        <v>603</v>
      </c>
    </row>
    <row r="37" ht="15" customHeight="1" spans="2:18">
      <c r="B37" s="526">
        <v>35</v>
      </c>
      <c r="C37" s="526" t="s">
        <v>1053</v>
      </c>
      <c r="D37" s="526">
        <v>135</v>
      </c>
      <c r="E37" s="527" t="s">
        <v>392</v>
      </c>
      <c r="F37" s="526">
        <v>235</v>
      </c>
      <c r="H37" s="526">
        <v>335</v>
      </c>
      <c r="L37" s="152">
        <v>10035</v>
      </c>
      <c r="M37" s="152" t="s">
        <v>999</v>
      </c>
      <c r="N37" s="152">
        <v>602</v>
      </c>
      <c r="P37" s="152">
        <v>10026</v>
      </c>
      <c r="Q37" s="152" t="s">
        <v>1009</v>
      </c>
      <c r="R37" s="152">
        <v>603</v>
      </c>
    </row>
    <row r="38" ht="15" customHeight="1" spans="2:18">
      <c r="B38" s="526">
        <v>36</v>
      </c>
      <c r="C38" s="526" t="s">
        <v>43</v>
      </c>
      <c r="D38" s="526">
        <v>136</v>
      </c>
      <c r="E38" s="527" t="s">
        <v>395</v>
      </c>
      <c r="F38" s="526">
        <v>236</v>
      </c>
      <c r="H38" s="526">
        <v>336</v>
      </c>
      <c r="L38" s="152">
        <v>10036</v>
      </c>
      <c r="M38" s="152" t="s">
        <v>970</v>
      </c>
      <c r="N38" s="152">
        <v>599</v>
      </c>
      <c r="P38" s="152">
        <v>10001</v>
      </c>
      <c r="Q38" s="152" t="s">
        <v>1005</v>
      </c>
      <c r="R38" s="152">
        <v>603</v>
      </c>
    </row>
    <row r="39" ht="15" customHeight="1" spans="2:18">
      <c r="B39" s="526">
        <v>37</v>
      </c>
      <c r="C39" s="526" t="s">
        <v>38</v>
      </c>
      <c r="D39" s="526">
        <v>137</v>
      </c>
      <c r="E39" s="527" t="s">
        <v>412</v>
      </c>
      <c r="F39" s="526">
        <v>237</v>
      </c>
      <c r="H39" s="526">
        <v>337</v>
      </c>
      <c r="L39" s="152">
        <v>10037</v>
      </c>
      <c r="M39" s="152" t="s">
        <v>995</v>
      </c>
      <c r="N39" s="152">
        <v>597</v>
      </c>
      <c r="P39" s="152">
        <v>10098</v>
      </c>
      <c r="Q39" s="152" t="s">
        <v>936</v>
      </c>
      <c r="R39" s="152">
        <v>602</v>
      </c>
    </row>
    <row r="40" ht="15" customHeight="1" spans="2:18">
      <c r="B40" s="526">
        <v>38</v>
      </c>
      <c r="C40" s="526" t="s">
        <v>149</v>
      </c>
      <c r="D40" s="526">
        <v>138</v>
      </c>
      <c r="E40" s="527" t="s">
        <v>390</v>
      </c>
      <c r="F40" s="526">
        <v>238</v>
      </c>
      <c r="H40" s="526">
        <v>338</v>
      </c>
      <c r="L40" s="152">
        <v>10038</v>
      </c>
      <c r="M40" s="152">
        <v>0</v>
      </c>
      <c r="N40" s="152">
        <v>0</v>
      </c>
      <c r="P40" s="152">
        <v>10077</v>
      </c>
      <c r="Q40" s="152" t="s">
        <v>271</v>
      </c>
      <c r="R40" s="152">
        <v>602</v>
      </c>
    </row>
    <row r="41" ht="15" customHeight="1" spans="2:18">
      <c r="B41" s="526">
        <v>39</v>
      </c>
      <c r="C41" s="526" t="s">
        <v>66</v>
      </c>
      <c r="D41" s="526">
        <v>139</v>
      </c>
      <c r="E41" s="527" t="s">
        <v>401</v>
      </c>
      <c r="F41" s="526">
        <v>239</v>
      </c>
      <c r="H41" s="526">
        <v>339</v>
      </c>
      <c r="L41" s="152">
        <v>10039</v>
      </c>
      <c r="M41" s="152" t="s">
        <v>986</v>
      </c>
      <c r="N41" s="152">
        <v>604</v>
      </c>
      <c r="P41" s="152">
        <v>10076</v>
      </c>
      <c r="Q41" s="152" t="s">
        <v>945</v>
      </c>
      <c r="R41" s="152">
        <v>602</v>
      </c>
    </row>
    <row r="42" ht="15" customHeight="1" spans="2:18">
      <c r="B42" s="526">
        <v>40</v>
      </c>
      <c r="C42" s="526" t="s">
        <v>56</v>
      </c>
      <c r="D42" s="526">
        <v>140</v>
      </c>
      <c r="E42" s="527" t="s">
        <v>399</v>
      </c>
      <c r="F42" s="526">
        <v>240</v>
      </c>
      <c r="H42" s="526">
        <v>340</v>
      </c>
      <c r="L42" s="152">
        <v>10040</v>
      </c>
      <c r="M42" s="152" t="s">
        <v>991</v>
      </c>
      <c r="N42" s="152">
        <v>598</v>
      </c>
      <c r="P42" s="152">
        <v>10063</v>
      </c>
      <c r="Q42" s="152" t="s">
        <v>956</v>
      </c>
      <c r="R42" s="152">
        <v>602</v>
      </c>
    </row>
    <row r="43" ht="15" customHeight="1" spans="2:18">
      <c r="B43" s="526">
        <v>41</v>
      </c>
      <c r="C43" s="526" t="s">
        <v>1299</v>
      </c>
      <c r="D43" s="526">
        <v>141</v>
      </c>
      <c r="E43" s="527" t="s">
        <v>409</v>
      </c>
      <c r="F43" s="526">
        <v>241</v>
      </c>
      <c r="H43" s="526">
        <v>341</v>
      </c>
      <c r="L43" s="152">
        <v>10041</v>
      </c>
      <c r="M43" s="152" t="s">
        <v>449</v>
      </c>
      <c r="N43" s="152">
        <v>599</v>
      </c>
      <c r="P43" s="152">
        <v>10060</v>
      </c>
      <c r="Q43" s="152" t="s">
        <v>976</v>
      </c>
      <c r="R43" s="152">
        <v>602</v>
      </c>
    </row>
    <row r="44" ht="15" customHeight="1" spans="2:18">
      <c r="B44" s="526">
        <v>42</v>
      </c>
      <c r="C44" s="526" t="s">
        <v>83</v>
      </c>
      <c r="D44" s="526">
        <v>142</v>
      </c>
      <c r="E44" s="527" t="s">
        <v>781</v>
      </c>
      <c r="F44" s="526">
        <v>242</v>
      </c>
      <c r="H44" s="526">
        <v>342</v>
      </c>
      <c r="L44" s="152">
        <v>10042</v>
      </c>
      <c r="M44" s="152" t="s">
        <v>985</v>
      </c>
      <c r="N44" s="152">
        <v>603</v>
      </c>
      <c r="P44" s="152">
        <v>10051</v>
      </c>
      <c r="Q44" s="152" t="s">
        <v>450</v>
      </c>
      <c r="R44" s="152">
        <v>602</v>
      </c>
    </row>
    <row r="45" ht="15" customHeight="1" spans="2:18">
      <c r="B45" s="526">
        <v>43</v>
      </c>
      <c r="C45" s="526" t="s">
        <v>1300</v>
      </c>
      <c r="D45" s="526">
        <v>143</v>
      </c>
      <c r="E45" s="527" t="s">
        <v>777</v>
      </c>
      <c r="F45" s="526">
        <v>243</v>
      </c>
      <c r="H45" s="526">
        <v>343</v>
      </c>
      <c r="L45" s="152">
        <v>10043</v>
      </c>
      <c r="M45" s="152" t="s">
        <v>982</v>
      </c>
      <c r="N45" s="152">
        <v>604</v>
      </c>
      <c r="P45" s="152">
        <v>10035</v>
      </c>
      <c r="Q45" s="152" t="s">
        <v>999</v>
      </c>
      <c r="R45" s="152">
        <v>602</v>
      </c>
    </row>
    <row r="46" ht="15" customHeight="1" spans="2:18">
      <c r="B46" s="526">
        <v>44</v>
      </c>
      <c r="C46" s="526" t="s">
        <v>1038</v>
      </c>
      <c r="D46" s="526">
        <v>144</v>
      </c>
      <c r="E46" s="527" t="s">
        <v>795</v>
      </c>
      <c r="F46" s="526">
        <v>244</v>
      </c>
      <c r="H46" s="526">
        <v>344</v>
      </c>
      <c r="L46" s="152">
        <v>10044</v>
      </c>
      <c r="M46" s="152" t="s">
        <v>998</v>
      </c>
      <c r="N46" s="152">
        <v>600</v>
      </c>
      <c r="P46" s="152">
        <v>10034</v>
      </c>
      <c r="Q46" s="152" t="s">
        <v>979</v>
      </c>
      <c r="R46" s="152">
        <v>602</v>
      </c>
    </row>
    <row r="47" ht="15" customHeight="1" spans="2:18">
      <c r="B47" s="526">
        <v>45</v>
      </c>
      <c r="C47" s="526" t="s">
        <v>333</v>
      </c>
      <c r="D47" s="526">
        <v>145</v>
      </c>
      <c r="E47" s="527" t="s">
        <v>814</v>
      </c>
      <c r="F47" s="526">
        <v>245</v>
      </c>
      <c r="H47" s="526">
        <v>345</v>
      </c>
      <c r="L47" s="152">
        <v>10045</v>
      </c>
      <c r="M47" s="152" t="s">
        <v>994</v>
      </c>
      <c r="N47" s="152">
        <v>603</v>
      </c>
      <c r="P47" s="152">
        <v>10028</v>
      </c>
      <c r="Q47" s="152" t="s">
        <v>989</v>
      </c>
      <c r="R47" s="152">
        <v>602</v>
      </c>
    </row>
    <row r="48" ht="15" customHeight="1" spans="2:18">
      <c r="B48" s="526">
        <v>46</v>
      </c>
      <c r="C48" s="526" t="s">
        <v>1301</v>
      </c>
      <c r="D48" s="526">
        <v>146</v>
      </c>
      <c r="E48" s="527" t="s">
        <v>805</v>
      </c>
      <c r="F48" s="526">
        <v>246</v>
      </c>
      <c r="H48" s="526">
        <v>346</v>
      </c>
      <c r="L48" s="152">
        <v>10046</v>
      </c>
      <c r="M48" s="152" t="s">
        <v>974</v>
      </c>
      <c r="N48" s="152">
        <v>601</v>
      </c>
      <c r="P48" s="152">
        <v>10016</v>
      </c>
      <c r="Q48" s="152" t="s">
        <v>997</v>
      </c>
      <c r="R48" s="152">
        <v>602</v>
      </c>
    </row>
    <row r="49" ht="15" customHeight="1" spans="2:18">
      <c r="B49" s="526">
        <v>47</v>
      </c>
      <c r="C49" s="526" t="s">
        <v>1302</v>
      </c>
      <c r="D49" s="526">
        <v>147</v>
      </c>
      <c r="E49" s="527" t="s">
        <v>832</v>
      </c>
      <c r="F49" s="526">
        <v>247</v>
      </c>
      <c r="H49" s="526">
        <v>347</v>
      </c>
      <c r="L49" s="152">
        <v>10047</v>
      </c>
      <c r="M49" s="152" t="s">
        <v>978</v>
      </c>
      <c r="N49" s="152">
        <v>603</v>
      </c>
      <c r="P49" s="152">
        <v>10082</v>
      </c>
      <c r="Q49" s="152" t="s">
        <v>286</v>
      </c>
      <c r="R49" s="152">
        <v>601</v>
      </c>
    </row>
    <row r="50" ht="15" customHeight="1" spans="2:18">
      <c r="B50" s="526">
        <v>48</v>
      </c>
      <c r="C50" s="526" t="s">
        <v>115</v>
      </c>
      <c r="D50" s="526">
        <v>148</v>
      </c>
      <c r="E50" s="527" t="s">
        <v>840</v>
      </c>
      <c r="F50" s="526">
        <v>248</v>
      </c>
      <c r="H50" s="526">
        <v>348</v>
      </c>
      <c r="L50" s="152">
        <v>10048</v>
      </c>
      <c r="M50" s="152" t="s">
        <v>990</v>
      </c>
      <c r="N50" s="152">
        <v>601</v>
      </c>
      <c r="P50" s="152">
        <v>10079</v>
      </c>
      <c r="Q50" s="152" t="s">
        <v>277</v>
      </c>
      <c r="R50" s="152">
        <v>601</v>
      </c>
    </row>
    <row r="51" ht="15" customHeight="1" spans="2:18">
      <c r="B51" s="526">
        <v>49</v>
      </c>
      <c r="C51" s="526" t="s">
        <v>119</v>
      </c>
      <c r="D51" s="526">
        <v>149</v>
      </c>
      <c r="E51" s="526" t="s">
        <v>770</v>
      </c>
      <c r="F51" s="526">
        <v>249</v>
      </c>
      <c r="H51" s="526">
        <v>349</v>
      </c>
      <c r="L51" s="152">
        <v>10049</v>
      </c>
      <c r="M51" s="152" t="s">
        <v>973</v>
      </c>
      <c r="N51" s="152">
        <v>596</v>
      </c>
      <c r="P51" s="152">
        <v>10056</v>
      </c>
      <c r="Q51" s="152" t="s">
        <v>966</v>
      </c>
      <c r="R51" s="152">
        <v>601</v>
      </c>
    </row>
    <row r="52" ht="15" customHeight="1" spans="2:18">
      <c r="B52" s="526">
        <v>50</v>
      </c>
      <c r="C52" s="526" t="s">
        <v>1303</v>
      </c>
      <c r="D52" s="526">
        <v>150</v>
      </c>
      <c r="E52" s="527" t="s">
        <v>771</v>
      </c>
      <c r="F52" s="526">
        <v>250</v>
      </c>
      <c r="H52" s="526">
        <v>350</v>
      </c>
      <c r="L52" s="152">
        <v>10050</v>
      </c>
      <c r="M52" s="152" t="s">
        <v>977</v>
      </c>
      <c r="N52" s="152">
        <v>604</v>
      </c>
      <c r="P52" s="152">
        <v>10048</v>
      </c>
      <c r="Q52" s="152" t="s">
        <v>990</v>
      </c>
      <c r="R52" s="152">
        <v>601</v>
      </c>
    </row>
    <row r="53" ht="15" customHeight="1" spans="2:18">
      <c r="B53" s="526">
        <v>51</v>
      </c>
      <c r="C53" s="526" t="s">
        <v>749</v>
      </c>
      <c r="D53" s="526">
        <v>151</v>
      </c>
      <c r="E53" s="527" t="s">
        <v>768</v>
      </c>
      <c r="F53" s="526">
        <v>251</v>
      </c>
      <c r="H53" s="526">
        <v>351</v>
      </c>
      <c r="L53" s="152">
        <v>10051</v>
      </c>
      <c r="M53" s="152" t="s">
        <v>450</v>
      </c>
      <c r="N53" s="152">
        <v>602</v>
      </c>
      <c r="P53" s="152">
        <v>10046</v>
      </c>
      <c r="Q53" s="152" t="s">
        <v>974</v>
      </c>
      <c r="R53" s="152">
        <v>601</v>
      </c>
    </row>
    <row r="54" ht="15" customHeight="1" spans="2:18">
      <c r="B54" s="526">
        <v>52</v>
      </c>
      <c r="C54" s="526" t="s">
        <v>1304</v>
      </c>
      <c r="D54" s="526">
        <v>152</v>
      </c>
      <c r="E54" s="527" t="s">
        <v>786</v>
      </c>
      <c r="F54" s="526">
        <v>252</v>
      </c>
      <c r="H54" s="526">
        <v>352</v>
      </c>
      <c r="L54" s="152">
        <v>10052</v>
      </c>
      <c r="M54" s="152" t="s">
        <v>984</v>
      </c>
      <c r="N54" s="152">
        <v>605</v>
      </c>
      <c r="P54" s="152">
        <v>10024</v>
      </c>
      <c r="Q54" s="152" t="s">
        <v>1008</v>
      </c>
      <c r="R54" s="152">
        <v>601</v>
      </c>
    </row>
    <row r="55" ht="15" customHeight="1" spans="2:18">
      <c r="B55" s="526">
        <v>53</v>
      </c>
      <c r="C55" s="526" t="s">
        <v>174</v>
      </c>
      <c r="D55" s="526">
        <v>153</v>
      </c>
      <c r="E55" s="527" t="s">
        <v>785</v>
      </c>
      <c r="F55" s="526">
        <v>253</v>
      </c>
      <c r="H55" s="526">
        <v>353</v>
      </c>
      <c r="L55" s="152">
        <v>10053</v>
      </c>
      <c r="M55" s="152" t="s">
        <v>969</v>
      </c>
      <c r="N55" s="152">
        <v>600</v>
      </c>
      <c r="P55" s="152">
        <v>10006</v>
      </c>
      <c r="Q55" s="152" t="s">
        <v>1016</v>
      </c>
      <c r="R55" s="152">
        <v>601</v>
      </c>
    </row>
    <row r="56" ht="15" customHeight="1" spans="2:18">
      <c r="B56" s="526">
        <v>54</v>
      </c>
      <c r="D56" s="526">
        <v>154</v>
      </c>
      <c r="E56" s="526" t="s">
        <v>1040</v>
      </c>
      <c r="F56" s="526">
        <v>254</v>
      </c>
      <c r="H56" s="526">
        <v>354</v>
      </c>
      <c r="L56" s="152">
        <v>10054</v>
      </c>
      <c r="M56" s="152" t="s">
        <v>981</v>
      </c>
      <c r="N56" s="152">
        <v>603</v>
      </c>
      <c r="P56" s="152">
        <v>10099</v>
      </c>
      <c r="Q56" s="152" t="s">
        <v>928</v>
      </c>
      <c r="R56" s="152">
        <v>600</v>
      </c>
    </row>
    <row r="57" ht="15" customHeight="1" spans="2:18">
      <c r="B57" s="526">
        <v>55</v>
      </c>
      <c r="C57" s="526" t="s">
        <v>746</v>
      </c>
      <c r="D57" s="526">
        <v>155</v>
      </c>
      <c r="E57" s="526" t="s">
        <v>1041</v>
      </c>
      <c r="F57" s="526">
        <v>255</v>
      </c>
      <c r="H57" s="526">
        <v>355</v>
      </c>
      <c r="L57" s="152">
        <v>10055</v>
      </c>
      <c r="M57" s="152" t="s">
        <v>968</v>
      </c>
      <c r="N57" s="152">
        <v>605</v>
      </c>
      <c r="P57" s="152">
        <v>10078</v>
      </c>
      <c r="Q57" s="152" t="s">
        <v>274</v>
      </c>
      <c r="R57" s="152">
        <v>600</v>
      </c>
    </row>
    <row r="58" ht="15" customHeight="1" spans="2:18">
      <c r="B58" s="526">
        <v>56</v>
      </c>
      <c r="C58" s="526" t="s">
        <v>51</v>
      </c>
      <c r="D58" s="526">
        <v>156</v>
      </c>
      <c r="E58" s="527" t="s">
        <v>774</v>
      </c>
      <c r="F58" s="526">
        <v>256</v>
      </c>
      <c r="H58" s="526">
        <v>356</v>
      </c>
      <c r="L58" s="152">
        <v>10056</v>
      </c>
      <c r="M58" s="152" t="s">
        <v>966</v>
      </c>
      <c r="N58" s="152">
        <v>601</v>
      </c>
      <c r="P58" s="152">
        <v>10069</v>
      </c>
      <c r="Q58" s="152" t="s">
        <v>950</v>
      </c>
      <c r="R58" s="152">
        <v>600</v>
      </c>
    </row>
    <row r="59" ht="15" customHeight="1" spans="2:18">
      <c r="B59" s="526">
        <v>57</v>
      </c>
      <c r="C59" s="526" t="s">
        <v>112</v>
      </c>
      <c r="D59" s="526">
        <v>157</v>
      </c>
      <c r="E59" s="527" t="s">
        <v>780</v>
      </c>
      <c r="F59" s="526">
        <v>257</v>
      </c>
      <c r="H59" s="526">
        <v>357</v>
      </c>
      <c r="L59" s="152">
        <v>10057</v>
      </c>
      <c r="M59" s="152" t="s">
        <v>961</v>
      </c>
      <c r="N59" s="152">
        <v>598</v>
      </c>
      <c r="P59" s="152">
        <v>10053</v>
      </c>
      <c r="Q59" s="152" t="s">
        <v>969</v>
      </c>
      <c r="R59" s="152">
        <v>600</v>
      </c>
    </row>
    <row r="60" ht="15" customHeight="1" spans="2:18">
      <c r="B60" s="526">
        <v>58</v>
      </c>
      <c r="C60" s="526" t="s">
        <v>1305</v>
      </c>
      <c r="D60" s="526">
        <v>158</v>
      </c>
      <c r="E60" s="527" t="s">
        <v>776</v>
      </c>
      <c r="F60" s="526">
        <v>258</v>
      </c>
      <c r="H60" s="526">
        <v>358</v>
      </c>
      <c r="L60" s="152">
        <v>10058</v>
      </c>
      <c r="M60" s="152" t="s">
        <v>962</v>
      </c>
      <c r="N60" s="152">
        <v>598</v>
      </c>
      <c r="P60" s="152">
        <v>10044</v>
      </c>
      <c r="Q60" s="152" t="s">
        <v>998</v>
      </c>
      <c r="R60" s="152">
        <v>600</v>
      </c>
    </row>
    <row r="61" ht="15" customHeight="1" spans="2:18">
      <c r="B61" s="526">
        <v>59</v>
      </c>
      <c r="C61" s="526" t="s">
        <v>1306</v>
      </c>
      <c r="D61" s="526">
        <v>159</v>
      </c>
      <c r="E61" s="527" t="s">
        <v>800</v>
      </c>
      <c r="F61" s="526">
        <v>259</v>
      </c>
      <c r="H61" s="526">
        <v>359</v>
      </c>
      <c r="L61" s="152">
        <v>10059</v>
      </c>
      <c r="M61" s="152" t="s">
        <v>965</v>
      </c>
      <c r="N61" s="152">
        <v>606</v>
      </c>
      <c r="P61" s="152">
        <v>10017</v>
      </c>
      <c r="Q61" s="152" t="s">
        <v>451</v>
      </c>
      <c r="R61" s="152">
        <v>600</v>
      </c>
    </row>
    <row r="62" ht="15" customHeight="1" spans="2:18">
      <c r="B62" s="526">
        <v>60</v>
      </c>
      <c r="C62" s="526" t="s">
        <v>142</v>
      </c>
      <c r="D62" s="526">
        <v>160</v>
      </c>
      <c r="E62" s="527" t="s">
        <v>812</v>
      </c>
      <c r="F62" s="526">
        <v>260</v>
      </c>
      <c r="H62" s="526">
        <v>360</v>
      </c>
      <c r="L62" s="152">
        <v>10060</v>
      </c>
      <c r="M62" s="152" t="s">
        <v>976</v>
      </c>
      <c r="N62" s="152">
        <v>602</v>
      </c>
      <c r="P62" s="152">
        <v>10080</v>
      </c>
      <c r="Q62" s="152" t="s">
        <v>280</v>
      </c>
      <c r="R62" s="152">
        <v>599</v>
      </c>
    </row>
    <row r="63" ht="15" customHeight="1" spans="2:18">
      <c r="B63" s="526">
        <v>61</v>
      </c>
      <c r="C63" s="526" t="s">
        <v>123</v>
      </c>
      <c r="D63" s="526">
        <v>161</v>
      </c>
      <c r="E63" s="527" t="s">
        <v>801</v>
      </c>
      <c r="F63" s="526">
        <v>261</v>
      </c>
      <c r="H63" s="526">
        <v>361</v>
      </c>
      <c r="L63" s="152">
        <v>10061</v>
      </c>
      <c r="M63" s="152" t="s">
        <v>958</v>
      </c>
      <c r="N63" s="152">
        <v>593</v>
      </c>
      <c r="P63" s="152">
        <v>10068</v>
      </c>
      <c r="Q63" s="152" t="s">
        <v>448</v>
      </c>
      <c r="R63" s="152">
        <v>599</v>
      </c>
    </row>
    <row r="64" ht="15" customHeight="1" spans="2:18">
      <c r="B64" s="526">
        <v>62</v>
      </c>
      <c r="C64" s="527" t="s">
        <v>294</v>
      </c>
      <c r="D64" s="526">
        <v>162</v>
      </c>
      <c r="E64" s="527" t="s">
        <v>797</v>
      </c>
      <c r="F64" s="526">
        <v>262</v>
      </c>
      <c r="H64" s="526">
        <v>362</v>
      </c>
      <c r="L64" s="152">
        <v>10062</v>
      </c>
      <c r="M64" s="152" t="s">
        <v>955</v>
      </c>
      <c r="N64" s="152">
        <v>595</v>
      </c>
      <c r="P64" s="152">
        <v>10067</v>
      </c>
      <c r="Q64" s="152" t="s">
        <v>951</v>
      </c>
      <c r="R64" s="152">
        <v>599</v>
      </c>
    </row>
    <row r="65" ht="15" customHeight="1" spans="2:18">
      <c r="B65" s="526">
        <v>63</v>
      </c>
      <c r="C65" s="526" t="s">
        <v>1307</v>
      </c>
      <c r="D65" s="526">
        <v>163</v>
      </c>
      <c r="E65" s="527" t="s">
        <v>817</v>
      </c>
      <c r="F65" s="526">
        <v>263</v>
      </c>
      <c r="H65" s="526">
        <v>363</v>
      </c>
      <c r="L65" s="152">
        <v>10063</v>
      </c>
      <c r="M65" s="152" t="s">
        <v>956</v>
      </c>
      <c r="N65" s="152">
        <v>602</v>
      </c>
      <c r="P65" s="152">
        <v>10041</v>
      </c>
      <c r="Q65" s="152" t="s">
        <v>449</v>
      </c>
      <c r="R65" s="152">
        <v>599</v>
      </c>
    </row>
    <row r="66" ht="15" customHeight="1" spans="2:18">
      <c r="B66" s="526">
        <v>64</v>
      </c>
      <c r="C66" s="526" t="s">
        <v>1308</v>
      </c>
      <c r="D66" s="526">
        <v>164</v>
      </c>
      <c r="E66" s="527" t="s">
        <v>811</v>
      </c>
      <c r="F66" s="526">
        <v>264</v>
      </c>
      <c r="H66" s="526">
        <v>364</v>
      </c>
      <c r="L66" s="152">
        <v>10064</v>
      </c>
      <c r="M66" s="152" t="s">
        <v>972</v>
      </c>
      <c r="N66" s="152">
        <v>605</v>
      </c>
      <c r="P66" s="152">
        <v>10036</v>
      </c>
      <c r="Q66" s="152" t="s">
        <v>970</v>
      </c>
      <c r="R66" s="152">
        <v>599</v>
      </c>
    </row>
    <row r="67" ht="15" customHeight="1" spans="2:18">
      <c r="B67" s="526">
        <v>65</v>
      </c>
      <c r="C67" s="526" t="s">
        <v>1309</v>
      </c>
      <c r="D67" s="526">
        <v>165</v>
      </c>
      <c r="E67" s="527" t="s">
        <v>823</v>
      </c>
      <c r="F67" s="526">
        <v>265</v>
      </c>
      <c r="H67" s="526">
        <v>365</v>
      </c>
      <c r="L67" s="152">
        <v>10065</v>
      </c>
      <c r="M67" s="152" t="s">
        <v>971</v>
      </c>
      <c r="N67" s="152">
        <v>605</v>
      </c>
      <c r="P67" s="152">
        <v>10013</v>
      </c>
      <c r="Q67" s="152" t="s">
        <v>1013</v>
      </c>
      <c r="R67" s="152">
        <v>599</v>
      </c>
    </row>
    <row r="68" ht="15" customHeight="1" spans="2:18">
      <c r="B68" s="526">
        <v>66</v>
      </c>
      <c r="C68" s="526" t="s">
        <v>1310</v>
      </c>
      <c r="D68" s="526">
        <v>166</v>
      </c>
      <c r="E68" s="527" t="s">
        <v>808</v>
      </c>
      <c r="F68" s="526">
        <v>266</v>
      </c>
      <c r="H68" s="526">
        <v>366</v>
      </c>
      <c r="L68" s="152">
        <v>10066</v>
      </c>
      <c r="M68" s="152" t="s">
        <v>952</v>
      </c>
      <c r="N68" s="152">
        <v>604</v>
      </c>
      <c r="P68" s="152">
        <v>10083</v>
      </c>
      <c r="Q68" s="152" t="s">
        <v>298</v>
      </c>
      <c r="R68" s="152">
        <v>598</v>
      </c>
    </row>
    <row r="69" ht="15" customHeight="1" spans="2:18">
      <c r="B69" s="526">
        <v>67</v>
      </c>
      <c r="C69" s="526" t="s">
        <v>157</v>
      </c>
      <c r="D69" s="526">
        <v>167</v>
      </c>
      <c r="E69" s="527" t="s">
        <v>788</v>
      </c>
      <c r="F69" s="526">
        <v>267</v>
      </c>
      <c r="H69" s="526">
        <v>367</v>
      </c>
      <c r="L69" s="152">
        <v>10067</v>
      </c>
      <c r="M69" s="152" t="s">
        <v>951</v>
      </c>
      <c r="N69" s="152">
        <v>599</v>
      </c>
      <c r="P69" s="152">
        <v>10071</v>
      </c>
      <c r="Q69" s="152" t="s">
        <v>1055</v>
      </c>
      <c r="R69" s="152">
        <v>598</v>
      </c>
    </row>
    <row r="70" ht="15" customHeight="1" spans="2:18">
      <c r="B70" s="526">
        <v>68</v>
      </c>
      <c r="C70" s="526" t="s">
        <v>1311</v>
      </c>
      <c r="D70" s="526">
        <v>168</v>
      </c>
      <c r="E70" s="527" t="s">
        <v>793</v>
      </c>
      <c r="F70" s="526">
        <v>268</v>
      </c>
      <c r="H70" s="526">
        <v>368</v>
      </c>
      <c r="L70" s="152">
        <v>10068</v>
      </c>
      <c r="M70" s="152" t="s">
        <v>448</v>
      </c>
      <c r="N70" s="152">
        <v>599</v>
      </c>
      <c r="P70" s="152">
        <v>10058</v>
      </c>
      <c r="Q70" s="152" t="s">
        <v>962</v>
      </c>
      <c r="R70" s="152">
        <v>598</v>
      </c>
    </row>
    <row r="71" ht="15" customHeight="1" spans="2:18">
      <c r="B71" s="526">
        <v>69</v>
      </c>
      <c r="C71" s="526" t="s">
        <v>1312</v>
      </c>
      <c r="D71" s="526">
        <v>169</v>
      </c>
      <c r="E71" s="526" t="s">
        <v>849</v>
      </c>
      <c r="F71" s="526">
        <v>269</v>
      </c>
      <c r="H71" s="526">
        <v>369</v>
      </c>
      <c r="L71" s="152">
        <v>10069</v>
      </c>
      <c r="M71" s="152" t="s">
        <v>950</v>
      </c>
      <c r="N71" s="152">
        <v>600</v>
      </c>
      <c r="P71" s="152">
        <v>10057</v>
      </c>
      <c r="Q71" s="152" t="s">
        <v>961</v>
      </c>
      <c r="R71" s="152">
        <v>598</v>
      </c>
    </row>
    <row r="72" ht="15" customHeight="1" spans="2:18">
      <c r="B72" s="526">
        <v>70</v>
      </c>
      <c r="C72" s="526" t="s">
        <v>1313</v>
      </c>
      <c r="D72" s="526">
        <v>170</v>
      </c>
      <c r="E72" s="526" t="s">
        <v>1047</v>
      </c>
      <c r="F72" s="526">
        <v>270</v>
      </c>
      <c r="H72" s="526">
        <v>370</v>
      </c>
      <c r="L72" s="152">
        <v>10070</v>
      </c>
      <c r="M72" s="152" t="s">
        <v>967</v>
      </c>
      <c r="N72" s="152">
        <v>605</v>
      </c>
      <c r="P72" s="152">
        <v>10040</v>
      </c>
      <c r="Q72" s="152" t="s">
        <v>991</v>
      </c>
      <c r="R72" s="152">
        <v>598</v>
      </c>
    </row>
    <row r="73" ht="15" customHeight="1" spans="2:18">
      <c r="B73" s="526">
        <v>71</v>
      </c>
      <c r="C73" s="526" t="s">
        <v>1314</v>
      </c>
      <c r="D73" s="526">
        <v>171</v>
      </c>
      <c r="E73" s="527" t="s">
        <v>783</v>
      </c>
      <c r="F73" s="526">
        <v>271</v>
      </c>
      <c r="H73" s="526">
        <v>371</v>
      </c>
      <c r="L73" s="152">
        <v>10071</v>
      </c>
      <c r="M73" s="152" t="s">
        <v>1055</v>
      </c>
      <c r="N73" s="152">
        <v>598</v>
      </c>
      <c r="P73" s="152">
        <v>10018</v>
      </c>
      <c r="Q73" s="152" t="s">
        <v>992</v>
      </c>
      <c r="R73" s="152">
        <v>598</v>
      </c>
    </row>
    <row r="74" ht="15" customHeight="1" spans="2:18">
      <c r="B74" s="526">
        <v>72</v>
      </c>
      <c r="C74" s="526" t="s">
        <v>822</v>
      </c>
      <c r="D74" s="526">
        <v>172</v>
      </c>
      <c r="E74" s="527" t="s">
        <v>790</v>
      </c>
      <c r="F74" s="526">
        <v>272</v>
      </c>
      <c r="H74" s="526">
        <v>372</v>
      </c>
      <c r="L74" s="152">
        <v>10072</v>
      </c>
      <c r="M74" s="152" t="s">
        <v>963</v>
      </c>
      <c r="N74" s="152">
        <v>604</v>
      </c>
      <c r="P74" s="152">
        <v>10089</v>
      </c>
      <c r="Q74" s="152" t="s">
        <v>310</v>
      </c>
      <c r="R74" s="152">
        <v>597</v>
      </c>
    </row>
    <row r="75" ht="15" customHeight="1" spans="2:18">
      <c r="B75" s="526">
        <v>73</v>
      </c>
      <c r="C75" s="526" t="s">
        <v>152</v>
      </c>
      <c r="D75" s="526">
        <v>173</v>
      </c>
      <c r="E75" s="527" t="s">
        <v>792</v>
      </c>
      <c r="F75" s="526">
        <v>273</v>
      </c>
      <c r="H75" s="526">
        <v>373</v>
      </c>
      <c r="L75" s="152">
        <v>10073</v>
      </c>
      <c r="M75" s="152" t="s">
        <v>964</v>
      </c>
      <c r="N75" s="152">
        <v>595</v>
      </c>
      <c r="P75" s="152">
        <v>10037</v>
      </c>
      <c r="Q75" s="152" t="s">
        <v>995</v>
      </c>
      <c r="R75" s="152">
        <v>597</v>
      </c>
    </row>
    <row r="76" ht="15" customHeight="1" spans="2:18">
      <c r="B76" s="526">
        <v>74</v>
      </c>
      <c r="C76" s="526" t="s">
        <v>1315</v>
      </c>
      <c r="D76" s="526">
        <v>174</v>
      </c>
      <c r="E76" s="526" t="s">
        <v>782</v>
      </c>
      <c r="F76" s="526">
        <v>274</v>
      </c>
      <c r="H76" s="526">
        <v>374</v>
      </c>
      <c r="L76" s="152">
        <v>10074</v>
      </c>
      <c r="M76" s="152" t="s">
        <v>1298</v>
      </c>
      <c r="N76" s="152">
        <v>603</v>
      </c>
      <c r="P76" s="152">
        <v>10003</v>
      </c>
      <c r="Q76" s="152" t="s">
        <v>447</v>
      </c>
      <c r="R76" s="152">
        <v>597</v>
      </c>
    </row>
    <row r="77" ht="15" customHeight="1" spans="2:18">
      <c r="B77" s="526">
        <v>75</v>
      </c>
      <c r="C77" s="526" t="s">
        <v>315</v>
      </c>
      <c r="D77" s="526">
        <v>175</v>
      </c>
      <c r="E77" s="526" t="s">
        <v>772</v>
      </c>
      <c r="F77" s="526">
        <v>275</v>
      </c>
      <c r="H77" s="526">
        <v>375</v>
      </c>
      <c r="L77" s="152">
        <v>10075</v>
      </c>
      <c r="M77" s="152" t="s">
        <v>948</v>
      </c>
      <c r="N77" s="152">
        <v>592</v>
      </c>
      <c r="P77" s="152">
        <v>10096</v>
      </c>
      <c r="Q77" s="152" t="s">
        <v>931</v>
      </c>
      <c r="R77" s="152">
        <v>596</v>
      </c>
    </row>
    <row r="78" ht="15" customHeight="1" spans="2:18">
      <c r="B78" s="526">
        <v>76</v>
      </c>
      <c r="C78" s="527" t="s">
        <v>353</v>
      </c>
      <c r="D78" s="526">
        <v>176</v>
      </c>
      <c r="E78" s="526" t="s">
        <v>787</v>
      </c>
      <c r="F78" s="526">
        <v>276</v>
      </c>
      <c r="H78" s="526">
        <v>376</v>
      </c>
      <c r="L78" s="152">
        <v>10076</v>
      </c>
      <c r="M78" s="152" t="s">
        <v>945</v>
      </c>
      <c r="N78" s="152">
        <v>602</v>
      </c>
      <c r="P78" s="152">
        <v>10049</v>
      </c>
      <c r="Q78" s="152" t="s">
        <v>973</v>
      </c>
      <c r="R78" s="152">
        <v>596</v>
      </c>
    </row>
    <row r="79" ht="15" customHeight="1" spans="2:18">
      <c r="B79" s="526">
        <v>77</v>
      </c>
      <c r="C79" s="526" t="s">
        <v>1316</v>
      </c>
      <c r="D79" s="526">
        <v>177</v>
      </c>
      <c r="E79" s="526" t="s">
        <v>827</v>
      </c>
      <c r="F79" s="526">
        <v>277</v>
      </c>
      <c r="H79" s="526">
        <v>377</v>
      </c>
      <c r="L79" s="152">
        <v>10077</v>
      </c>
      <c r="M79" s="152" t="s">
        <v>271</v>
      </c>
      <c r="N79" s="152">
        <v>602</v>
      </c>
      <c r="P79" s="152">
        <v>10015</v>
      </c>
      <c r="Q79" s="152" t="s">
        <v>1010</v>
      </c>
      <c r="R79" s="152">
        <v>596</v>
      </c>
    </row>
    <row r="80" ht="15" customHeight="1" spans="2:18">
      <c r="B80" s="526">
        <v>78</v>
      </c>
      <c r="C80" s="526" t="s">
        <v>1317</v>
      </c>
      <c r="D80" s="526">
        <v>178</v>
      </c>
      <c r="E80" s="526" t="s">
        <v>818</v>
      </c>
      <c r="F80" s="526">
        <v>278</v>
      </c>
      <c r="H80" s="526">
        <v>378</v>
      </c>
      <c r="L80" s="152">
        <v>10078</v>
      </c>
      <c r="M80" s="152" t="s">
        <v>274</v>
      </c>
      <c r="N80" s="152">
        <v>600</v>
      </c>
      <c r="P80" s="152">
        <v>10073</v>
      </c>
      <c r="Q80" s="152" t="s">
        <v>964</v>
      </c>
      <c r="R80" s="152">
        <v>595</v>
      </c>
    </row>
    <row r="81" ht="15" customHeight="1" spans="2:18">
      <c r="B81" s="526">
        <v>79</v>
      </c>
      <c r="C81" s="526" t="s">
        <v>1318</v>
      </c>
      <c r="D81" s="526">
        <v>179</v>
      </c>
      <c r="E81" s="526" t="s">
        <v>806</v>
      </c>
      <c r="F81" s="526">
        <v>279</v>
      </c>
      <c r="H81" s="526">
        <v>379</v>
      </c>
      <c r="L81" s="152">
        <v>10079</v>
      </c>
      <c r="M81" s="152" t="s">
        <v>277</v>
      </c>
      <c r="N81" s="152">
        <v>601</v>
      </c>
      <c r="P81" s="152">
        <v>10062</v>
      </c>
      <c r="Q81" s="152" t="s">
        <v>955</v>
      </c>
      <c r="R81" s="152">
        <v>595</v>
      </c>
    </row>
    <row r="82" ht="15" customHeight="1" spans="2:18">
      <c r="B82" s="526">
        <v>80</v>
      </c>
      <c r="C82" s="526" t="s">
        <v>1319</v>
      </c>
      <c r="D82" s="526">
        <v>180</v>
      </c>
      <c r="E82" s="526" t="s">
        <v>844</v>
      </c>
      <c r="F82" s="526">
        <v>280</v>
      </c>
      <c r="H82" s="526">
        <v>380</v>
      </c>
      <c r="L82" s="152">
        <v>10080</v>
      </c>
      <c r="M82" s="152" t="s">
        <v>280</v>
      </c>
      <c r="N82" s="152">
        <v>599</v>
      </c>
      <c r="P82" s="152">
        <v>10021</v>
      </c>
      <c r="Q82" s="152" t="s">
        <v>452</v>
      </c>
      <c r="R82" s="152">
        <v>595</v>
      </c>
    </row>
    <row r="83" ht="15" customHeight="1" spans="2:18">
      <c r="B83" s="526">
        <v>81</v>
      </c>
      <c r="C83" s="526" t="s">
        <v>1320</v>
      </c>
      <c r="D83" s="526">
        <v>181</v>
      </c>
      <c r="E83" s="526" t="s">
        <v>778</v>
      </c>
      <c r="F83" s="526">
        <v>281</v>
      </c>
      <c r="H83" s="526">
        <v>381</v>
      </c>
      <c r="L83" s="152">
        <v>10081</v>
      </c>
      <c r="M83" s="152" t="s">
        <v>283</v>
      </c>
      <c r="N83" s="152">
        <v>589</v>
      </c>
      <c r="P83" s="152">
        <v>10010</v>
      </c>
      <c r="Q83" s="152" t="s">
        <v>1000</v>
      </c>
      <c r="R83" s="152">
        <v>595</v>
      </c>
    </row>
    <row r="84" ht="15" customHeight="1" spans="2:18">
      <c r="B84" s="526">
        <v>82</v>
      </c>
      <c r="C84" s="526" t="s">
        <v>1321</v>
      </c>
      <c r="D84" s="526">
        <v>182</v>
      </c>
      <c r="E84" s="526" t="s">
        <v>500</v>
      </c>
      <c r="F84" s="526">
        <v>282</v>
      </c>
      <c r="H84" s="526">
        <v>382</v>
      </c>
      <c r="L84" s="152">
        <v>10082</v>
      </c>
      <c r="M84" s="152" t="s">
        <v>286</v>
      </c>
      <c r="N84" s="152">
        <v>601</v>
      </c>
      <c r="P84" s="152">
        <v>10012</v>
      </c>
      <c r="Q84" s="152" t="s">
        <v>1012</v>
      </c>
      <c r="R84" s="152">
        <v>594</v>
      </c>
    </row>
    <row r="85" ht="15" customHeight="1" spans="2:18">
      <c r="B85" s="526">
        <v>83</v>
      </c>
      <c r="C85" s="526" t="s">
        <v>1322</v>
      </c>
      <c r="D85" s="526">
        <v>183</v>
      </c>
      <c r="E85" s="526" t="s">
        <v>809</v>
      </c>
      <c r="F85" s="526">
        <v>283</v>
      </c>
      <c r="H85" s="526">
        <v>383</v>
      </c>
      <c r="L85" s="152">
        <v>10083</v>
      </c>
      <c r="M85" s="152" t="s">
        <v>298</v>
      </c>
      <c r="N85" s="152">
        <v>598</v>
      </c>
      <c r="P85" s="152">
        <v>10007</v>
      </c>
      <c r="Q85" s="152" t="s">
        <v>1015</v>
      </c>
      <c r="R85" s="152">
        <v>594</v>
      </c>
    </row>
    <row r="86" ht="15" customHeight="1" spans="2:18">
      <c r="B86" s="526">
        <v>84</v>
      </c>
      <c r="C86" s="526" t="s">
        <v>1323</v>
      </c>
      <c r="D86" s="526">
        <v>184</v>
      </c>
      <c r="E86" s="526" t="s">
        <v>816</v>
      </c>
      <c r="F86" s="526">
        <v>284</v>
      </c>
      <c r="H86" s="526">
        <v>384</v>
      </c>
      <c r="L86" s="152">
        <v>10084</v>
      </c>
      <c r="M86" s="152" t="s">
        <v>947</v>
      </c>
      <c r="N86" s="152">
        <v>605</v>
      </c>
      <c r="P86" s="152">
        <v>10061</v>
      </c>
      <c r="Q86" s="152" t="s">
        <v>958</v>
      </c>
      <c r="R86" s="152">
        <v>593</v>
      </c>
    </row>
    <row r="87" ht="15" customHeight="1" spans="2:18">
      <c r="B87" s="526">
        <v>85</v>
      </c>
      <c r="C87" s="526" t="s">
        <v>1324</v>
      </c>
      <c r="D87" s="526">
        <v>185</v>
      </c>
      <c r="E87" s="526" t="s">
        <v>836</v>
      </c>
      <c r="F87" s="526">
        <v>285</v>
      </c>
      <c r="H87" s="526">
        <v>385</v>
      </c>
      <c r="L87" s="152">
        <v>10085</v>
      </c>
      <c r="M87" s="152" t="s">
        <v>301</v>
      </c>
      <c r="N87" s="152">
        <v>604</v>
      </c>
      <c r="P87" s="152">
        <v>10020</v>
      </c>
      <c r="Q87" s="152" t="s">
        <v>454</v>
      </c>
      <c r="R87" s="152">
        <v>593</v>
      </c>
    </row>
    <row r="88" ht="15" customHeight="1" spans="2:18">
      <c r="B88" s="526">
        <v>86</v>
      </c>
      <c r="C88" s="526" t="s">
        <v>1325</v>
      </c>
      <c r="D88" s="526">
        <v>186</v>
      </c>
      <c r="E88" s="526" t="s">
        <v>824</v>
      </c>
      <c r="F88" s="526">
        <v>286</v>
      </c>
      <c r="H88" s="526">
        <v>386</v>
      </c>
      <c r="L88" s="152">
        <v>10086</v>
      </c>
      <c r="M88" s="152" t="s">
        <v>304</v>
      </c>
      <c r="N88" s="152">
        <v>591</v>
      </c>
      <c r="P88" s="152">
        <v>10092</v>
      </c>
      <c r="Q88" s="152" t="s">
        <v>937</v>
      </c>
      <c r="R88" s="152">
        <v>592</v>
      </c>
    </row>
    <row r="89" ht="15" customHeight="1" spans="2:18">
      <c r="B89" s="526">
        <v>87</v>
      </c>
      <c r="C89" s="526" t="s">
        <v>1326</v>
      </c>
      <c r="D89" s="526">
        <v>187</v>
      </c>
      <c r="E89" s="526" t="s">
        <v>821</v>
      </c>
      <c r="F89" s="526">
        <v>287</v>
      </c>
      <c r="H89" s="526">
        <v>387</v>
      </c>
      <c r="L89" s="152">
        <v>10087</v>
      </c>
      <c r="M89" s="152" t="s">
        <v>307</v>
      </c>
      <c r="N89" s="152">
        <v>588</v>
      </c>
      <c r="P89" s="152">
        <v>10075</v>
      </c>
      <c r="Q89" s="152" t="s">
        <v>948</v>
      </c>
      <c r="R89" s="152">
        <v>592</v>
      </c>
    </row>
    <row r="90" ht="15" customHeight="1" spans="2:18">
      <c r="B90" s="526">
        <v>88</v>
      </c>
      <c r="C90" s="526" t="s">
        <v>1327</v>
      </c>
      <c r="D90" s="526">
        <v>188</v>
      </c>
      <c r="E90" s="526" t="s">
        <v>802</v>
      </c>
      <c r="F90" s="526">
        <v>288</v>
      </c>
      <c r="H90" s="526">
        <v>388</v>
      </c>
      <c r="L90" s="152">
        <v>10088</v>
      </c>
      <c r="M90" s="152" t="s">
        <v>943</v>
      </c>
      <c r="N90" s="152">
        <v>603</v>
      </c>
      <c r="P90" s="152">
        <v>10008</v>
      </c>
      <c r="Q90" s="152" t="s">
        <v>1014</v>
      </c>
      <c r="R90" s="152">
        <v>592</v>
      </c>
    </row>
    <row r="91" ht="15" customHeight="1" spans="2:18">
      <c r="B91" s="526">
        <v>89</v>
      </c>
      <c r="C91" s="526" t="s">
        <v>1328</v>
      </c>
      <c r="D91" s="526">
        <v>189</v>
      </c>
      <c r="E91" s="526" t="s">
        <v>828</v>
      </c>
      <c r="F91" s="526">
        <v>289</v>
      </c>
      <c r="H91" s="526">
        <v>389</v>
      </c>
      <c r="L91" s="152">
        <v>10089</v>
      </c>
      <c r="M91" s="152" t="s">
        <v>310</v>
      </c>
      <c r="N91" s="152">
        <v>597</v>
      </c>
      <c r="P91" s="152">
        <v>10086</v>
      </c>
      <c r="Q91" s="152" t="s">
        <v>304</v>
      </c>
      <c r="R91" s="152">
        <v>591</v>
      </c>
    </row>
    <row r="92" ht="15" customHeight="1" spans="2:18">
      <c r="B92" s="526">
        <v>90</v>
      </c>
      <c r="C92" s="526" t="s">
        <v>1329</v>
      </c>
      <c r="D92" s="526">
        <v>190</v>
      </c>
      <c r="E92" s="526" t="s">
        <v>826</v>
      </c>
      <c r="F92" s="526">
        <v>290</v>
      </c>
      <c r="H92" s="526">
        <v>390</v>
      </c>
      <c r="L92" s="152">
        <v>10090</v>
      </c>
      <c r="M92" s="152" t="s">
        <v>314</v>
      </c>
      <c r="N92" s="152">
        <v>605</v>
      </c>
      <c r="P92" s="152">
        <v>10027</v>
      </c>
      <c r="Q92" s="152" t="s">
        <v>1007</v>
      </c>
      <c r="R92" s="152">
        <v>591</v>
      </c>
    </row>
    <row r="93" ht="15" customHeight="1" spans="2:18">
      <c r="B93" s="526">
        <v>91</v>
      </c>
      <c r="C93" s="526" t="s">
        <v>1330</v>
      </c>
      <c r="D93" s="526">
        <v>191</v>
      </c>
      <c r="E93" s="526" t="s">
        <v>833</v>
      </c>
      <c r="F93" s="526">
        <v>291</v>
      </c>
      <c r="H93" s="526">
        <v>391</v>
      </c>
      <c r="L93" s="152">
        <v>10091</v>
      </c>
      <c r="M93" s="152" t="s">
        <v>317</v>
      </c>
      <c r="N93" s="152">
        <v>604</v>
      </c>
      <c r="P93" s="152">
        <v>10025</v>
      </c>
      <c r="Q93" s="152" t="s">
        <v>1003</v>
      </c>
      <c r="R93" s="152">
        <v>591</v>
      </c>
    </row>
    <row r="94" ht="15" customHeight="1" spans="2:18">
      <c r="B94" s="526">
        <v>92</v>
      </c>
      <c r="C94" s="526" t="s">
        <v>1331</v>
      </c>
      <c r="D94" s="526">
        <v>192</v>
      </c>
      <c r="E94" s="526" t="s">
        <v>851</v>
      </c>
      <c r="F94" s="526">
        <v>292</v>
      </c>
      <c r="H94" s="526">
        <v>392</v>
      </c>
      <c r="L94" s="152">
        <v>10092</v>
      </c>
      <c r="M94" s="152" t="s">
        <v>937</v>
      </c>
      <c r="N94" s="152">
        <v>592</v>
      </c>
      <c r="P94" s="152">
        <v>10081</v>
      </c>
      <c r="Q94" s="152" t="s">
        <v>283</v>
      </c>
      <c r="R94" s="152">
        <v>589</v>
      </c>
    </row>
    <row r="95" ht="15" customHeight="1" spans="2:18">
      <c r="B95" s="526">
        <v>93</v>
      </c>
      <c r="C95" s="526" t="s">
        <v>1332</v>
      </c>
      <c r="D95" s="526">
        <v>193</v>
      </c>
      <c r="E95" s="526" t="s">
        <v>831</v>
      </c>
      <c r="F95" s="526">
        <v>293</v>
      </c>
      <c r="H95" s="526">
        <v>393</v>
      </c>
      <c r="L95" s="152">
        <v>10093</v>
      </c>
      <c r="M95" s="152" t="s">
        <v>320</v>
      </c>
      <c r="N95" s="152">
        <v>585</v>
      </c>
      <c r="P95" s="152">
        <v>10009</v>
      </c>
      <c r="Q95" s="152" t="s">
        <v>1006</v>
      </c>
      <c r="R95" s="152">
        <v>589</v>
      </c>
    </row>
    <row r="96" ht="15" customHeight="1" spans="2:18">
      <c r="B96" s="526">
        <v>94</v>
      </c>
      <c r="C96" s="526" t="s">
        <v>1333</v>
      </c>
      <c r="D96" s="526">
        <v>194</v>
      </c>
      <c r="E96" s="526" t="s">
        <v>815</v>
      </c>
      <c r="F96" s="526">
        <v>294</v>
      </c>
      <c r="H96" s="526">
        <v>394</v>
      </c>
      <c r="L96" s="152">
        <v>10094</v>
      </c>
      <c r="M96" s="152" t="s">
        <v>289</v>
      </c>
      <c r="N96" s="152">
        <v>603</v>
      </c>
      <c r="P96" s="152">
        <v>10087</v>
      </c>
      <c r="Q96" s="152" t="s">
        <v>307</v>
      </c>
      <c r="R96" s="152">
        <v>588</v>
      </c>
    </row>
    <row r="97" ht="15" customHeight="1" spans="2:18">
      <c r="B97" s="526">
        <v>95</v>
      </c>
      <c r="C97" s="526" t="s">
        <v>1334</v>
      </c>
      <c r="D97" s="526">
        <v>195</v>
      </c>
      <c r="E97" s="526" t="s">
        <v>854</v>
      </c>
      <c r="F97" s="526">
        <v>295</v>
      </c>
      <c r="H97" s="526">
        <v>395</v>
      </c>
      <c r="L97" s="152">
        <v>10095</v>
      </c>
      <c r="M97" s="152" t="s">
        <v>293</v>
      </c>
      <c r="N97" s="152">
        <v>604</v>
      </c>
      <c r="P97" s="152">
        <v>10014</v>
      </c>
      <c r="Q97" s="152" t="s">
        <v>1001</v>
      </c>
      <c r="R97" s="152">
        <v>588</v>
      </c>
    </row>
    <row r="98" ht="15" customHeight="1" spans="2:18">
      <c r="B98" s="526">
        <v>96</v>
      </c>
      <c r="C98" s="526" t="s">
        <v>1335</v>
      </c>
      <c r="D98" s="526">
        <v>196</v>
      </c>
      <c r="E98" s="526" t="s">
        <v>1045</v>
      </c>
      <c r="F98" s="526">
        <v>296</v>
      </c>
      <c r="H98" s="526">
        <v>396</v>
      </c>
      <c r="L98" s="152">
        <v>10096</v>
      </c>
      <c r="M98" s="152" t="s">
        <v>931</v>
      </c>
      <c r="N98" s="152">
        <v>596</v>
      </c>
      <c r="P98" s="152">
        <v>10011</v>
      </c>
      <c r="Q98" s="152" t="s">
        <v>996</v>
      </c>
      <c r="R98" s="152">
        <v>586</v>
      </c>
    </row>
    <row r="99" ht="15" customHeight="1" spans="2:18">
      <c r="B99" s="526">
        <v>97</v>
      </c>
      <c r="C99" s="526" t="s">
        <v>1336</v>
      </c>
      <c r="D99" s="526">
        <v>197</v>
      </c>
      <c r="E99" s="526" t="s">
        <v>819</v>
      </c>
      <c r="F99" s="526">
        <v>297</v>
      </c>
      <c r="H99" s="526">
        <v>397</v>
      </c>
      <c r="L99" s="152">
        <v>10097</v>
      </c>
      <c r="M99" s="152" t="s">
        <v>935</v>
      </c>
      <c r="N99" s="152">
        <v>603</v>
      </c>
      <c r="P99" s="152">
        <v>10093</v>
      </c>
      <c r="Q99" s="152" t="s">
        <v>320</v>
      </c>
      <c r="R99" s="152">
        <v>585</v>
      </c>
    </row>
    <row r="100" ht="15" customHeight="1" spans="2:18">
      <c r="B100" s="526">
        <v>98</v>
      </c>
      <c r="C100" s="526" t="s">
        <v>1337</v>
      </c>
      <c r="D100" s="526">
        <v>198</v>
      </c>
      <c r="E100" s="526" t="s">
        <v>835</v>
      </c>
      <c r="F100" s="526">
        <v>298</v>
      </c>
      <c r="H100" s="526">
        <v>398</v>
      </c>
      <c r="L100" s="152">
        <v>10098</v>
      </c>
      <c r="M100" s="152" t="s">
        <v>936</v>
      </c>
      <c r="N100" s="152">
        <v>602</v>
      </c>
      <c r="P100" s="152">
        <v>10005</v>
      </c>
      <c r="Q100" s="152" t="s">
        <v>1017</v>
      </c>
      <c r="R100" s="152">
        <v>585</v>
      </c>
    </row>
    <row r="101" ht="15" customHeight="1" spans="2:18">
      <c r="B101" s="526">
        <v>99</v>
      </c>
      <c r="C101" s="526" t="s">
        <v>1338</v>
      </c>
      <c r="D101" s="526">
        <v>199</v>
      </c>
      <c r="E101" s="526" t="s">
        <v>837</v>
      </c>
      <c r="F101" s="526">
        <v>299</v>
      </c>
      <c r="H101" s="526">
        <v>399</v>
      </c>
      <c r="L101" s="152">
        <v>10099</v>
      </c>
      <c r="M101" s="152" t="s">
        <v>928</v>
      </c>
      <c r="N101" s="152">
        <v>600</v>
      </c>
      <c r="P101" s="152">
        <v>10019</v>
      </c>
      <c r="Q101" s="152" t="s">
        <v>993</v>
      </c>
      <c r="R101" s="152">
        <v>584</v>
      </c>
    </row>
    <row r="102" ht="15" customHeight="1" spans="2:18">
      <c r="B102" s="526">
        <v>100</v>
      </c>
      <c r="C102" s="526" t="s">
        <v>1339</v>
      </c>
      <c r="D102" s="526">
        <v>200</v>
      </c>
      <c r="E102" s="526" t="s">
        <v>1340</v>
      </c>
      <c r="F102" s="526">
        <v>300</v>
      </c>
      <c r="H102" s="526">
        <v>400</v>
      </c>
      <c r="L102" s="152">
        <v>10100</v>
      </c>
      <c r="M102" s="152" t="s">
        <v>930</v>
      </c>
      <c r="N102" s="152">
        <v>604</v>
      </c>
      <c r="P102" s="152">
        <v>10023</v>
      </c>
      <c r="Q102" s="152" t="s">
        <v>988</v>
      </c>
      <c r="R102" s="152">
        <v>581</v>
      </c>
    </row>
    <row r="103" ht="15" customHeight="1" spans="2:18">
      <c r="L103" s="152">
        <v>10101</v>
      </c>
      <c r="M103" s="152" t="s">
        <v>929</v>
      </c>
      <c r="N103" s="152">
        <v>603</v>
      </c>
      <c r="P103" s="152">
        <v>10038</v>
      </c>
      <c r="Q103" s="152">
        <v>0</v>
      </c>
      <c r="R103" s="152">
        <v>0</v>
      </c>
    </row>
    <row r="104" ht="15" customHeight="1" spans="2:18">
      <c r="L104" s="152">
        <v>10102</v>
      </c>
      <c r="M104" s="152" t="s">
        <v>1056</v>
      </c>
      <c r="P104" s="152">
        <v>10106</v>
      </c>
    </row>
    <row r="105" ht="15" customHeight="1" spans="2:18">
      <c r="B105" s="528" t="s">
        <v>1341</v>
      </c>
      <c r="C105" s="529"/>
      <c r="D105" s="529"/>
      <c r="E105" s="529"/>
      <c r="F105" s="529"/>
      <c r="G105" s="530"/>
      <c r="H105" s="531"/>
      <c r="I105" s="531"/>
      <c r="L105" s="152">
        <v>10103</v>
      </c>
      <c r="P105" s="152">
        <v>10105</v>
      </c>
    </row>
    <row r="106" ht="15" customHeight="1" spans="2:18">
      <c r="B106" s="532"/>
      <c r="C106" s="533"/>
      <c r="D106" s="533"/>
      <c r="E106" s="533"/>
      <c r="F106" s="533"/>
      <c r="G106" s="534"/>
      <c r="H106" s="531"/>
      <c r="I106" s="531"/>
      <c r="L106" s="152">
        <v>10104</v>
      </c>
      <c r="P106" s="152">
        <v>10104</v>
      </c>
    </row>
    <row r="107" ht="15" customHeight="1" spans="2:18">
      <c r="B107" s="528">
        <v>2</v>
      </c>
      <c r="C107" s="535" t="s">
        <v>275</v>
      </c>
      <c r="D107" s="536">
        <v>131</v>
      </c>
      <c r="E107" s="535" t="s">
        <v>403</v>
      </c>
      <c r="F107" s="536">
        <v>151</v>
      </c>
      <c r="G107" s="530" t="s">
        <v>768</v>
      </c>
      <c r="L107" s="152">
        <v>10105</v>
      </c>
      <c r="P107" s="152">
        <v>10103</v>
      </c>
    </row>
    <row r="108" ht="15" customHeight="1" spans="2:18">
      <c r="B108" s="537">
        <v>3</v>
      </c>
      <c r="C108" s="538" t="s">
        <v>278</v>
      </c>
      <c r="D108" s="539">
        <v>132</v>
      </c>
      <c r="E108" s="538" t="s">
        <v>414</v>
      </c>
      <c r="F108" s="539">
        <v>152</v>
      </c>
      <c r="G108" s="540" t="s">
        <v>786</v>
      </c>
      <c r="L108" s="152">
        <v>10106</v>
      </c>
      <c r="P108" s="152">
        <v>10102</v>
      </c>
    </row>
    <row r="109" ht="15" customHeight="1" spans="2:18">
      <c r="B109" s="537">
        <v>8</v>
      </c>
      <c r="C109" s="538" t="s">
        <v>361</v>
      </c>
      <c r="D109" s="539">
        <v>133</v>
      </c>
      <c r="E109" s="538" t="s">
        <v>407</v>
      </c>
      <c r="F109" s="539">
        <v>153</v>
      </c>
      <c r="G109" s="540" t="s">
        <v>785</v>
      </c>
    </row>
    <row r="110" ht="15" customHeight="1" spans="2:18">
      <c r="B110" s="537">
        <v>12</v>
      </c>
      <c r="C110" s="538" t="s">
        <v>358</v>
      </c>
      <c r="D110" s="539">
        <v>134</v>
      </c>
      <c r="E110" s="538" t="s">
        <v>397</v>
      </c>
      <c r="F110" s="539">
        <v>156</v>
      </c>
      <c r="G110" s="540" t="s">
        <v>774</v>
      </c>
    </row>
    <row r="111" ht="15" customHeight="1" spans="2:18">
      <c r="B111" s="537">
        <v>16</v>
      </c>
      <c r="C111" s="538" t="s">
        <v>335</v>
      </c>
      <c r="D111" s="539">
        <v>135</v>
      </c>
      <c r="E111" s="538" t="s">
        <v>392</v>
      </c>
      <c r="F111" s="539">
        <v>157</v>
      </c>
      <c r="G111" s="540" t="s">
        <v>780</v>
      </c>
    </row>
    <row r="112" ht="15" customHeight="1" spans="2:18">
      <c r="B112" s="537">
        <v>17</v>
      </c>
      <c r="C112" s="538" t="s">
        <v>367</v>
      </c>
      <c r="D112" s="539">
        <v>136</v>
      </c>
      <c r="E112" s="538" t="s">
        <v>395</v>
      </c>
      <c r="F112" s="539">
        <v>158</v>
      </c>
      <c r="G112" s="540" t="s">
        <v>776</v>
      </c>
    </row>
    <row r="113" ht="15" customHeight="1" spans="2:7">
      <c r="B113" s="537">
        <v>28</v>
      </c>
      <c r="C113" s="538" t="s">
        <v>284</v>
      </c>
      <c r="D113" s="539">
        <v>137</v>
      </c>
      <c r="E113" s="538" t="s">
        <v>412</v>
      </c>
      <c r="F113" s="539">
        <v>159</v>
      </c>
      <c r="G113" s="540" t="s">
        <v>800</v>
      </c>
    </row>
    <row r="114" ht="15" customHeight="1" spans="2:7">
      <c r="B114" s="537">
        <v>29</v>
      </c>
      <c r="C114" s="538" t="s">
        <v>287</v>
      </c>
      <c r="D114" s="539">
        <v>138</v>
      </c>
      <c r="E114" s="538" t="s">
        <v>390</v>
      </c>
      <c r="F114" s="539">
        <v>160</v>
      </c>
      <c r="G114" s="540" t="s">
        <v>812</v>
      </c>
    </row>
    <row r="115" ht="15" customHeight="1" spans="2:7">
      <c r="B115" s="537">
        <v>62</v>
      </c>
      <c r="C115" s="538" t="s">
        <v>294</v>
      </c>
      <c r="D115" s="539">
        <v>139</v>
      </c>
      <c r="E115" s="538" t="s">
        <v>401</v>
      </c>
      <c r="F115" s="539">
        <v>161</v>
      </c>
      <c r="G115" s="540" t="s">
        <v>801</v>
      </c>
    </row>
    <row r="116" ht="15" customHeight="1" spans="2:7">
      <c r="B116" s="537">
        <v>76</v>
      </c>
      <c r="C116" s="538" t="s">
        <v>353</v>
      </c>
      <c r="D116" s="539">
        <v>140</v>
      </c>
      <c r="E116" s="538" t="s">
        <v>399</v>
      </c>
      <c r="F116" s="539">
        <v>162</v>
      </c>
      <c r="G116" s="540" t="s">
        <v>797</v>
      </c>
    </row>
    <row r="117" ht="15" customHeight="1" spans="2:7">
      <c r="B117" s="537">
        <v>111</v>
      </c>
      <c r="C117" s="538" t="s">
        <v>365</v>
      </c>
      <c r="D117" s="539">
        <v>141</v>
      </c>
      <c r="E117" s="538" t="s">
        <v>409</v>
      </c>
      <c r="F117" s="539">
        <v>163</v>
      </c>
      <c r="G117" s="540" t="s">
        <v>817</v>
      </c>
    </row>
    <row r="118" ht="15" customHeight="1" spans="2:7">
      <c r="B118" s="537">
        <v>119</v>
      </c>
      <c r="C118" s="538" t="s">
        <v>272</v>
      </c>
      <c r="D118" s="539">
        <v>142</v>
      </c>
      <c r="E118" s="538" t="s">
        <v>781</v>
      </c>
      <c r="F118" s="539">
        <v>164</v>
      </c>
      <c r="G118" s="540" t="s">
        <v>811</v>
      </c>
    </row>
    <row r="119" ht="15" customHeight="1" spans="2:7">
      <c r="B119" s="537">
        <v>120</v>
      </c>
      <c r="C119" s="538" t="s">
        <v>299</v>
      </c>
      <c r="D119" s="539">
        <v>143</v>
      </c>
      <c r="E119" s="538" t="s">
        <v>777</v>
      </c>
      <c r="F119" s="539">
        <v>165</v>
      </c>
      <c r="G119" s="540" t="s">
        <v>823</v>
      </c>
    </row>
    <row r="120" ht="15" customHeight="1" spans="2:7">
      <c r="B120" s="537">
        <v>123</v>
      </c>
      <c r="C120" s="538" t="s">
        <v>318</v>
      </c>
      <c r="D120" s="539">
        <v>144</v>
      </c>
      <c r="E120" s="538" t="s">
        <v>795</v>
      </c>
      <c r="F120" s="539">
        <v>166</v>
      </c>
      <c r="G120" s="540" t="s">
        <v>808</v>
      </c>
    </row>
    <row r="121" ht="15" customHeight="1" spans="2:7">
      <c r="B121" s="537">
        <v>124</v>
      </c>
      <c r="C121" s="538" t="s">
        <v>405</v>
      </c>
      <c r="D121" s="539">
        <v>145</v>
      </c>
      <c r="E121" s="538" t="s">
        <v>814</v>
      </c>
      <c r="F121" s="539">
        <v>167</v>
      </c>
      <c r="G121" s="540" t="s">
        <v>788</v>
      </c>
    </row>
    <row r="122" ht="15" customHeight="1" spans="2:7">
      <c r="B122" s="537">
        <v>125</v>
      </c>
      <c r="C122" s="538" t="s">
        <v>312</v>
      </c>
      <c r="D122" s="539">
        <v>146</v>
      </c>
      <c r="E122" s="538" t="s">
        <v>805</v>
      </c>
      <c r="F122" s="539">
        <v>168</v>
      </c>
      <c r="G122" s="540" t="s">
        <v>793</v>
      </c>
    </row>
    <row r="123" ht="15" customHeight="1" spans="2:7">
      <c r="B123" s="537">
        <v>126</v>
      </c>
      <c r="C123" s="538" t="s">
        <v>321</v>
      </c>
      <c r="D123" s="539">
        <v>147</v>
      </c>
      <c r="E123" s="538" t="s">
        <v>832</v>
      </c>
      <c r="F123" s="539">
        <v>171</v>
      </c>
      <c r="G123" s="540" t="s">
        <v>783</v>
      </c>
    </row>
    <row r="124" ht="15" customHeight="1" spans="2:7">
      <c r="B124" s="537">
        <v>127</v>
      </c>
      <c r="C124" s="538" t="s">
        <v>324</v>
      </c>
      <c r="D124" s="539">
        <v>148</v>
      </c>
      <c r="E124" s="538" t="s">
        <v>840</v>
      </c>
      <c r="F124" s="539">
        <v>172</v>
      </c>
      <c r="G124" s="540" t="s">
        <v>790</v>
      </c>
    </row>
    <row r="125" ht="15" customHeight="1" spans="2:7">
      <c r="B125" s="541">
        <v>130</v>
      </c>
      <c r="C125" s="542" t="s">
        <v>326</v>
      </c>
      <c r="D125" s="543">
        <v>150</v>
      </c>
      <c r="E125" s="542" t="s">
        <v>771</v>
      </c>
      <c r="F125" s="543">
        <v>173</v>
      </c>
      <c r="G125" s="544" t="s">
        <v>792</v>
      </c>
    </row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105:G10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11"/>
  <sheetViews>
    <sheetView zoomScale="85" zoomScaleNormal="85" topLeftCell="A31" workbookViewId="0">
      <selection activeCell="G82" sqref="G82"/>
    </sheetView>
  </sheetViews>
  <sheetFormatPr defaultColWidth="9" defaultRowHeight="13.5" outlineLevelCol="7"/>
  <cols>
    <col min="1" max="1" width="5.625" customWidth="1"/>
    <col min="2" max="2" width="12.625" style="504" customWidth="1"/>
    <col min="3" max="4" width="12.625" style="152" customWidth="1"/>
    <col min="5" max="5" width="10.625" style="152" customWidth="1"/>
    <col min="6" max="6" width="39.625" customWidth="1"/>
    <col min="7" max="7" width="49.625" customWidth="1"/>
    <col min="8" max="8" width="46.625" customWidth="1"/>
  </cols>
  <sheetData>
    <row r="2" ht="14.25"/>
    <row r="3" ht="15" spans="2:8">
      <c r="B3" s="231" t="s">
        <v>1342</v>
      </c>
      <c r="C3" s="231" t="s">
        <v>1278</v>
      </c>
      <c r="D3" s="231" t="s">
        <v>1279</v>
      </c>
      <c r="E3" s="231" t="s">
        <v>1343</v>
      </c>
      <c r="F3" s="231" t="s">
        <v>1344</v>
      </c>
      <c r="G3" s="231" t="s">
        <v>1345</v>
      </c>
      <c r="H3" s="231" t="s">
        <v>1346</v>
      </c>
    </row>
    <row r="4" ht="15" spans="2:8">
      <c r="B4" s="505"/>
      <c r="C4" s="240">
        <v>10001</v>
      </c>
      <c r="D4" s="240" t="s">
        <v>1005</v>
      </c>
      <c r="E4" s="240"/>
      <c r="F4" s="506"/>
      <c r="G4" s="506"/>
      <c r="H4" s="506"/>
    </row>
    <row r="5" ht="15" spans="2:8">
      <c r="B5" s="231" t="s">
        <v>1347</v>
      </c>
      <c r="C5" s="240">
        <v>10002</v>
      </c>
      <c r="D5" s="240" t="s">
        <v>1004</v>
      </c>
      <c r="E5" s="240"/>
      <c r="F5" s="506"/>
      <c r="G5" s="506"/>
      <c r="H5" s="506"/>
    </row>
    <row r="6" ht="15" spans="2:8">
      <c r="B6" s="505"/>
      <c r="C6" s="240">
        <v>10003</v>
      </c>
      <c r="D6" s="240" t="s">
        <v>447</v>
      </c>
      <c r="E6" s="240"/>
      <c r="F6" s="506"/>
      <c r="G6" s="506"/>
      <c r="H6" s="506"/>
    </row>
    <row r="7" ht="15" spans="2:8">
      <c r="B7" s="505"/>
      <c r="C7" s="240">
        <v>10004</v>
      </c>
      <c r="D7" s="240" t="s">
        <v>446</v>
      </c>
      <c r="E7" s="240"/>
      <c r="F7" s="506"/>
      <c r="G7" s="506"/>
      <c r="H7" s="506"/>
    </row>
    <row r="8" ht="15" spans="2:8">
      <c r="B8" s="505"/>
      <c r="C8" s="240">
        <v>10005</v>
      </c>
      <c r="D8" s="240" t="s">
        <v>1017</v>
      </c>
      <c r="E8" s="240"/>
      <c r="F8" s="506"/>
      <c r="G8" s="506"/>
      <c r="H8" s="506"/>
    </row>
    <row r="9" ht="15" spans="2:8">
      <c r="B9" s="505"/>
      <c r="C9" s="240">
        <v>10006</v>
      </c>
      <c r="D9" s="240" t="s">
        <v>1016</v>
      </c>
      <c r="E9" s="240"/>
      <c r="F9" s="506"/>
      <c r="G9" s="506"/>
      <c r="H9" s="506"/>
    </row>
    <row r="10" ht="15" spans="2:8">
      <c r="B10" s="505"/>
      <c r="C10" s="240">
        <v>10007</v>
      </c>
      <c r="D10" s="240" t="s">
        <v>1015</v>
      </c>
      <c r="E10" s="240"/>
      <c r="F10" s="506"/>
      <c r="G10" s="506"/>
      <c r="H10" s="506"/>
    </row>
    <row r="11" ht="15" spans="2:8">
      <c r="B11" s="505"/>
      <c r="C11" s="240">
        <v>10008</v>
      </c>
      <c r="D11" s="240" t="s">
        <v>1014</v>
      </c>
      <c r="E11" s="240"/>
      <c r="F11" s="506"/>
      <c r="G11" s="506"/>
      <c r="H11" s="506"/>
    </row>
    <row r="12" ht="15" spans="2:8">
      <c r="B12" s="507" t="s">
        <v>1348</v>
      </c>
      <c r="C12" s="507">
        <v>10009</v>
      </c>
      <c r="D12" s="508" t="s">
        <v>1006</v>
      </c>
      <c r="E12" s="507">
        <v>1</v>
      </c>
      <c r="F12" s="509" t="s">
        <v>1349</v>
      </c>
      <c r="G12" s="510" t="s">
        <v>1350</v>
      </c>
      <c r="H12" s="510" t="s">
        <v>1351</v>
      </c>
    </row>
    <row r="13" ht="15" spans="2:8">
      <c r="B13" s="505"/>
      <c r="C13" s="240">
        <v>10010</v>
      </c>
      <c r="D13" s="240" t="s">
        <v>1000</v>
      </c>
      <c r="E13" s="240"/>
      <c r="F13" s="506"/>
      <c r="G13" s="506"/>
      <c r="H13" s="506"/>
    </row>
    <row r="14" ht="15" spans="2:8">
      <c r="B14" s="505"/>
      <c r="C14" s="240">
        <v>10011</v>
      </c>
      <c r="D14" s="240" t="s">
        <v>996</v>
      </c>
      <c r="E14" s="240"/>
      <c r="F14" s="506"/>
      <c r="G14" s="506"/>
      <c r="H14" s="506"/>
    </row>
    <row r="15" ht="15" spans="2:8">
      <c r="B15" s="505"/>
      <c r="C15" s="240">
        <v>10012</v>
      </c>
      <c r="D15" s="240" t="s">
        <v>1012</v>
      </c>
      <c r="E15" s="240"/>
      <c r="F15" s="506"/>
      <c r="G15" s="506"/>
      <c r="H15" s="506"/>
    </row>
    <row r="16" ht="15" spans="2:8">
      <c r="B16" s="505"/>
      <c r="C16" s="240">
        <v>10013</v>
      </c>
      <c r="D16" s="240" t="s">
        <v>1013</v>
      </c>
      <c r="E16" s="240"/>
      <c r="F16" s="506"/>
      <c r="G16" s="506"/>
      <c r="H16" s="506"/>
    </row>
    <row r="17" ht="15" spans="2:8">
      <c r="B17" s="505"/>
      <c r="C17" s="240">
        <v>10014</v>
      </c>
      <c r="D17" s="240" t="s">
        <v>1001</v>
      </c>
      <c r="E17" s="240"/>
      <c r="F17" s="506"/>
      <c r="G17" s="506"/>
      <c r="H17" s="506"/>
    </row>
    <row r="18" ht="15" spans="2:8">
      <c r="B18" s="505"/>
      <c r="C18" s="507">
        <v>10015</v>
      </c>
      <c r="D18" s="507" t="s">
        <v>1010</v>
      </c>
      <c r="E18" s="507">
        <v>1</v>
      </c>
      <c r="F18" s="510" t="s">
        <v>1352</v>
      </c>
      <c r="G18" s="510" t="s">
        <v>1353</v>
      </c>
      <c r="H18" s="510" t="s">
        <v>1354</v>
      </c>
    </row>
    <row r="19" ht="15" spans="2:8">
      <c r="B19" s="505"/>
      <c r="C19" s="507">
        <v>10016</v>
      </c>
      <c r="D19" s="507" t="s">
        <v>997</v>
      </c>
      <c r="E19" s="507">
        <v>1</v>
      </c>
      <c r="F19" s="510" t="s">
        <v>1355</v>
      </c>
      <c r="G19" s="510" t="s">
        <v>1356</v>
      </c>
      <c r="H19" s="510" t="s">
        <v>1357</v>
      </c>
    </row>
    <row r="20" ht="15" spans="2:8">
      <c r="B20" s="505"/>
      <c r="C20" s="240">
        <v>10017</v>
      </c>
      <c r="D20" s="240" t="s">
        <v>451</v>
      </c>
      <c r="E20" s="240"/>
      <c r="F20" s="506"/>
      <c r="G20" s="506"/>
      <c r="H20" s="506"/>
    </row>
    <row r="21" ht="15" spans="2:8">
      <c r="B21" s="505"/>
      <c r="C21" s="240">
        <v>10018</v>
      </c>
      <c r="D21" s="240" t="s">
        <v>992</v>
      </c>
      <c r="E21" s="240"/>
      <c r="F21" s="506"/>
      <c r="G21" s="506"/>
      <c r="H21" s="506"/>
    </row>
    <row r="22" ht="15" spans="2:8">
      <c r="B22" s="505"/>
      <c r="C22" s="507">
        <v>10019</v>
      </c>
      <c r="D22" s="508" t="s">
        <v>993</v>
      </c>
      <c r="E22" s="507">
        <v>1</v>
      </c>
      <c r="F22" s="510" t="s">
        <v>1358</v>
      </c>
      <c r="G22" s="510" t="s">
        <v>1359</v>
      </c>
      <c r="H22" s="510" t="s">
        <v>1360</v>
      </c>
    </row>
    <row r="23" ht="15" spans="2:8">
      <c r="B23" s="505"/>
      <c r="C23" s="507">
        <v>10020</v>
      </c>
      <c r="D23" s="508" t="s">
        <v>454</v>
      </c>
      <c r="E23" s="507">
        <v>1</v>
      </c>
      <c r="F23" s="510" t="s">
        <v>1361</v>
      </c>
      <c r="G23" s="510" t="s">
        <v>1362</v>
      </c>
      <c r="H23" s="510" t="s">
        <v>1363</v>
      </c>
    </row>
    <row r="24" ht="15" spans="2:8">
      <c r="B24" s="505"/>
      <c r="C24" s="240">
        <v>10021</v>
      </c>
      <c r="D24" s="240" t="s">
        <v>452</v>
      </c>
      <c r="E24" s="240"/>
      <c r="F24" s="506"/>
      <c r="G24" s="506"/>
      <c r="H24" s="506"/>
    </row>
    <row r="25" ht="15" spans="2:8">
      <c r="B25" s="505"/>
      <c r="C25" s="240">
        <v>10022</v>
      </c>
      <c r="D25" s="240" t="s">
        <v>1011</v>
      </c>
      <c r="E25" s="240"/>
      <c r="F25" s="506"/>
      <c r="G25" s="506"/>
      <c r="H25" s="506"/>
    </row>
    <row r="26" ht="15" spans="2:8">
      <c r="B26" s="505"/>
      <c r="C26" s="240">
        <v>10023</v>
      </c>
      <c r="D26" s="240" t="s">
        <v>988</v>
      </c>
      <c r="E26" s="240"/>
      <c r="F26" s="506"/>
      <c r="G26" s="506"/>
      <c r="H26" s="506"/>
    </row>
    <row r="27" ht="15" spans="2:8">
      <c r="B27" s="505"/>
      <c r="C27" s="240">
        <v>10024</v>
      </c>
      <c r="D27" s="240" t="s">
        <v>1008</v>
      </c>
      <c r="E27" s="240"/>
      <c r="F27" s="506"/>
      <c r="G27" s="506"/>
      <c r="H27" s="506"/>
    </row>
    <row r="28" ht="15" spans="2:8">
      <c r="B28" s="505"/>
      <c r="C28" s="507">
        <v>10025</v>
      </c>
      <c r="D28" s="508" t="s">
        <v>1003</v>
      </c>
      <c r="E28" s="507">
        <v>1</v>
      </c>
      <c r="F28" s="510" t="s">
        <v>1364</v>
      </c>
      <c r="G28" s="510" t="s">
        <v>1365</v>
      </c>
      <c r="H28" s="510" t="s">
        <v>1366</v>
      </c>
    </row>
    <row r="29" ht="15" spans="2:8">
      <c r="B29" s="505"/>
      <c r="C29" s="507">
        <v>10026</v>
      </c>
      <c r="D29" s="508" t="s">
        <v>1009</v>
      </c>
      <c r="E29" s="507">
        <v>1</v>
      </c>
      <c r="F29" s="510" t="s">
        <v>1367</v>
      </c>
      <c r="G29" s="510" t="s">
        <v>1368</v>
      </c>
      <c r="H29" s="510" t="s">
        <v>1369</v>
      </c>
    </row>
    <row r="30" ht="15" spans="2:8">
      <c r="B30" s="505"/>
      <c r="C30" s="511">
        <v>10027</v>
      </c>
      <c r="D30" s="511" t="s">
        <v>1007</v>
      </c>
      <c r="E30" s="511">
        <v>3</v>
      </c>
      <c r="F30" s="512" t="s">
        <v>1370</v>
      </c>
      <c r="G30" s="512" t="s">
        <v>1371</v>
      </c>
      <c r="H30" s="512" t="s">
        <v>1372</v>
      </c>
    </row>
    <row r="31" ht="15" spans="2:8">
      <c r="B31" s="505"/>
      <c r="C31" s="240">
        <v>10028</v>
      </c>
      <c r="D31" s="240" t="s">
        <v>989</v>
      </c>
      <c r="E31" s="240"/>
      <c r="F31" s="506"/>
      <c r="G31" s="506"/>
      <c r="H31" s="506"/>
    </row>
    <row r="32" ht="15" spans="2:8">
      <c r="B32" s="513" t="s">
        <v>1373</v>
      </c>
      <c r="C32" s="514">
        <v>10029</v>
      </c>
      <c r="D32" s="514" t="s">
        <v>453</v>
      </c>
      <c r="E32" s="514">
        <v>2</v>
      </c>
      <c r="F32" s="515" t="s">
        <v>1374</v>
      </c>
      <c r="G32" s="515" t="s">
        <v>1375</v>
      </c>
      <c r="H32" s="515" t="s">
        <v>1376</v>
      </c>
    </row>
    <row r="33" ht="15" spans="2:8">
      <c r="B33" s="505"/>
      <c r="C33" s="514">
        <v>10030</v>
      </c>
      <c r="D33" s="514" t="s">
        <v>983</v>
      </c>
      <c r="E33" s="514">
        <v>2</v>
      </c>
      <c r="F33" s="515" t="s">
        <v>1377</v>
      </c>
      <c r="G33" s="515" t="s">
        <v>1378</v>
      </c>
      <c r="H33" s="515" t="s">
        <v>1379</v>
      </c>
    </row>
    <row r="34" ht="15" spans="2:8">
      <c r="B34" s="505"/>
      <c r="C34" s="240">
        <v>10031</v>
      </c>
      <c r="D34" s="240" t="s">
        <v>1002</v>
      </c>
      <c r="E34" s="240"/>
      <c r="F34" s="506"/>
      <c r="G34" s="506"/>
      <c r="H34" s="506"/>
    </row>
    <row r="35" ht="15" spans="2:8">
      <c r="B35" s="516" t="s">
        <v>1380</v>
      </c>
      <c r="C35" s="517">
        <v>10032</v>
      </c>
      <c r="D35" s="517" t="s">
        <v>980</v>
      </c>
      <c r="E35" s="517">
        <v>4</v>
      </c>
      <c r="F35" s="518" t="s">
        <v>1381</v>
      </c>
      <c r="G35" s="518" t="s">
        <v>1382</v>
      </c>
      <c r="H35" s="518" t="s">
        <v>1383</v>
      </c>
    </row>
    <row r="36" ht="15" spans="2:8">
      <c r="B36" s="505"/>
      <c r="C36" s="240">
        <v>10033</v>
      </c>
      <c r="D36" s="240" t="s">
        <v>975</v>
      </c>
      <c r="E36" s="240"/>
      <c r="F36" s="506"/>
      <c r="G36" s="506"/>
      <c r="H36" s="506"/>
    </row>
    <row r="37" ht="15" spans="2:8">
      <c r="B37" s="505"/>
      <c r="C37" s="517">
        <v>10034</v>
      </c>
      <c r="D37" s="517" t="s">
        <v>979</v>
      </c>
      <c r="E37" s="517">
        <v>4</v>
      </c>
      <c r="F37" s="518" t="s">
        <v>1384</v>
      </c>
      <c r="G37" s="518" t="s">
        <v>1385</v>
      </c>
      <c r="H37" s="518" t="s">
        <v>1386</v>
      </c>
    </row>
    <row r="38" ht="15" spans="2:8">
      <c r="B38" s="505"/>
      <c r="C38" s="507">
        <v>10035</v>
      </c>
      <c r="D38" s="507" t="s">
        <v>999</v>
      </c>
      <c r="E38" s="507">
        <v>1</v>
      </c>
      <c r="F38" s="510" t="s">
        <v>1387</v>
      </c>
      <c r="G38" s="510" t="s">
        <v>1388</v>
      </c>
      <c r="H38" s="510" t="s">
        <v>1389</v>
      </c>
    </row>
    <row r="39" ht="15" spans="2:8">
      <c r="B39" s="505"/>
      <c r="C39" s="507">
        <v>10036</v>
      </c>
      <c r="D39" s="507" t="s">
        <v>970</v>
      </c>
      <c r="E39" s="507">
        <v>1</v>
      </c>
      <c r="F39" s="510" t="s">
        <v>1390</v>
      </c>
      <c r="G39" s="510" t="s">
        <v>1391</v>
      </c>
      <c r="H39" s="510" t="s">
        <v>1392</v>
      </c>
    </row>
    <row r="40" ht="33" spans="2:8">
      <c r="B40" s="505"/>
      <c r="C40" s="517">
        <v>10037</v>
      </c>
      <c r="D40" s="517" t="s">
        <v>995</v>
      </c>
      <c r="E40" s="517">
        <v>4</v>
      </c>
      <c r="F40" s="518" t="s">
        <v>1393</v>
      </c>
      <c r="G40" s="518" t="s">
        <v>1394</v>
      </c>
      <c r="H40" s="519" t="s">
        <v>1395</v>
      </c>
    </row>
    <row r="41" ht="15" spans="2:8">
      <c r="B41" s="505"/>
      <c r="C41" s="240">
        <v>10038</v>
      </c>
      <c r="D41" s="240">
        <v>0</v>
      </c>
      <c r="E41" s="240"/>
      <c r="F41" s="506"/>
      <c r="G41" s="506"/>
      <c r="H41" s="506"/>
    </row>
    <row r="42" ht="15" spans="2:8">
      <c r="B42" s="520" t="s">
        <v>1396</v>
      </c>
      <c r="C42" s="511">
        <v>10039</v>
      </c>
      <c r="D42" s="511" t="s">
        <v>986</v>
      </c>
      <c r="E42" s="511">
        <v>3</v>
      </c>
      <c r="F42" s="512" t="s">
        <v>1397</v>
      </c>
      <c r="G42" s="512" t="s">
        <v>1398</v>
      </c>
      <c r="H42" s="512" t="s">
        <v>1399</v>
      </c>
    </row>
    <row r="43" ht="15" spans="2:8">
      <c r="B43" s="505"/>
      <c r="C43" s="511">
        <v>10040</v>
      </c>
      <c r="D43" s="511" t="s">
        <v>991</v>
      </c>
      <c r="E43" s="511">
        <v>3</v>
      </c>
      <c r="F43" s="512" t="s">
        <v>1400</v>
      </c>
      <c r="G43" s="512" t="s">
        <v>1401</v>
      </c>
      <c r="H43" s="512" t="s">
        <v>1402</v>
      </c>
    </row>
    <row r="44" ht="15" spans="2:8">
      <c r="B44" s="505"/>
      <c r="C44" s="514">
        <v>10041</v>
      </c>
      <c r="D44" s="513" t="s">
        <v>449</v>
      </c>
      <c r="E44" s="514">
        <v>2</v>
      </c>
      <c r="F44" s="515" t="s">
        <v>1400</v>
      </c>
      <c r="G44" s="515" t="s">
        <v>1403</v>
      </c>
      <c r="H44" s="521" t="s">
        <v>1404</v>
      </c>
    </row>
    <row r="45" ht="15" spans="2:8">
      <c r="B45" s="505"/>
      <c r="C45" s="514">
        <v>10042</v>
      </c>
      <c r="D45" s="514" t="s">
        <v>985</v>
      </c>
      <c r="E45" s="514">
        <v>2</v>
      </c>
      <c r="F45" s="515" t="s">
        <v>1405</v>
      </c>
      <c r="G45" s="515" t="s">
        <v>1406</v>
      </c>
      <c r="H45" s="515" t="s">
        <v>1407</v>
      </c>
    </row>
    <row r="46" ht="15" spans="2:8">
      <c r="B46" s="505"/>
      <c r="C46" s="240">
        <v>10043</v>
      </c>
      <c r="D46" s="240" t="s">
        <v>982</v>
      </c>
      <c r="E46" s="240"/>
      <c r="F46" s="506"/>
      <c r="G46" s="506"/>
      <c r="H46" s="506"/>
    </row>
    <row r="47" ht="15" spans="2:8">
      <c r="B47" s="505"/>
      <c r="C47" s="240">
        <v>10044</v>
      </c>
      <c r="D47" s="240" t="s">
        <v>998</v>
      </c>
      <c r="E47" s="240"/>
      <c r="F47" s="506"/>
      <c r="G47" s="506"/>
      <c r="H47" s="506"/>
    </row>
    <row r="48" ht="15" spans="2:8">
      <c r="B48" s="505"/>
      <c r="C48" s="514">
        <v>10045</v>
      </c>
      <c r="D48" s="513" t="s">
        <v>994</v>
      </c>
      <c r="E48" s="514">
        <v>2</v>
      </c>
      <c r="F48" s="515" t="s">
        <v>1397</v>
      </c>
      <c r="G48" s="515" t="s">
        <v>1408</v>
      </c>
      <c r="H48" s="515" t="s">
        <v>1409</v>
      </c>
    </row>
    <row r="49" ht="15" spans="2:8">
      <c r="B49" s="505"/>
      <c r="C49" s="514">
        <v>10046</v>
      </c>
      <c r="D49" s="514" t="s">
        <v>974</v>
      </c>
      <c r="E49" s="514">
        <v>2</v>
      </c>
      <c r="F49" s="515" t="s">
        <v>1410</v>
      </c>
      <c r="G49" s="515" t="s">
        <v>1411</v>
      </c>
      <c r="H49" s="515" t="s">
        <v>1412</v>
      </c>
    </row>
    <row r="50" ht="15" spans="2:8">
      <c r="B50" s="505"/>
      <c r="C50" s="240">
        <v>10047</v>
      </c>
      <c r="D50" s="240" t="s">
        <v>978</v>
      </c>
      <c r="E50" s="240"/>
      <c r="F50" s="506"/>
      <c r="G50" s="506"/>
      <c r="H50" s="506"/>
    </row>
    <row r="51" ht="15" spans="2:8">
      <c r="B51" s="505"/>
      <c r="C51" s="507">
        <v>10048</v>
      </c>
      <c r="D51" s="508" t="s">
        <v>990</v>
      </c>
      <c r="E51" s="507">
        <v>1</v>
      </c>
      <c r="F51" s="510" t="s">
        <v>1400</v>
      </c>
      <c r="G51" s="510" t="s">
        <v>1413</v>
      </c>
      <c r="H51" s="522" t="s">
        <v>1414</v>
      </c>
    </row>
    <row r="52" ht="15" spans="2:8">
      <c r="B52" s="505"/>
      <c r="C52" s="511">
        <v>10049</v>
      </c>
      <c r="D52" s="520" t="s">
        <v>973</v>
      </c>
      <c r="E52" s="511">
        <v>3</v>
      </c>
      <c r="F52" s="512" t="s">
        <v>1415</v>
      </c>
      <c r="G52" s="512" t="s">
        <v>1416</v>
      </c>
      <c r="H52" s="523" t="s">
        <v>1417</v>
      </c>
    </row>
    <row r="53" ht="15" spans="2:8">
      <c r="B53" s="505"/>
      <c r="C53" s="507">
        <v>10050</v>
      </c>
      <c r="D53" s="508" t="s">
        <v>977</v>
      </c>
      <c r="E53" s="507">
        <v>1</v>
      </c>
      <c r="F53" s="510" t="s">
        <v>1418</v>
      </c>
      <c r="G53" s="510" t="s">
        <v>1419</v>
      </c>
      <c r="H53" s="510" t="s">
        <v>1420</v>
      </c>
    </row>
    <row r="54" ht="15" spans="2:8">
      <c r="B54" s="505"/>
      <c r="C54" s="507">
        <v>10051</v>
      </c>
      <c r="D54" s="507" t="s">
        <v>450</v>
      </c>
      <c r="E54" s="507">
        <v>1</v>
      </c>
      <c r="F54" s="510" t="s">
        <v>1421</v>
      </c>
      <c r="G54" s="510" t="s">
        <v>1422</v>
      </c>
      <c r="H54" s="510" t="s">
        <v>1423</v>
      </c>
    </row>
    <row r="55" ht="15" spans="2:8">
      <c r="B55" s="505"/>
      <c r="C55" s="507">
        <v>10052</v>
      </c>
      <c r="D55" s="507" t="s">
        <v>984</v>
      </c>
      <c r="E55" s="507">
        <v>1</v>
      </c>
      <c r="F55" s="510" t="s">
        <v>1424</v>
      </c>
      <c r="G55" s="510" t="s">
        <v>1425</v>
      </c>
      <c r="H55" s="510" t="s">
        <v>1426</v>
      </c>
    </row>
    <row r="56" ht="15" spans="2:8">
      <c r="B56" s="505"/>
      <c r="C56" s="507">
        <v>10053</v>
      </c>
      <c r="D56" s="507" t="s">
        <v>969</v>
      </c>
      <c r="E56" s="507">
        <v>1</v>
      </c>
      <c r="F56" s="510" t="s">
        <v>1427</v>
      </c>
      <c r="G56" s="510" t="s">
        <v>1428</v>
      </c>
      <c r="H56" s="510" t="s">
        <v>1429</v>
      </c>
    </row>
    <row r="57" ht="15" spans="2:8">
      <c r="B57" s="505"/>
      <c r="C57" s="507">
        <v>10054</v>
      </c>
      <c r="D57" s="508" t="s">
        <v>981</v>
      </c>
      <c r="E57" s="507">
        <v>1</v>
      </c>
      <c r="F57" s="510" t="s">
        <v>1430</v>
      </c>
      <c r="G57" s="510" t="s">
        <v>1431</v>
      </c>
      <c r="H57" s="522" t="s">
        <v>1432</v>
      </c>
    </row>
    <row r="58" ht="15" spans="2:8">
      <c r="B58" s="505"/>
      <c r="C58" s="507">
        <v>10055</v>
      </c>
      <c r="D58" s="508" t="s">
        <v>968</v>
      </c>
      <c r="E58" s="507">
        <v>1</v>
      </c>
      <c r="F58" s="510" t="s">
        <v>1433</v>
      </c>
      <c r="G58" s="510" t="s">
        <v>1434</v>
      </c>
      <c r="H58" s="522" t="s">
        <v>1435</v>
      </c>
    </row>
    <row r="59" ht="15" spans="2:8">
      <c r="B59" s="505"/>
      <c r="C59" s="240">
        <v>10056</v>
      </c>
      <c r="D59" s="240" t="s">
        <v>966</v>
      </c>
      <c r="E59" s="240"/>
      <c r="F59" s="506"/>
      <c r="G59" s="506"/>
      <c r="H59" s="506"/>
    </row>
    <row r="60" ht="15" spans="2:8">
      <c r="B60" s="505"/>
      <c r="C60" s="240">
        <v>10057</v>
      </c>
      <c r="D60" s="240" t="s">
        <v>961</v>
      </c>
      <c r="E60" s="240"/>
      <c r="F60" s="506"/>
      <c r="G60" s="506"/>
      <c r="H60" s="506"/>
    </row>
    <row r="61" ht="15" spans="2:8">
      <c r="B61" s="505"/>
      <c r="C61" s="511">
        <v>10058</v>
      </c>
      <c r="D61" s="511" t="s">
        <v>962</v>
      </c>
      <c r="E61" s="511">
        <v>3</v>
      </c>
      <c r="F61" s="512" t="s">
        <v>1370</v>
      </c>
      <c r="G61" s="512" t="s">
        <v>1436</v>
      </c>
      <c r="H61" s="512" t="s">
        <v>1437</v>
      </c>
    </row>
    <row r="62" ht="15" spans="2:8">
      <c r="B62" s="505"/>
      <c r="C62" s="240">
        <v>10059</v>
      </c>
      <c r="D62" s="240" t="s">
        <v>965</v>
      </c>
      <c r="E62" s="240"/>
      <c r="F62" s="506"/>
      <c r="G62" s="506"/>
      <c r="H62" s="506"/>
    </row>
    <row r="63" ht="15" spans="2:8">
      <c r="B63" s="505"/>
      <c r="C63" s="240">
        <v>10060</v>
      </c>
      <c r="D63" s="240" t="s">
        <v>976</v>
      </c>
      <c r="E63" s="240"/>
      <c r="F63" s="506"/>
      <c r="G63" s="506"/>
      <c r="H63" s="506"/>
    </row>
    <row r="64" ht="15" spans="2:8">
      <c r="B64" s="505"/>
      <c r="C64" s="514">
        <v>10061</v>
      </c>
      <c r="D64" s="513" t="s">
        <v>958</v>
      </c>
      <c r="E64" s="514">
        <v>2</v>
      </c>
      <c r="F64" s="515" t="s">
        <v>1400</v>
      </c>
      <c r="G64" s="515" t="s">
        <v>1438</v>
      </c>
      <c r="H64" s="521" t="s">
        <v>1439</v>
      </c>
    </row>
    <row r="65" ht="15" spans="2:8">
      <c r="B65" s="505"/>
      <c r="C65" s="514">
        <v>10062</v>
      </c>
      <c r="D65" s="514" t="s">
        <v>955</v>
      </c>
      <c r="E65" s="514">
        <v>2</v>
      </c>
      <c r="F65" s="515" t="s">
        <v>1440</v>
      </c>
      <c r="G65" s="515" t="s">
        <v>1441</v>
      </c>
      <c r="H65" s="515" t="s">
        <v>1442</v>
      </c>
    </row>
    <row r="66" ht="15" spans="2:8">
      <c r="B66" s="505"/>
      <c r="C66" s="514">
        <v>10063</v>
      </c>
      <c r="D66" s="514" t="s">
        <v>956</v>
      </c>
      <c r="E66" s="514">
        <v>2</v>
      </c>
      <c r="F66" s="515" t="s">
        <v>1443</v>
      </c>
      <c r="G66" s="515" t="s">
        <v>1444</v>
      </c>
      <c r="H66" s="515" t="s">
        <v>1445</v>
      </c>
    </row>
    <row r="67" ht="15" spans="2:8">
      <c r="B67" s="505"/>
      <c r="C67" s="514">
        <v>10064</v>
      </c>
      <c r="D67" s="513" t="s">
        <v>972</v>
      </c>
      <c r="E67" s="514">
        <v>2</v>
      </c>
      <c r="F67" s="515" t="s">
        <v>1446</v>
      </c>
      <c r="G67" s="521" t="s">
        <v>1447</v>
      </c>
      <c r="H67" s="521" t="s">
        <v>1448</v>
      </c>
    </row>
    <row r="68" ht="15" spans="2:8">
      <c r="B68" s="505"/>
      <c r="C68" s="517">
        <v>10065</v>
      </c>
      <c r="D68" s="517" t="s">
        <v>971</v>
      </c>
      <c r="E68" s="517">
        <v>4</v>
      </c>
      <c r="F68" s="518" t="s">
        <v>1449</v>
      </c>
      <c r="G68" s="518" t="s">
        <v>1450</v>
      </c>
      <c r="H68" s="518" t="s">
        <v>1451</v>
      </c>
    </row>
    <row r="69" ht="15" spans="2:8">
      <c r="B69" s="505"/>
      <c r="C69" s="240">
        <v>10066</v>
      </c>
      <c r="D69" s="240" t="s">
        <v>952</v>
      </c>
      <c r="E69" s="240"/>
      <c r="F69" s="506"/>
      <c r="G69" s="506"/>
      <c r="H69" s="506"/>
    </row>
    <row r="70" ht="15" spans="2:8">
      <c r="B70" s="505"/>
      <c r="C70" s="511">
        <v>10067</v>
      </c>
      <c r="D70" s="520" t="s">
        <v>951</v>
      </c>
      <c r="E70" s="511">
        <v>3</v>
      </c>
      <c r="F70" s="512" t="s">
        <v>1370</v>
      </c>
      <c r="G70" s="512" t="s">
        <v>1452</v>
      </c>
      <c r="H70" s="512" t="s">
        <v>1453</v>
      </c>
    </row>
    <row r="71" ht="15" spans="2:8">
      <c r="B71" s="505"/>
      <c r="C71" s="240">
        <v>10068</v>
      </c>
      <c r="D71" s="240" t="s">
        <v>448</v>
      </c>
      <c r="E71" s="240"/>
      <c r="F71" s="506"/>
      <c r="G71" s="506"/>
      <c r="H71" s="506"/>
    </row>
    <row r="72" ht="15" spans="2:8">
      <c r="B72" s="505"/>
      <c r="C72" s="240">
        <v>10069</v>
      </c>
      <c r="D72" s="240" t="s">
        <v>950</v>
      </c>
      <c r="E72" s="240"/>
      <c r="F72" s="506"/>
      <c r="G72" s="506"/>
      <c r="H72" s="506"/>
    </row>
    <row r="73" ht="15" spans="2:8">
      <c r="B73" s="505"/>
      <c r="C73" s="240">
        <v>10070</v>
      </c>
      <c r="D73" s="240" t="s">
        <v>967</v>
      </c>
      <c r="E73" s="240"/>
      <c r="F73" s="506"/>
      <c r="G73" s="506"/>
      <c r="H73" s="506"/>
    </row>
    <row r="74" ht="15" spans="2:8">
      <c r="B74" s="505"/>
      <c r="C74" s="240">
        <v>10071</v>
      </c>
      <c r="D74" s="240" t="s">
        <v>1055</v>
      </c>
      <c r="E74" s="240"/>
      <c r="F74" s="506"/>
      <c r="G74" s="506"/>
      <c r="H74" s="506"/>
    </row>
    <row r="75" ht="15" spans="2:8">
      <c r="B75" s="505"/>
      <c r="C75" s="240">
        <v>10072</v>
      </c>
      <c r="D75" s="240" t="s">
        <v>963</v>
      </c>
      <c r="E75" s="240"/>
      <c r="F75" s="506"/>
      <c r="G75" s="506"/>
      <c r="H75" s="506"/>
    </row>
    <row r="76" ht="15" spans="2:8">
      <c r="B76" s="505"/>
      <c r="C76" s="514">
        <v>10073</v>
      </c>
      <c r="D76" s="513" t="s">
        <v>964</v>
      </c>
      <c r="E76" s="514">
        <v>2</v>
      </c>
      <c r="F76" s="515" t="s">
        <v>1454</v>
      </c>
      <c r="G76" s="515" t="s">
        <v>1455</v>
      </c>
      <c r="H76" s="524" t="s">
        <v>1456</v>
      </c>
    </row>
    <row r="77" ht="33" spans="2:8">
      <c r="B77" s="505"/>
      <c r="C77" s="514">
        <v>10074</v>
      </c>
      <c r="D77" s="513" t="s">
        <v>1298</v>
      </c>
      <c r="E77" s="514">
        <v>2</v>
      </c>
      <c r="F77" s="525" t="s">
        <v>1457</v>
      </c>
      <c r="G77" s="515" t="s">
        <v>1458</v>
      </c>
      <c r="H77" s="524" t="s">
        <v>1459</v>
      </c>
    </row>
    <row r="78" ht="33" spans="2:8">
      <c r="B78" s="505"/>
      <c r="C78" s="517">
        <v>10075</v>
      </c>
      <c r="D78" s="517" t="s">
        <v>948</v>
      </c>
      <c r="E78" s="517">
        <v>4</v>
      </c>
      <c r="F78" s="518" t="s">
        <v>1460</v>
      </c>
      <c r="G78" s="518" t="s">
        <v>1461</v>
      </c>
      <c r="H78" s="519" t="s">
        <v>1462</v>
      </c>
    </row>
    <row r="79" ht="15" spans="2:8">
      <c r="B79" s="505"/>
      <c r="C79" s="517">
        <v>10076</v>
      </c>
      <c r="D79" s="517" t="s">
        <v>945</v>
      </c>
      <c r="E79" s="517">
        <v>4</v>
      </c>
      <c r="F79" s="518" t="s">
        <v>1463</v>
      </c>
      <c r="G79" s="518" t="s">
        <v>1464</v>
      </c>
      <c r="H79" s="518" t="s">
        <v>1465</v>
      </c>
    </row>
    <row r="80" ht="15" spans="2:8">
      <c r="B80" s="505"/>
      <c r="C80" s="240">
        <v>10077</v>
      </c>
      <c r="D80" s="240" t="s">
        <v>271</v>
      </c>
      <c r="E80" s="240"/>
      <c r="F80" s="506"/>
      <c r="G80" s="506"/>
      <c r="H80" s="506"/>
    </row>
    <row r="81" ht="15" spans="2:8">
      <c r="B81" s="505"/>
      <c r="C81" s="240">
        <v>10078</v>
      </c>
      <c r="D81" s="240" t="s">
        <v>274</v>
      </c>
      <c r="E81" s="240"/>
      <c r="F81" s="506"/>
      <c r="G81" s="506"/>
      <c r="H81" s="506"/>
    </row>
    <row r="82" ht="15" spans="2:8">
      <c r="B82" s="505"/>
      <c r="C82" s="240">
        <v>10079</v>
      </c>
      <c r="D82" s="240" t="s">
        <v>277</v>
      </c>
      <c r="E82" s="240"/>
      <c r="F82" s="506"/>
      <c r="G82" s="506"/>
      <c r="H82" s="506"/>
    </row>
    <row r="83" ht="15" spans="2:8">
      <c r="B83" s="505"/>
      <c r="C83" s="240">
        <v>10080</v>
      </c>
      <c r="D83" s="240" t="s">
        <v>280</v>
      </c>
      <c r="E83" s="240"/>
      <c r="F83" s="506"/>
      <c r="G83" s="506"/>
      <c r="H83" s="506"/>
    </row>
    <row r="84" ht="15" spans="2:8">
      <c r="B84" s="505"/>
      <c r="C84" s="240">
        <v>10081</v>
      </c>
      <c r="D84" s="240" t="s">
        <v>283</v>
      </c>
      <c r="E84" s="240"/>
      <c r="F84" s="506"/>
      <c r="G84" s="506"/>
      <c r="H84" s="506"/>
    </row>
    <row r="85" ht="15" spans="2:8">
      <c r="B85" s="505"/>
      <c r="C85" s="240">
        <v>10082</v>
      </c>
      <c r="D85" s="240" t="s">
        <v>286</v>
      </c>
      <c r="E85" s="240"/>
      <c r="F85" s="506"/>
      <c r="G85" s="506"/>
      <c r="H85" s="506"/>
    </row>
    <row r="86" ht="15" spans="2:8">
      <c r="B86" s="505"/>
      <c r="C86" s="240">
        <v>10083</v>
      </c>
      <c r="D86" s="240" t="s">
        <v>298</v>
      </c>
      <c r="E86" s="240"/>
      <c r="F86" s="506"/>
      <c r="G86" s="506"/>
      <c r="H86" s="506"/>
    </row>
    <row r="87" ht="15" spans="2:8">
      <c r="B87" s="505"/>
      <c r="C87" s="240">
        <v>10084</v>
      </c>
      <c r="D87" s="240" t="s">
        <v>947</v>
      </c>
      <c r="E87" s="240"/>
      <c r="F87" s="506"/>
      <c r="G87" s="506"/>
      <c r="H87" s="506"/>
    </row>
    <row r="88" ht="15" spans="2:8">
      <c r="B88" s="505"/>
      <c r="C88" s="240">
        <v>10085</v>
      </c>
      <c r="D88" s="240" t="s">
        <v>301</v>
      </c>
      <c r="E88" s="240"/>
      <c r="F88" s="506"/>
      <c r="G88" s="506"/>
      <c r="H88" s="506"/>
    </row>
    <row r="89" ht="15" spans="2:8">
      <c r="B89" s="505"/>
      <c r="C89" s="240">
        <v>10086</v>
      </c>
      <c r="D89" s="240" t="s">
        <v>304</v>
      </c>
      <c r="E89" s="240"/>
      <c r="F89" s="506"/>
      <c r="G89" s="506"/>
      <c r="H89" s="506"/>
    </row>
    <row r="90" ht="15" spans="2:8">
      <c r="B90" s="505"/>
      <c r="C90" s="240">
        <v>10087</v>
      </c>
      <c r="D90" s="240" t="s">
        <v>307</v>
      </c>
      <c r="E90" s="240"/>
      <c r="F90" s="506"/>
      <c r="G90" s="506"/>
      <c r="H90" s="506"/>
    </row>
    <row r="91" ht="15" spans="2:8">
      <c r="B91" s="505"/>
      <c r="C91" s="240">
        <v>10088</v>
      </c>
      <c r="D91" s="240" t="s">
        <v>943</v>
      </c>
      <c r="E91" s="240"/>
      <c r="F91" s="506"/>
      <c r="G91" s="506"/>
      <c r="H91" s="506"/>
    </row>
    <row r="92" ht="15" spans="2:8">
      <c r="B92" s="505"/>
      <c r="C92" s="240">
        <v>10089</v>
      </c>
      <c r="D92" s="240" t="s">
        <v>310</v>
      </c>
      <c r="E92" s="240"/>
      <c r="F92" s="506"/>
      <c r="G92" s="506"/>
      <c r="H92" s="506"/>
    </row>
    <row r="93" ht="15" spans="2:8">
      <c r="B93" s="505"/>
      <c r="C93" s="240">
        <v>10090</v>
      </c>
      <c r="D93" s="240" t="s">
        <v>314</v>
      </c>
      <c r="E93" s="240"/>
      <c r="F93" s="506"/>
      <c r="G93" s="506"/>
      <c r="H93" s="506"/>
    </row>
    <row r="94" ht="15" spans="2:8">
      <c r="B94" s="505"/>
      <c r="C94" s="240">
        <v>10091</v>
      </c>
      <c r="D94" s="240" t="s">
        <v>317</v>
      </c>
      <c r="E94" s="240"/>
      <c r="F94" s="506"/>
      <c r="G94" s="506"/>
      <c r="H94" s="506"/>
    </row>
    <row r="95" ht="15" spans="2:8">
      <c r="B95" s="505"/>
      <c r="C95" s="240">
        <v>10092</v>
      </c>
      <c r="D95" s="240" t="s">
        <v>937</v>
      </c>
      <c r="E95" s="240"/>
      <c r="F95" s="506"/>
      <c r="G95" s="506"/>
      <c r="H95" s="506"/>
    </row>
    <row r="96" ht="15" spans="2:8">
      <c r="B96" s="505"/>
      <c r="C96" s="240">
        <v>10093</v>
      </c>
      <c r="D96" s="240" t="s">
        <v>320</v>
      </c>
      <c r="E96" s="240"/>
      <c r="F96" s="506"/>
      <c r="G96" s="506"/>
      <c r="H96" s="506"/>
    </row>
    <row r="97" ht="15" spans="2:8">
      <c r="B97" s="505"/>
      <c r="C97" s="240">
        <v>10094</v>
      </c>
      <c r="D97" s="240" t="s">
        <v>289</v>
      </c>
      <c r="E97" s="240"/>
      <c r="F97" s="506"/>
      <c r="G97" s="506"/>
      <c r="H97" s="506"/>
    </row>
    <row r="98" ht="15" spans="2:8">
      <c r="B98" s="505"/>
      <c r="C98" s="240">
        <v>10095</v>
      </c>
      <c r="D98" s="240" t="s">
        <v>293</v>
      </c>
      <c r="E98" s="240"/>
      <c r="F98" s="506"/>
      <c r="G98" s="506"/>
      <c r="H98" s="506"/>
    </row>
    <row r="99" ht="15" spans="2:8">
      <c r="B99" s="505"/>
      <c r="C99" s="240">
        <v>10096</v>
      </c>
      <c r="D99" s="240" t="s">
        <v>931</v>
      </c>
      <c r="E99" s="240"/>
      <c r="F99" s="506"/>
      <c r="G99" s="506"/>
      <c r="H99" s="506"/>
    </row>
    <row r="100" ht="15" spans="2:8">
      <c r="B100" s="505"/>
      <c r="C100" s="240">
        <v>10097</v>
      </c>
      <c r="D100" s="240" t="s">
        <v>935</v>
      </c>
      <c r="E100" s="240"/>
      <c r="F100" s="506"/>
      <c r="G100" s="506"/>
      <c r="H100" s="506"/>
    </row>
    <row r="101" ht="15" spans="2:8">
      <c r="B101" s="505"/>
      <c r="C101" s="240">
        <v>10098</v>
      </c>
      <c r="D101" s="240" t="s">
        <v>936</v>
      </c>
      <c r="E101" s="240"/>
      <c r="F101" s="506"/>
      <c r="G101" s="506"/>
      <c r="H101" s="506"/>
    </row>
    <row r="102" ht="15" spans="2:8">
      <c r="B102" s="505"/>
      <c r="C102" s="240">
        <v>10099</v>
      </c>
      <c r="D102" s="240" t="s">
        <v>928</v>
      </c>
      <c r="E102" s="240"/>
      <c r="F102" s="506"/>
      <c r="G102" s="506"/>
      <c r="H102" s="506"/>
    </row>
    <row r="103" ht="15" spans="2:8">
      <c r="B103" s="505"/>
      <c r="C103" s="240">
        <v>10100</v>
      </c>
      <c r="D103" s="240" t="s">
        <v>930</v>
      </c>
      <c r="E103" s="240"/>
      <c r="F103" s="506"/>
      <c r="G103" s="506"/>
      <c r="H103" s="506"/>
    </row>
    <row r="104" ht="15" spans="2:8">
      <c r="B104" s="505"/>
      <c r="C104" s="511">
        <v>10101</v>
      </c>
      <c r="D104" s="520" t="s">
        <v>929</v>
      </c>
      <c r="E104" s="511">
        <v>3</v>
      </c>
      <c r="F104" s="512" t="s">
        <v>1374</v>
      </c>
      <c r="G104" s="512" t="s">
        <v>1466</v>
      </c>
      <c r="H104" s="523" t="s">
        <v>1467</v>
      </c>
    </row>
    <row r="105" ht="15" spans="2:8">
      <c r="B105" s="505"/>
      <c r="C105" s="240">
        <v>10102</v>
      </c>
      <c r="D105" s="240"/>
      <c r="E105" s="240"/>
      <c r="F105" s="506"/>
      <c r="G105" s="506"/>
      <c r="H105" s="506"/>
    </row>
    <row r="106" ht="15" spans="2:8">
      <c r="B106" s="505"/>
      <c r="C106" s="240">
        <v>10103</v>
      </c>
      <c r="D106" s="240"/>
      <c r="E106" s="240"/>
      <c r="F106" s="506"/>
      <c r="G106" s="506"/>
      <c r="H106" s="506"/>
    </row>
    <row r="107" ht="15" spans="2:8">
      <c r="B107" s="505"/>
      <c r="C107" s="240">
        <v>10104</v>
      </c>
      <c r="D107" s="240"/>
      <c r="E107" s="240"/>
      <c r="F107" s="506"/>
      <c r="G107" s="506"/>
      <c r="H107" s="506"/>
    </row>
    <row r="108" ht="15" spans="2:8">
      <c r="B108" s="505"/>
      <c r="C108" s="240">
        <v>10105</v>
      </c>
      <c r="D108" s="240"/>
      <c r="E108" s="240"/>
      <c r="F108" s="506"/>
      <c r="G108" s="506"/>
      <c r="H108" s="506"/>
    </row>
    <row r="109" ht="15" spans="2:8">
      <c r="B109" s="505"/>
      <c r="C109" s="240">
        <v>10106</v>
      </c>
      <c r="D109" s="240"/>
      <c r="E109" s="240"/>
      <c r="F109" s="506"/>
      <c r="G109" s="506"/>
      <c r="H109" s="506"/>
    </row>
    <row r="110" ht="15" spans="2:8">
      <c r="B110" s="505"/>
      <c r="C110" s="240">
        <v>10107</v>
      </c>
      <c r="D110" s="240"/>
      <c r="E110" s="240"/>
      <c r="F110" s="506"/>
      <c r="G110" s="506"/>
      <c r="H110" s="506"/>
    </row>
    <row r="111" ht="14.25"/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82"/>
  <sheetViews>
    <sheetView workbookViewId="0">
      <selection activeCell="Q18" sqref="Q18"/>
    </sheetView>
  </sheetViews>
  <sheetFormatPr defaultColWidth="9" defaultRowHeight="13.5"/>
  <cols>
    <col min="1" max="1" width="4.375" customWidth="1"/>
    <col min="2" max="3" width="13.5" style="41" customWidth="1"/>
    <col min="5" max="5" width="2.5" customWidth="1"/>
    <col min="6" max="7" width="13.5" style="41" customWidth="1"/>
    <col min="9" max="9" width="2.5" customWidth="1"/>
    <col min="10" max="11" width="13.5" style="41" customWidth="1"/>
  </cols>
  <sheetData>
    <row r="2" ht="18" customHeight="1" spans="2:12">
      <c r="B2" s="2" t="s">
        <v>1210</v>
      </c>
      <c r="C2" s="2" t="s">
        <v>1468</v>
      </c>
      <c r="D2" s="30"/>
      <c r="F2" s="2" t="s">
        <v>1210</v>
      </c>
      <c r="G2" s="2" t="s">
        <v>1468</v>
      </c>
      <c r="H2" s="30"/>
      <c r="J2" s="2" t="s">
        <v>1210</v>
      </c>
      <c r="K2" s="2" t="s">
        <v>1468</v>
      </c>
      <c r="L2" s="30"/>
    </row>
    <row r="3" ht="18" customHeight="1" spans="2:12">
      <c r="B3" s="13" t="s">
        <v>1002</v>
      </c>
      <c r="C3" s="13" t="s">
        <v>1469</v>
      </c>
      <c r="D3" s="30"/>
      <c r="F3" s="13" t="s">
        <v>271</v>
      </c>
      <c r="G3" s="13" t="s">
        <v>1470</v>
      </c>
      <c r="H3" s="30" t="s">
        <v>1471</v>
      </c>
      <c r="J3" s="13" t="s">
        <v>928</v>
      </c>
      <c r="K3" s="13" t="s">
        <v>1472</v>
      </c>
      <c r="L3" s="30"/>
    </row>
    <row r="4" ht="18" customHeight="1" spans="2:12">
      <c r="B4" s="13" t="s">
        <v>980</v>
      </c>
      <c r="C4" s="13" t="s">
        <v>1473</v>
      </c>
      <c r="D4" s="30"/>
      <c r="F4" s="13" t="s">
        <v>274</v>
      </c>
      <c r="G4" s="13" t="s">
        <v>1474</v>
      </c>
      <c r="H4" s="30"/>
      <c r="J4" s="13" t="s">
        <v>936</v>
      </c>
      <c r="K4" s="13" t="s">
        <v>1475</v>
      </c>
      <c r="L4" s="30"/>
    </row>
    <row r="5" ht="18" customHeight="1" spans="2:12">
      <c r="B5" s="13" t="s">
        <v>975</v>
      </c>
      <c r="C5" s="13" t="s">
        <v>1476</v>
      </c>
      <c r="D5" s="30" t="s">
        <v>1477</v>
      </c>
      <c r="F5" s="13" t="s">
        <v>277</v>
      </c>
      <c r="G5" s="13" t="s">
        <v>1478</v>
      </c>
      <c r="H5" s="30"/>
      <c r="J5" s="13" t="s">
        <v>935</v>
      </c>
      <c r="K5" s="13" t="s">
        <v>1479</v>
      </c>
      <c r="L5" s="30"/>
    </row>
    <row r="6" ht="18" customHeight="1" spans="2:12">
      <c r="B6" s="13" t="s">
        <v>979</v>
      </c>
      <c r="C6" s="13" t="s">
        <v>1480</v>
      </c>
      <c r="D6" s="30"/>
      <c r="F6" s="13" t="s">
        <v>280</v>
      </c>
      <c r="G6" s="13" t="s">
        <v>1481</v>
      </c>
      <c r="H6" s="30"/>
      <c r="J6" s="13" t="s">
        <v>930</v>
      </c>
      <c r="K6" s="13"/>
      <c r="L6" s="30"/>
    </row>
    <row r="7" ht="18" customHeight="1" spans="2:12">
      <c r="B7" s="13" t="s">
        <v>453</v>
      </c>
      <c r="C7" s="13" t="s">
        <v>1482</v>
      </c>
      <c r="D7" s="30"/>
      <c r="F7" s="13" t="s">
        <v>967</v>
      </c>
      <c r="G7" s="13" t="s">
        <v>1483</v>
      </c>
      <c r="H7" s="30"/>
      <c r="J7" s="13" t="s">
        <v>1056</v>
      </c>
      <c r="K7" s="13"/>
      <c r="L7" s="30"/>
    </row>
    <row r="8" ht="18" customHeight="1" spans="2:12">
      <c r="B8" s="13" t="s">
        <v>983</v>
      </c>
      <c r="C8" s="13" t="s">
        <v>1484</v>
      </c>
      <c r="D8" s="30" t="s">
        <v>1485</v>
      </c>
      <c r="F8" s="13" t="s">
        <v>283</v>
      </c>
      <c r="G8" s="13" t="s">
        <v>1486</v>
      </c>
      <c r="H8" s="30"/>
      <c r="J8" s="13"/>
      <c r="K8" s="13"/>
      <c r="L8" s="30"/>
    </row>
    <row r="9" ht="18" customHeight="1" spans="2:12">
      <c r="B9" s="13" t="s">
        <v>991</v>
      </c>
      <c r="C9" s="13" t="s">
        <v>1487</v>
      </c>
      <c r="D9" s="30" t="s">
        <v>1488</v>
      </c>
      <c r="F9" s="13" t="s">
        <v>286</v>
      </c>
      <c r="G9" s="13" t="s">
        <v>1489</v>
      </c>
      <c r="H9" s="30"/>
      <c r="J9" s="13"/>
      <c r="K9" s="13"/>
      <c r="L9" s="30"/>
    </row>
    <row r="10" ht="18" customHeight="1" spans="2:12">
      <c r="B10" s="13" t="s">
        <v>985</v>
      </c>
      <c r="C10" s="13" t="s">
        <v>1490</v>
      </c>
      <c r="D10" s="30"/>
      <c r="F10" s="13" t="s">
        <v>298</v>
      </c>
      <c r="G10" s="13" t="s">
        <v>1491</v>
      </c>
      <c r="H10" s="30"/>
      <c r="J10" s="13"/>
      <c r="K10" s="13"/>
      <c r="L10" s="30"/>
    </row>
    <row r="11" ht="18" customHeight="1" spans="2:12">
      <c r="B11" s="13" t="s">
        <v>994</v>
      </c>
      <c r="C11" s="13" t="s">
        <v>1492</v>
      </c>
      <c r="D11" s="30"/>
      <c r="F11" s="13" t="s">
        <v>947</v>
      </c>
      <c r="G11" s="13" t="s">
        <v>1493</v>
      </c>
      <c r="H11" s="30"/>
      <c r="J11" s="13"/>
      <c r="K11" s="13"/>
      <c r="L11" s="30"/>
    </row>
    <row r="12" ht="18" customHeight="1" spans="2:12">
      <c r="B12" s="13" t="s">
        <v>974</v>
      </c>
      <c r="C12" s="13" t="s">
        <v>1494</v>
      </c>
      <c r="D12" s="30"/>
      <c r="F12" s="13" t="s">
        <v>301</v>
      </c>
      <c r="G12" s="13" t="s">
        <v>1495</v>
      </c>
      <c r="H12" s="30"/>
      <c r="J12" s="13"/>
      <c r="K12" s="13"/>
      <c r="L12" s="30"/>
    </row>
    <row r="13" ht="18" customHeight="1" spans="2:12">
      <c r="B13" s="13" t="s">
        <v>965</v>
      </c>
      <c r="C13" s="13" t="s">
        <v>1496</v>
      </c>
      <c r="D13" s="30"/>
      <c r="F13" s="13" t="s">
        <v>943</v>
      </c>
      <c r="G13" s="13" t="s">
        <v>1497</v>
      </c>
      <c r="H13" s="30"/>
      <c r="J13" s="13"/>
      <c r="K13" s="13"/>
      <c r="L13" s="30"/>
    </row>
    <row r="14" ht="18" customHeight="1" spans="2:12">
      <c r="B14" s="13" t="s">
        <v>971</v>
      </c>
      <c r="C14" s="13" t="s">
        <v>1498</v>
      </c>
      <c r="D14" s="30"/>
      <c r="F14" s="13" t="s">
        <v>304</v>
      </c>
      <c r="G14" s="13" t="s">
        <v>1499</v>
      </c>
      <c r="H14" s="30"/>
      <c r="J14" s="13"/>
      <c r="K14" s="13"/>
      <c r="L14" s="30"/>
    </row>
    <row r="15" ht="18" customHeight="1" spans="2:12">
      <c r="B15" s="13" t="s">
        <v>952</v>
      </c>
      <c r="C15" s="13" t="s">
        <v>1500</v>
      </c>
      <c r="D15" s="30"/>
      <c r="F15" s="13" t="s">
        <v>307</v>
      </c>
      <c r="G15" s="13" t="s">
        <v>1501</v>
      </c>
      <c r="H15" s="30"/>
      <c r="J15" s="13"/>
      <c r="K15" s="13"/>
      <c r="L15" s="30"/>
    </row>
    <row r="16" ht="18" customHeight="1" spans="2:12">
      <c r="B16" s="13" t="s">
        <v>951</v>
      </c>
      <c r="C16" s="13" t="s">
        <v>1502</v>
      </c>
      <c r="D16" s="30"/>
      <c r="F16" s="13" t="s">
        <v>310</v>
      </c>
      <c r="G16" s="13" t="s">
        <v>1503</v>
      </c>
      <c r="H16" s="30"/>
      <c r="J16" s="13"/>
      <c r="K16" s="13"/>
      <c r="L16" s="30"/>
    </row>
    <row r="17" ht="18" customHeight="1" spans="2:14">
      <c r="B17" s="13" t="s">
        <v>448</v>
      </c>
      <c r="C17" s="13" t="s">
        <v>1504</v>
      </c>
      <c r="D17" s="30"/>
      <c r="F17" s="13" t="s">
        <v>314</v>
      </c>
      <c r="G17" s="13" t="s">
        <v>1505</v>
      </c>
      <c r="H17" s="30"/>
      <c r="J17" s="13"/>
      <c r="K17" s="13"/>
      <c r="L17" s="30"/>
    </row>
    <row r="18" ht="18" customHeight="1" spans="2:14">
      <c r="B18" s="13" t="s">
        <v>950</v>
      </c>
      <c r="C18" s="13" t="s">
        <v>1506</v>
      </c>
      <c r="D18" s="30"/>
      <c r="F18" s="13" t="s">
        <v>962</v>
      </c>
      <c r="G18" s="13" t="s">
        <v>1507</v>
      </c>
      <c r="H18" s="30"/>
      <c r="J18" s="13"/>
      <c r="K18" s="13"/>
      <c r="L18" s="30"/>
    </row>
    <row r="19" ht="18" customHeight="1" spans="2:14">
      <c r="B19" s="13" t="s">
        <v>946</v>
      </c>
      <c r="C19" s="13" t="s">
        <v>1508</v>
      </c>
      <c r="D19" s="30"/>
      <c r="F19" s="13" t="s">
        <v>937</v>
      </c>
      <c r="G19" s="13" t="s">
        <v>1509</v>
      </c>
      <c r="H19" s="30"/>
      <c r="J19" s="13"/>
      <c r="K19" s="13"/>
      <c r="L19" s="30"/>
    </row>
    <row r="20" ht="18" customHeight="1" spans="2:14">
      <c r="B20" s="13" t="s">
        <v>963</v>
      </c>
      <c r="C20" s="13" t="s">
        <v>1510</v>
      </c>
      <c r="D20" s="30" t="s">
        <v>1511</v>
      </c>
      <c r="F20" s="13" t="s">
        <v>317</v>
      </c>
      <c r="G20" s="13" t="s">
        <v>1512</v>
      </c>
      <c r="H20" s="30"/>
      <c r="J20" s="13"/>
      <c r="K20" s="13"/>
      <c r="L20" s="30"/>
    </row>
    <row r="21" ht="18" customHeight="1" spans="2:14">
      <c r="B21" s="13" t="s">
        <v>964</v>
      </c>
      <c r="C21" s="13" t="s">
        <v>1513</v>
      </c>
      <c r="D21" s="30"/>
      <c r="F21" s="13" t="s">
        <v>320</v>
      </c>
      <c r="G21" s="13" t="s">
        <v>1514</v>
      </c>
      <c r="H21" s="30" t="s">
        <v>1515</v>
      </c>
      <c r="J21" s="13"/>
      <c r="K21" s="13"/>
      <c r="L21" s="30"/>
    </row>
    <row r="22" ht="18" customHeight="1" spans="2:14">
      <c r="B22" s="13" t="s">
        <v>957</v>
      </c>
      <c r="C22" s="13" t="s">
        <v>1516</v>
      </c>
      <c r="D22" s="30"/>
      <c r="F22" s="13" t="s">
        <v>289</v>
      </c>
      <c r="G22" s="13" t="s">
        <v>1517</v>
      </c>
      <c r="H22" s="30"/>
      <c r="J22" s="13"/>
      <c r="K22" s="13"/>
      <c r="L22" s="30"/>
    </row>
    <row r="23" ht="18" customHeight="1" spans="2:14">
      <c r="B23" s="13" t="s">
        <v>948</v>
      </c>
      <c r="C23" s="13" t="s">
        <v>1518</v>
      </c>
      <c r="D23" s="30"/>
      <c r="F23" s="13" t="s">
        <v>293</v>
      </c>
      <c r="G23" s="13" t="s">
        <v>1519</v>
      </c>
      <c r="H23" s="30"/>
      <c r="J23" s="13"/>
      <c r="K23" s="13"/>
      <c r="L23" s="30"/>
    </row>
    <row r="24" ht="18" customHeight="1" spans="2:14">
      <c r="B24" s="13" t="s">
        <v>945</v>
      </c>
      <c r="C24" s="13" t="s">
        <v>1520</v>
      </c>
      <c r="D24" s="30" t="s">
        <v>1521</v>
      </c>
      <c r="F24" s="13" t="s">
        <v>931</v>
      </c>
      <c r="G24" s="13" t="s">
        <v>1522</v>
      </c>
      <c r="H24" s="30"/>
      <c r="J24" s="13"/>
      <c r="K24" s="13"/>
      <c r="L24" s="30"/>
    </row>
    <row r="25" ht="18" customHeight="1" spans="2:14">
      <c r="B25" s="229"/>
      <c r="C25" s="229"/>
      <c r="D25" s="14"/>
      <c r="E25" s="14"/>
      <c r="F25" s="229"/>
      <c r="G25" s="229"/>
      <c r="H25" s="14"/>
      <c r="I25" s="14"/>
      <c r="J25" s="229"/>
      <c r="K25" s="229"/>
      <c r="L25" s="14"/>
      <c r="M25" s="14"/>
      <c r="N25" s="14"/>
    </row>
    <row r="26" ht="18" customHeight="1" spans="2:14">
      <c r="B26" s="229"/>
      <c r="C26" s="229"/>
      <c r="D26" s="14"/>
      <c r="E26" s="14"/>
      <c r="F26" s="229"/>
      <c r="G26" s="229"/>
      <c r="H26" s="14"/>
      <c r="I26" s="14"/>
      <c r="J26" s="229"/>
      <c r="K26" s="229"/>
      <c r="L26" s="14"/>
      <c r="M26" s="14"/>
      <c r="N26" s="14"/>
    </row>
    <row r="27" ht="18" customHeight="1" spans="2:14">
      <c r="B27" s="229"/>
      <c r="C27" s="229"/>
      <c r="D27" s="14"/>
      <c r="E27" s="14"/>
      <c r="F27" s="229"/>
      <c r="G27" s="229"/>
      <c r="H27" s="14"/>
      <c r="I27" s="14"/>
      <c r="J27" s="229"/>
      <c r="K27" s="229"/>
      <c r="L27" s="14"/>
      <c r="M27" s="14"/>
      <c r="N27" s="14"/>
    </row>
    <row r="28" ht="18" customHeight="1" spans="2:14">
      <c r="B28" s="229"/>
      <c r="C28" s="229"/>
      <c r="D28" s="14"/>
      <c r="E28" s="14"/>
      <c r="F28" s="229"/>
      <c r="G28" s="229"/>
      <c r="H28" s="14"/>
      <c r="I28" s="14"/>
      <c r="J28" s="229"/>
      <c r="K28" s="229"/>
      <c r="L28" s="14"/>
      <c r="M28" s="14"/>
      <c r="N28" s="14"/>
    </row>
    <row r="29" ht="18" customHeight="1" spans="2:14">
      <c r="B29" s="229"/>
      <c r="C29" s="229"/>
      <c r="D29" s="14"/>
      <c r="E29" s="14"/>
      <c r="F29" s="229"/>
      <c r="G29" s="229"/>
      <c r="H29" s="14"/>
      <c r="I29" s="14"/>
      <c r="J29" s="229"/>
      <c r="K29" s="229"/>
      <c r="L29" s="14"/>
      <c r="M29" s="14"/>
      <c r="N29" s="14"/>
    </row>
    <row r="30" ht="18" customHeight="1" spans="2:14">
      <c r="B30" s="229"/>
      <c r="C30" s="229"/>
      <c r="D30" s="14"/>
      <c r="E30" s="14"/>
      <c r="F30" s="229"/>
      <c r="G30" s="229"/>
      <c r="H30" s="14"/>
      <c r="I30" s="14"/>
      <c r="J30" s="229"/>
      <c r="K30" s="229"/>
      <c r="L30" s="14"/>
      <c r="M30" s="14"/>
      <c r="N30" s="14"/>
    </row>
    <row r="31" ht="18" customHeight="1" spans="2:14">
      <c r="B31" s="229"/>
      <c r="C31" s="229"/>
      <c r="D31" s="14"/>
      <c r="E31" s="14"/>
      <c r="F31" s="229"/>
      <c r="G31" s="229"/>
      <c r="H31" s="14"/>
      <c r="I31" s="14"/>
      <c r="J31" s="229"/>
      <c r="K31" s="229"/>
      <c r="L31" s="14"/>
      <c r="M31" s="14"/>
      <c r="N31" s="14"/>
    </row>
    <row r="32" ht="18" customHeight="1" spans="2:14">
      <c r="B32" s="229"/>
      <c r="C32" s="229"/>
      <c r="D32" s="14"/>
      <c r="E32" s="14"/>
      <c r="F32" s="229"/>
      <c r="G32" s="229"/>
      <c r="H32" s="14"/>
      <c r="I32" s="14"/>
      <c r="J32" s="229"/>
      <c r="K32" s="229"/>
      <c r="L32" s="14"/>
      <c r="M32" s="14"/>
      <c r="N32" s="14"/>
    </row>
    <row r="33" ht="18" customHeight="1" spans="2:14">
      <c r="B33" s="229"/>
      <c r="C33" s="229"/>
      <c r="D33" s="14"/>
      <c r="E33" s="14"/>
      <c r="F33" s="229"/>
      <c r="G33" s="229"/>
      <c r="H33" s="14"/>
      <c r="I33" s="14"/>
      <c r="J33" s="229"/>
      <c r="K33" s="229"/>
      <c r="L33" s="14"/>
      <c r="M33" s="14"/>
      <c r="N33" s="14"/>
    </row>
    <row r="34" ht="18" customHeight="1" spans="2:14">
      <c r="B34" s="229"/>
      <c r="C34" s="229"/>
      <c r="D34" s="14"/>
      <c r="E34" s="14"/>
      <c r="F34" s="229"/>
      <c r="G34" s="229"/>
      <c r="H34" s="14"/>
      <c r="I34" s="14"/>
      <c r="J34" s="229"/>
      <c r="K34" s="229"/>
      <c r="L34" s="14"/>
      <c r="M34" s="14"/>
      <c r="N34" s="14"/>
    </row>
    <row r="35" ht="18" customHeight="1" spans="2:14">
      <c r="B35" s="229"/>
      <c r="C35" s="229"/>
      <c r="D35" s="14"/>
      <c r="E35" s="14"/>
      <c r="F35" s="229"/>
      <c r="G35" s="229"/>
      <c r="H35" s="14"/>
      <c r="I35" s="14"/>
      <c r="J35" s="229"/>
      <c r="K35" s="229"/>
      <c r="L35" s="14"/>
      <c r="M35" s="14"/>
      <c r="N35" s="14"/>
    </row>
    <row r="36" ht="18" customHeight="1" spans="2:14">
      <c r="B36" s="229"/>
      <c r="C36" s="229"/>
      <c r="D36" s="14"/>
      <c r="E36" s="14"/>
      <c r="F36" s="229"/>
      <c r="G36" s="229"/>
      <c r="H36" s="14"/>
      <c r="I36" s="14"/>
      <c r="J36" s="229"/>
      <c r="K36" s="229"/>
      <c r="L36" s="14"/>
      <c r="M36" s="14"/>
      <c r="N36" s="14"/>
    </row>
    <row r="37" ht="18" customHeight="1" spans="2:14">
      <c r="B37" s="229"/>
      <c r="C37" s="229"/>
      <c r="D37" s="14"/>
      <c r="E37" s="14"/>
      <c r="F37" s="229"/>
      <c r="G37" s="229"/>
      <c r="H37" s="14"/>
      <c r="I37" s="14"/>
      <c r="J37" s="229"/>
      <c r="K37" s="229"/>
      <c r="L37" s="14"/>
      <c r="M37" s="14"/>
      <c r="N37" s="14"/>
    </row>
    <row r="38" ht="18" customHeight="1" spans="2:14">
      <c r="B38" s="229"/>
      <c r="C38" s="229"/>
      <c r="D38" s="14"/>
      <c r="E38" s="14"/>
      <c r="F38" s="229"/>
      <c r="G38" s="229"/>
      <c r="H38" s="14"/>
      <c r="I38" s="14"/>
      <c r="J38" s="229"/>
      <c r="K38" s="229"/>
      <c r="L38" s="14"/>
      <c r="M38" s="14"/>
      <c r="N38" s="14"/>
    </row>
    <row r="39" ht="18" customHeight="1" spans="2:14">
      <c r="B39" s="229"/>
      <c r="C39" s="229"/>
      <c r="D39" s="14"/>
      <c r="E39" s="14"/>
      <c r="F39" s="229"/>
      <c r="G39" s="229"/>
      <c r="H39" s="14"/>
      <c r="I39" s="14"/>
      <c r="J39" s="229"/>
      <c r="K39" s="229"/>
      <c r="L39" s="14"/>
      <c r="M39" s="14"/>
      <c r="N39" s="14"/>
    </row>
    <row r="40" ht="18" customHeight="1" spans="2:14">
      <c r="B40" s="229"/>
      <c r="C40" s="229"/>
      <c r="D40" s="14"/>
      <c r="E40" s="14"/>
      <c r="F40" s="229"/>
      <c r="G40" s="229"/>
      <c r="H40" s="14"/>
      <c r="I40" s="14"/>
      <c r="J40" s="229"/>
      <c r="K40" s="229"/>
      <c r="L40" s="14"/>
      <c r="M40" s="14"/>
      <c r="N40" s="14"/>
    </row>
    <row r="41" ht="18" customHeight="1" spans="2:14">
      <c r="B41" s="229"/>
      <c r="C41" s="229"/>
      <c r="D41" s="14"/>
      <c r="E41" s="14"/>
      <c r="F41" s="229"/>
      <c r="G41" s="229"/>
      <c r="H41" s="14"/>
      <c r="I41" s="14"/>
      <c r="J41" s="229"/>
      <c r="K41" s="229"/>
      <c r="L41" s="14"/>
      <c r="M41" s="14"/>
      <c r="N41" s="14"/>
    </row>
    <row r="42" ht="18" customHeight="1" spans="2:14">
      <c r="B42" s="229"/>
      <c r="C42" s="229"/>
      <c r="D42" s="14"/>
      <c r="E42" s="14"/>
      <c r="F42" s="229"/>
      <c r="G42" s="229"/>
      <c r="H42" s="14"/>
      <c r="I42" s="14"/>
      <c r="J42" s="229"/>
      <c r="K42" s="229"/>
      <c r="L42" s="14"/>
      <c r="M42" s="14"/>
      <c r="N42" s="14"/>
    </row>
    <row r="43" ht="18" customHeight="1" spans="2:14">
      <c r="B43" s="229"/>
      <c r="C43" s="229"/>
      <c r="D43" s="14"/>
      <c r="E43" s="14"/>
      <c r="F43" s="229"/>
      <c r="G43" s="229"/>
      <c r="H43" s="14"/>
      <c r="I43" s="14"/>
      <c r="J43" s="229"/>
      <c r="K43" s="229"/>
      <c r="L43" s="14"/>
      <c r="M43" s="14"/>
      <c r="N43" s="14"/>
    </row>
    <row r="44" ht="18" customHeight="1" spans="2:14">
      <c r="B44" s="229"/>
      <c r="C44" s="229"/>
      <c r="D44" s="14"/>
      <c r="E44" s="14"/>
      <c r="F44" s="229"/>
      <c r="G44" s="229"/>
      <c r="H44" s="14"/>
      <c r="I44" s="14"/>
      <c r="J44" s="229"/>
      <c r="K44" s="229"/>
      <c r="L44" s="14"/>
      <c r="M44" s="14"/>
      <c r="N44" s="14"/>
    </row>
    <row r="45" ht="18" customHeight="1" spans="2:14">
      <c r="B45" s="229"/>
      <c r="C45" s="229"/>
      <c r="D45" s="14"/>
      <c r="E45" s="14"/>
      <c r="F45" s="229"/>
      <c r="G45" s="229"/>
      <c r="H45" s="14"/>
      <c r="I45" s="14"/>
      <c r="J45" s="229"/>
      <c r="K45" s="229"/>
      <c r="L45" s="14"/>
      <c r="M45" s="14"/>
      <c r="N45" s="14"/>
    </row>
    <row r="46" ht="18" customHeight="1" spans="2:14">
      <c r="B46" s="229"/>
      <c r="C46" s="229"/>
      <c r="D46" s="14"/>
      <c r="E46" s="14"/>
      <c r="F46" s="229"/>
      <c r="G46" s="229"/>
      <c r="H46" s="14"/>
      <c r="I46" s="14"/>
      <c r="J46" s="229"/>
      <c r="K46" s="229"/>
      <c r="L46" s="14"/>
      <c r="M46" s="14"/>
      <c r="N46" s="14"/>
    </row>
    <row r="47" ht="18" customHeight="1" spans="2:14">
      <c r="B47" s="229"/>
      <c r="C47" s="229"/>
      <c r="D47" s="14"/>
      <c r="E47" s="14"/>
      <c r="F47" s="229"/>
      <c r="G47" s="229"/>
      <c r="H47" s="14"/>
      <c r="I47" s="14"/>
      <c r="J47" s="229"/>
      <c r="K47" s="229"/>
      <c r="L47" s="14"/>
      <c r="M47" s="14"/>
      <c r="N47" s="14"/>
    </row>
    <row r="48" ht="18" customHeight="1" spans="2:14">
      <c r="B48" s="229"/>
      <c r="C48" s="229"/>
      <c r="D48" s="14"/>
      <c r="E48" s="14"/>
      <c r="F48" s="229"/>
      <c r="G48" s="229"/>
      <c r="H48" s="14"/>
      <c r="I48" s="14"/>
      <c r="J48" s="229"/>
      <c r="K48" s="229"/>
      <c r="L48" s="14"/>
      <c r="M48" s="14"/>
      <c r="N48" s="14"/>
    </row>
    <row r="49" ht="18" customHeight="1" spans="2:14">
      <c r="B49" s="229"/>
      <c r="C49" s="229"/>
      <c r="D49" s="14"/>
      <c r="E49" s="14"/>
      <c r="F49" s="229"/>
      <c r="G49" s="229"/>
      <c r="H49" s="14"/>
      <c r="I49" s="14"/>
      <c r="J49" s="229"/>
      <c r="K49" s="229"/>
      <c r="L49" s="14"/>
      <c r="M49" s="14"/>
      <c r="N49" s="14"/>
    </row>
    <row r="50" ht="18" customHeight="1" spans="2:14">
      <c r="B50" s="229"/>
      <c r="C50" s="229"/>
      <c r="D50" s="14"/>
      <c r="E50" s="14"/>
      <c r="F50" s="229"/>
      <c r="G50" s="229"/>
      <c r="H50" s="14"/>
      <c r="I50" s="14"/>
      <c r="J50" s="229"/>
      <c r="K50" s="229"/>
      <c r="L50" s="14"/>
      <c r="M50" s="14"/>
      <c r="N50" s="14"/>
    </row>
    <row r="51" ht="18" customHeight="1" spans="2:14">
      <c r="B51" s="229"/>
      <c r="C51" s="229"/>
      <c r="D51" s="14"/>
      <c r="E51" s="14"/>
      <c r="F51" s="229"/>
      <c r="G51" s="229"/>
      <c r="H51" s="14"/>
      <c r="I51" s="14"/>
      <c r="J51" s="229"/>
      <c r="K51" s="229"/>
      <c r="L51" s="14"/>
      <c r="M51" s="14"/>
      <c r="N51" s="14"/>
    </row>
    <row r="52" ht="18" customHeight="1" spans="2:14">
      <c r="B52" s="229"/>
      <c r="C52" s="229"/>
      <c r="D52" s="14"/>
      <c r="E52" s="14"/>
      <c r="F52" s="229"/>
      <c r="G52" s="229"/>
      <c r="H52" s="14"/>
      <c r="I52" s="14"/>
      <c r="J52" s="229"/>
      <c r="K52" s="229"/>
      <c r="L52" s="14"/>
      <c r="M52" s="14"/>
      <c r="N52" s="14"/>
    </row>
    <row r="53" ht="18" customHeight="1" spans="2:14">
      <c r="B53" s="229"/>
      <c r="C53" s="229"/>
      <c r="D53" s="14"/>
      <c r="E53" s="14"/>
      <c r="F53" s="229"/>
      <c r="G53" s="229"/>
      <c r="H53" s="14"/>
      <c r="I53" s="14"/>
      <c r="J53" s="229"/>
      <c r="K53" s="229"/>
      <c r="L53" s="14"/>
      <c r="M53" s="14"/>
      <c r="N53" s="14"/>
    </row>
    <row r="54" ht="18" customHeight="1" spans="2:14">
      <c r="B54" s="229"/>
      <c r="C54" s="229"/>
      <c r="D54" s="14"/>
      <c r="E54" s="14"/>
      <c r="F54" s="229"/>
      <c r="G54" s="229"/>
      <c r="H54" s="14"/>
      <c r="I54" s="14"/>
      <c r="J54" s="229"/>
      <c r="K54" s="229"/>
      <c r="L54" s="14"/>
      <c r="M54" s="14"/>
      <c r="N54" s="14"/>
    </row>
    <row r="55" ht="18" customHeight="1" spans="2:14">
      <c r="B55" s="229"/>
      <c r="C55" s="229"/>
      <c r="D55" s="14"/>
      <c r="E55" s="14"/>
      <c r="F55" s="229"/>
      <c r="G55" s="229"/>
      <c r="H55" s="14"/>
      <c r="I55" s="14"/>
      <c r="J55" s="229"/>
      <c r="K55" s="229"/>
      <c r="L55" s="14"/>
      <c r="M55" s="14"/>
      <c r="N55" s="14"/>
    </row>
    <row r="56" ht="18" customHeight="1" spans="2:14">
      <c r="B56" s="229"/>
      <c r="C56" s="229"/>
      <c r="D56" s="14"/>
      <c r="E56" s="14"/>
      <c r="F56" s="229"/>
      <c r="G56" s="229"/>
      <c r="H56" s="14"/>
      <c r="I56" s="14"/>
      <c r="J56" s="229"/>
      <c r="K56" s="229"/>
      <c r="L56" s="14"/>
      <c r="M56" s="14"/>
      <c r="N56" s="14"/>
    </row>
    <row r="57" ht="18" customHeight="1" spans="2:14">
      <c r="B57" s="229"/>
      <c r="C57" s="229"/>
      <c r="D57" s="14"/>
      <c r="E57" s="14"/>
      <c r="F57" s="229"/>
      <c r="G57" s="229"/>
      <c r="H57" s="14"/>
      <c r="I57" s="14"/>
      <c r="J57" s="229"/>
      <c r="K57" s="229"/>
      <c r="L57" s="14"/>
      <c r="M57" s="14"/>
      <c r="N57" s="14"/>
    </row>
    <row r="58" ht="18" customHeight="1" spans="2:14">
      <c r="B58" s="229"/>
      <c r="C58" s="229"/>
      <c r="D58" s="14"/>
      <c r="E58" s="14"/>
      <c r="F58" s="229"/>
      <c r="G58" s="229"/>
      <c r="H58" s="14"/>
      <c r="I58" s="14"/>
      <c r="J58" s="229"/>
      <c r="K58" s="229"/>
      <c r="L58" s="14"/>
      <c r="M58" s="14"/>
      <c r="N58" s="14"/>
    </row>
    <row r="59" ht="18" customHeight="1" spans="2:14">
      <c r="B59" s="229"/>
      <c r="C59" s="229"/>
      <c r="D59" s="14"/>
      <c r="E59" s="14"/>
      <c r="F59" s="229"/>
      <c r="G59" s="229"/>
      <c r="H59" s="14"/>
      <c r="I59" s="14"/>
      <c r="J59" s="229"/>
      <c r="K59" s="229"/>
      <c r="L59" s="14"/>
      <c r="M59" s="14"/>
      <c r="N59" s="14"/>
    </row>
    <row r="60" ht="18" customHeight="1" spans="2:14">
      <c r="B60" s="229"/>
      <c r="C60" s="229"/>
      <c r="D60" s="14"/>
      <c r="E60" s="14"/>
      <c r="F60" s="229"/>
      <c r="G60" s="229"/>
      <c r="H60" s="14"/>
      <c r="I60" s="14"/>
      <c r="J60" s="229"/>
      <c r="K60" s="229"/>
      <c r="L60" s="14"/>
      <c r="M60" s="14"/>
      <c r="N60" s="14"/>
    </row>
    <row r="61" ht="18" customHeight="1" spans="2:14">
      <c r="B61" s="229"/>
      <c r="C61" s="229"/>
      <c r="D61" s="14"/>
      <c r="E61" s="14"/>
      <c r="F61" s="229"/>
      <c r="G61" s="229"/>
      <c r="H61" s="14"/>
      <c r="I61" s="14"/>
      <c r="J61" s="229"/>
      <c r="K61" s="229"/>
      <c r="L61" s="14"/>
      <c r="M61" s="14"/>
      <c r="N61" s="14"/>
    </row>
    <row r="62" ht="18" customHeight="1" spans="2:14">
      <c r="B62" s="229"/>
      <c r="C62" s="229"/>
      <c r="D62" s="14"/>
      <c r="E62" s="14"/>
      <c r="F62" s="229"/>
      <c r="G62" s="229"/>
      <c r="H62" s="14"/>
      <c r="I62" s="14"/>
      <c r="J62" s="229"/>
      <c r="K62" s="229"/>
      <c r="L62" s="14"/>
      <c r="M62" s="14"/>
      <c r="N62" s="14"/>
    </row>
    <row r="63" ht="18" customHeight="1" spans="2:14">
      <c r="B63" s="229"/>
      <c r="C63" s="229"/>
      <c r="D63" s="14"/>
      <c r="E63" s="14"/>
      <c r="F63" s="229"/>
      <c r="G63" s="229"/>
      <c r="H63" s="14"/>
      <c r="I63" s="14"/>
      <c r="J63" s="229"/>
      <c r="K63" s="229"/>
      <c r="L63" s="14"/>
      <c r="M63" s="14"/>
      <c r="N63" s="14"/>
    </row>
    <row r="64" ht="18" customHeight="1" spans="2:14">
      <c r="B64" s="229"/>
      <c r="C64" s="229"/>
      <c r="D64" s="14"/>
      <c r="E64" s="14"/>
      <c r="F64" s="229"/>
      <c r="G64" s="229"/>
      <c r="H64" s="14"/>
      <c r="I64" s="14"/>
      <c r="J64" s="229"/>
      <c r="K64" s="229"/>
      <c r="L64" s="14"/>
      <c r="M64" s="14"/>
      <c r="N64" s="14"/>
    </row>
    <row r="65" ht="18" customHeight="1" spans="2:14">
      <c r="B65" s="229"/>
      <c r="C65" s="229"/>
      <c r="D65" s="14"/>
      <c r="E65" s="14"/>
      <c r="F65" s="229"/>
      <c r="G65" s="229"/>
      <c r="H65" s="14"/>
      <c r="I65" s="14"/>
      <c r="J65" s="229"/>
      <c r="K65" s="229"/>
      <c r="L65" s="14"/>
      <c r="M65" s="14"/>
      <c r="N65" s="14"/>
    </row>
    <row r="66" ht="18" customHeight="1" spans="2:14">
      <c r="B66" s="229"/>
      <c r="C66" s="229"/>
      <c r="D66" s="14"/>
      <c r="E66" s="14"/>
      <c r="F66" s="229"/>
      <c r="G66" s="229"/>
      <c r="H66" s="14"/>
      <c r="I66" s="14"/>
      <c r="J66" s="229"/>
      <c r="K66" s="229"/>
      <c r="L66" s="14"/>
      <c r="M66" s="14"/>
      <c r="N66" s="14"/>
    </row>
    <row r="67" ht="18" customHeight="1" spans="2:14">
      <c r="B67" s="229"/>
      <c r="C67" s="229"/>
      <c r="D67" s="14"/>
      <c r="E67" s="14"/>
      <c r="F67" s="229"/>
      <c r="G67" s="229"/>
      <c r="H67" s="14"/>
      <c r="I67" s="14"/>
      <c r="J67" s="229"/>
      <c r="K67" s="229"/>
      <c r="L67" s="14"/>
      <c r="M67" s="14"/>
      <c r="N67" s="14"/>
    </row>
    <row r="68" ht="18" customHeight="1" spans="2:14">
      <c r="B68" s="229"/>
      <c r="C68" s="229"/>
      <c r="D68" s="14"/>
      <c r="E68" s="14"/>
      <c r="F68" s="229"/>
      <c r="G68" s="229"/>
      <c r="H68" s="14"/>
      <c r="I68" s="14"/>
      <c r="J68" s="229"/>
      <c r="K68" s="229"/>
      <c r="L68" s="14"/>
      <c r="M68" s="14"/>
      <c r="N68" s="14"/>
    </row>
    <row r="69" ht="18" customHeight="1" spans="2:14">
      <c r="B69" s="229"/>
      <c r="C69" s="229"/>
      <c r="D69" s="14"/>
      <c r="E69" s="14"/>
      <c r="F69" s="229"/>
      <c r="G69" s="229"/>
      <c r="H69" s="14"/>
      <c r="I69" s="14"/>
      <c r="J69" s="229"/>
      <c r="K69" s="229"/>
      <c r="L69" s="14"/>
      <c r="M69" s="14"/>
      <c r="N69" s="14"/>
    </row>
    <row r="70" ht="18" customHeight="1" spans="2:14">
      <c r="B70" s="229"/>
      <c r="C70" s="229"/>
      <c r="D70" s="14"/>
      <c r="E70" s="14"/>
      <c r="F70" s="229"/>
      <c r="G70" s="229"/>
      <c r="H70" s="14"/>
      <c r="I70" s="14"/>
      <c r="J70" s="229"/>
      <c r="K70" s="229"/>
      <c r="L70" s="14"/>
      <c r="M70" s="14"/>
      <c r="N70" s="14"/>
    </row>
    <row r="71" ht="18" customHeight="1" spans="2:14">
      <c r="B71" s="229"/>
      <c r="C71" s="229"/>
      <c r="D71" s="14"/>
      <c r="E71" s="14"/>
      <c r="F71" s="229"/>
      <c r="G71" s="229"/>
      <c r="H71" s="14"/>
      <c r="I71" s="14"/>
      <c r="J71" s="229"/>
      <c r="K71" s="229"/>
      <c r="L71" s="14"/>
      <c r="M71" s="14"/>
      <c r="N71" s="14"/>
    </row>
    <row r="72" ht="18" customHeight="1" spans="2:14">
      <c r="B72" s="229"/>
      <c r="C72" s="229"/>
      <c r="D72" s="14"/>
      <c r="E72" s="14"/>
      <c r="F72" s="229"/>
      <c r="G72" s="229"/>
      <c r="H72" s="14"/>
      <c r="I72" s="14"/>
      <c r="J72" s="229"/>
      <c r="K72" s="229"/>
      <c r="L72" s="14"/>
      <c r="M72" s="14"/>
      <c r="N72" s="14"/>
    </row>
    <row r="73" ht="18" customHeight="1" spans="2:14">
      <c r="B73" s="229"/>
      <c r="C73" s="229"/>
      <c r="D73" s="14"/>
      <c r="E73" s="14"/>
      <c r="F73" s="229"/>
      <c r="G73" s="229"/>
      <c r="H73" s="14"/>
      <c r="I73" s="14"/>
      <c r="J73" s="229"/>
      <c r="K73" s="229"/>
      <c r="L73" s="14"/>
      <c r="M73" s="14"/>
      <c r="N73" s="14"/>
    </row>
    <row r="74" ht="18" customHeight="1" spans="2:14">
      <c r="B74" s="229"/>
      <c r="C74" s="229"/>
      <c r="D74" s="14"/>
      <c r="E74" s="14"/>
      <c r="F74" s="229"/>
      <c r="G74" s="229"/>
      <c r="H74" s="14"/>
      <c r="I74" s="14"/>
      <c r="J74" s="229"/>
      <c r="K74" s="229"/>
      <c r="L74" s="14"/>
      <c r="M74" s="14"/>
      <c r="N74" s="14"/>
    </row>
    <row r="75" ht="18" customHeight="1" spans="2:14">
      <c r="B75" s="229"/>
      <c r="C75" s="229"/>
      <c r="D75" s="14"/>
      <c r="E75" s="14"/>
      <c r="F75" s="229"/>
      <c r="G75" s="229"/>
      <c r="H75" s="14"/>
      <c r="I75" s="14"/>
      <c r="J75" s="229"/>
      <c r="K75" s="229"/>
      <c r="L75" s="14"/>
      <c r="M75" s="14"/>
      <c r="N75" s="14"/>
    </row>
    <row r="76" ht="18" customHeight="1" spans="2:14">
      <c r="B76" s="229"/>
      <c r="C76" s="229"/>
      <c r="D76" s="14"/>
      <c r="E76" s="14"/>
      <c r="F76" s="229"/>
      <c r="G76" s="229"/>
      <c r="H76" s="14"/>
      <c r="I76" s="14"/>
      <c r="J76" s="229"/>
      <c r="K76" s="229"/>
      <c r="L76" s="14"/>
      <c r="M76" s="14"/>
      <c r="N76" s="14"/>
    </row>
    <row r="77" ht="18" customHeight="1" spans="2:14">
      <c r="B77" s="229"/>
      <c r="C77" s="229"/>
      <c r="D77" s="14"/>
      <c r="E77" s="14"/>
      <c r="F77" s="229"/>
      <c r="G77" s="229"/>
      <c r="H77" s="14"/>
      <c r="I77" s="14"/>
      <c r="J77" s="229"/>
      <c r="K77" s="229"/>
      <c r="L77" s="14"/>
      <c r="M77" s="14"/>
      <c r="N77" s="14"/>
    </row>
    <row r="78" ht="18" customHeight="1" spans="2:14">
      <c r="B78" s="229"/>
      <c r="C78" s="229"/>
      <c r="D78" s="14"/>
      <c r="E78" s="14"/>
      <c r="F78" s="229"/>
      <c r="G78" s="229"/>
      <c r="H78" s="14"/>
      <c r="I78" s="14"/>
      <c r="J78" s="229"/>
      <c r="K78" s="229"/>
      <c r="L78" s="14"/>
      <c r="M78" s="14"/>
      <c r="N78" s="14"/>
    </row>
    <row r="79" ht="18" customHeight="1" spans="2:14">
      <c r="B79" s="229"/>
      <c r="C79" s="229"/>
      <c r="D79" s="14"/>
      <c r="E79" s="14"/>
      <c r="F79" s="229"/>
      <c r="G79" s="229"/>
      <c r="H79" s="14"/>
      <c r="I79" s="14"/>
      <c r="J79" s="229"/>
      <c r="K79" s="229"/>
      <c r="L79" s="14"/>
      <c r="M79" s="14"/>
      <c r="N79" s="14"/>
    </row>
    <row r="80" ht="18" customHeight="1" spans="2:14">
      <c r="B80" s="229"/>
      <c r="C80" s="229"/>
      <c r="D80" s="14"/>
      <c r="E80" s="14"/>
      <c r="F80" s="229"/>
      <c r="G80" s="229"/>
      <c r="H80" s="14"/>
      <c r="I80" s="14"/>
      <c r="J80" s="229"/>
      <c r="K80" s="229"/>
      <c r="L80" s="14"/>
      <c r="M80" s="14"/>
      <c r="N80" s="14"/>
    </row>
    <row r="81" ht="18" customHeight="1" spans="2:14">
      <c r="B81" s="229"/>
      <c r="C81" s="229"/>
      <c r="D81" s="14"/>
      <c r="E81" s="14"/>
      <c r="F81" s="229"/>
      <c r="G81" s="229"/>
      <c r="H81" s="14"/>
      <c r="I81" s="14"/>
      <c r="J81" s="229"/>
      <c r="K81" s="229"/>
      <c r="L81" s="14"/>
      <c r="M81" s="14"/>
      <c r="N81" s="14"/>
    </row>
    <row r="82" ht="18" customHeight="1" spans="2:14">
      <c r="B82" s="229"/>
      <c r="C82" s="229"/>
      <c r="D82" s="14"/>
      <c r="E82" s="14"/>
      <c r="F82" s="229"/>
      <c r="G82" s="229"/>
      <c r="H82" s="14"/>
      <c r="I82" s="14"/>
      <c r="J82" s="229"/>
      <c r="K82" s="229"/>
      <c r="L82" s="14"/>
      <c r="M82" s="14"/>
      <c r="N82" s="14"/>
    </row>
    <row r="83" ht="18" customHeight="1" spans="2:14">
      <c r="B83" s="229"/>
      <c r="C83" s="229"/>
      <c r="D83" s="14"/>
      <c r="E83" s="14"/>
      <c r="F83" s="229"/>
      <c r="G83" s="229"/>
      <c r="H83" s="14"/>
      <c r="I83" s="14"/>
      <c r="J83" s="229"/>
      <c r="K83" s="229"/>
      <c r="L83" s="14"/>
      <c r="M83" s="14"/>
      <c r="N83" s="14"/>
    </row>
    <row r="84" ht="18" customHeight="1" spans="2:14">
      <c r="B84" s="229"/>
      <c r="C84" s="229"/>
      <c r="D84" s="14"/>
      <c r="E84" s="14"/>
      <c r="F84" s="229"/>
      <c r="G84" s="229"/>
      <c r="H84" s="14"/>
      <c r="I84" s="14"/>
      <c r="J84" s="229"/>
      <c r="K84" s="229"/>
      <c r="L84" s="14"/>
      <c r="M84" s="14"/>
      <c r="N84" s="14"/>
    </row>
    <row r="85" ht="18" customHeight="1" spans="2:14">
      <c r="B85" s="229"/>
      <c r="C85" s="229"/>
      <c r="D85" s="14"/>
      <c r="E85" s="14"/>
      <c r="F85" s="229"/>
      <c r="G85" s="229"/>
      <c r="H85" s="14"/>
      <c r="I85" s="14"/>
      <c r="J85" s="229"/>
      <c r="K85" s="229"/>
      <c r="L85" s="14"/>
      <c r="M85" s="14"/>
      <c r="N85" s="14"/>
    </row>
    <row r="86" ht="18" customHeight="1" spans="2:14">
      <c r="B86" s="229"/>
      <c r="C86" s="229"/>
      <c r="D86" s="14"/>
      <c r="E86" s="14"/>
      <c r="F86" s="229"/>
      <c r="G86" s="229"/>
      <c r="H86" s="14"/>
      <c r="I86" s="14"/>
      <c r="J86" s="229"/>
      <c r="K86" s="229"/>
      <c r="L86" s="14"/>
      <c r="M86" s="14"/>
      <c r="N86" s="14"/>
    </row>
    <row r="87" ht="18" customHeight="1" spans="2:14">
      <c r="B87" s="229"/>
      <c r="C87" s="229"/>
      <c r="D87" s="14"/>
      <c r="E87" s="14"/>
      <c r="F87" s="229"/>
      <c r="G87" s="229"/>
      <c r="H87" s="14"/>
      <c r="I87" s="14"/>
      <c r="J87" s="229"/>
      <c r="K87" s="229"/>
      <c r="L87" s="14"/>
      <c r="M87" s="14"/>
      <c r="N87" s="14"/>
    </row>
    <row r="88" ht="18" customHeight="1" spans="2:14">
      <c r="B88" s="229"/>
      <c r="C88" s="229"/>
      <c r="D88" s="14"/>
      <c r="E88" s="14"/>
      <c r="F88" s="229"/>
      <c r="G88" s="229"/>
      <c r="H88" s="14"/>
      <c r="I88" s="14"/>
      <c r="J88" s="229"/>
      <c r="K88" s="229"/>
      <c r="L88" s="14"/>
      <c r="M88" s="14"/>
      <c r="N88" s="14"/>
    </row>
    <row r="89" ht="18" customHeight="1" spans="2:14">
      <c r="B89" s="229"/>
      <c r="C89" s="229"/>
      <c r="D89" s="14"/>
      <c r="E89" s="14"/>
      <c r="F89" s="229"/>
      <c r="G89" s="229"/>
      <c r="H89" s="14"/>
      <c r="I89" s="14"/>
      <c r="J89" s="229"/>
      <c r="K89" s="229"/>
      <c r="L89" s="14"/>
      <c r="M89" s="14"/>
      <c r="N89" s="14"/>
    </row>
    <row r="90" ht="18" customHeight="1" spans="2:14">
      <c r="B90" s="229"/>
      <c r="C90" s="229"/>
      <c r="D90" s="14"/>
      <c r="E90" s="14"/>
      <c r="F90" s="229"/>
      <c r="G90" s="229"/>
      <c r="H90" s="14"/>
      <c r="I90" s="14"/>
      <c r="J90" s="229"/>
      <c r="K90" s="229"/>
      <c r="L90" s="14"/>
      <c r="M90" s="14"/>
      <c r="N90" s="14"/>
    </row>
    <row r="91" ht="18" customHeight="1" spans="2:14">
      <c r="B91" s="229"/>
      <c r="C91" s="229"/>
      <c r="D91" s="14"/>
      <c r="E91" s="14"/>
      <c r="F91" s="229"/>
      <c r="G91" s="229"/>
      <c r="H91" s="14"/>
      <c r="I91" s="14"/>
      <c r="J91" s="229"/>
      <c r="K91" s="229"/>
      <c r="L91" s="14"/>
      <c r="M91" s="14"/>
      <c r="N91" s="14"/>
    </row>
    <row r="92" ht="18" customHeight="1" spans="2:14">
      <c r="B92" s="229"/>
      <c r="C92" s="229"/>
      <c r="D92" s="14"/>
      <c r="E92" s="14"/>
      <c r="F92" s="229"/>
      <c r="G92" s="229"/>
      <c r="H92" s="14"/>
      <c r="I92" s="14"/>
      <c r="J92" s="229"/>
      <c r="K92" s="229"/>
      <c r="L92" s="14"/>
      <c r="M92" s="14"/>
      <c r="N92" s="14"/>
    </row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76"/>
  <sheetViews>
    <sheetView zoomScale="115" zoomScaleNormal="115" topLeftCell="A158" workbookViewId="0">
      <selection activeCell="B159" sqref="B159:M173"/>
    </sheetView>
  </sheetViews>
  <sheetFormatPr defaultColWidth="9" defaultRowHeight="20.1" customHeight="1"/>
  <cols>
    <col min="1" max="1" width="8.625" style="494" customWidth="1"/>
    <col min="2" max="5" width="12.625" style="494" customWidth="1"/>
    <col min="6" max="6" width="18.625" style="494" customWidth="1"/>
    <col min="7" max="7" width="12.375" style="494" customWidth="1"/>
    <col min="8" max="8" width="11.875" style="494" customWidth="1"/>
    <col min="9" max="12" width="12.625" style="494" customWidth="1"/>
    <col min="13" max="13" width="15.625" style="494" customWidth="1"/>
    <col min="14" max="14" width="20.625" style="494" customWidth="1"/>
    <col min="15" max="16384" width="9" style="494"/>
  </cols>
  <sheetData>
    <row r="2" customHeight="1" spans="2:14">
      <c r="B2" s="27" t="s">
        <v>1523</v>
      </c>
      <c r="C2" s="27" t="s">
        <v>1524</v>
      </c>
      <c r="D2" s="27" t="s">
        <v>1525</v>
      </c>
      <c r="E2" s="27" t="s">
        <v>1526</v>
      </c>
      <c r="F2" s="27" t="s">
        <v>1527</v>
      </c>
      <c r="G2" s="27" t="s">
        <v>1528</v>
      </c>
      <c r="H2" s="27" t="s">
        <v>1529</v>
      </c>
      <c r="I2" s="27" t="s">
        <v>1530</v>
      </c>
      <c r="J2" s="27" t="s">
        <v>1531</v>
      </c>
      <c r="K2" s="27" t="s">
        <v>1532</v>
      </c>
      <c r="L2" s="27" t="s">
        <v>1533</v>
      </c>
      <c r="M2" s="27" t="s">
        <v>1534</v>
      </c>
      <c r="N2" s="27" t="s">
        <v>226</v>
      </c>
    </row>
    <row r="3" customHeight="1" spans="2:14">
      <c r="B3" s="495" t="s">
        <v>1535</v>
      </c>
      <c r="C3" s="495" t="s">
        <v>1536</v>
      </c>
      <c r="D3" s="495" t="s">
        <v>1537</v>
      </c>
      <c r="E3" s="495" t="s">
        <v>1537</v>
      </c>
      <c r="F3" s="495" t="s">
        <v>1537</v>
      </c>
      <c r="G3" s="495" t="s">
        <v>1538</v>
      </c>
      <c r="H3" s="495" t="s">
        <v>1538</v>
      </c>
      <c r="I3" s="495" t="s">
        <v>1539</v>
      </c>
      <c r="J3" s="495" t="s">
        <v>1540</v>
      </c>
      <c r="K3" s="495" t="s">
        <v>1540</v>
      </c>
      <c r="L3" s="495" t="s">
        <v>1540</v>
      </c>
      <c r="M3" s="495" t="s">
        <v>1541</v>
      </c>
      <c r="N3" s="495" t="s">
        <v>1542</v>
      </c>
    </row>
    <row r="4" customHeight="1" spans="2:14">
      <c r="B4" s="496" t="s">
        <v>1543</v>
      </c>
      <c r="C4" s="496" t="s">
        <v>1536</v>
      </c>
      <c r="D4" s="496" t="s">
        <v>1537</v>
      </c>
      <c r="E4" s="496" t="s">
        <v>1537</v>
      </c>
      <c r="F4" s="496" t="s">
        <v>1537</v>
      </c>
      <c r="G4" s="496" t="s">
        <v>1536</v>
      </c>
      <c r="H4" s="496" t="s">
        <v>1536</v>
      </c>
      <c r="I4" s="496" t="s">
        <v>1539</v>
      </c>
      <c r="J4" s="496" t="s">
        <v>1540</v>
      </c>
      <c r="K4" s="496" t="s">
        <v>1540</v>
      </c>
      <c r="L4" s="496" t="s">
        <v>1540</v>
      </c>
      <c r="M4" s="496" t="s">
        <v>1541</v>
      </c>
      <c r="N4" s="496" t="s">
        <v>1544</v>
      </c>
    </row>
    <row r="5" customHeight="1" spans="2:14">
      <c r="B5" s="497" t="s">
        <v>1545</v>
      </c>
      <c r="C5" s="497" t="s">
        <v>1537</v>
      </c>
      <c r="D5" s="497" t="s">
        <v>1546</v>
      </c>
      <c r="E5" s="497" t="s">
        <v>1547</v>
      </c>
      <c r="F5" s="497" t="s">
        <v>1548</v>
      </c>
      <c r="G5" s="497" t="s">
        <v>1538</v>
      </c>
      <c r="H5" s="497" t="s">
        <v>1538</v>
      </c>
      <c r="I5" s="497" t="s">
        <v>1539</v>
      </c>
      <c r="J5" s="497" t="s">
        <v>1540</v>
      </c>
      <c r="K5" s="497" t="s">
        <v>1540</v>
      </c>
      <c r="L5" s="497" t="s">
        <v>1540</v>
      </c>
      <c r="M5" s="497" t="s">
        <v>1541</v>
      </c>
      <c r="N5" s="497" t="s">
        <v>1549</v>
      </c>
    </row>
    <row r="6" customHeight="1" spans="2:14">
      <c r="B6" s="498" t="s">
        <v>1550</v>
      </c>
      <c r="C6" s="498" t="s">
        <v>1536</v>
      </c>
      <c r="D6" s="498" t="s">
        <v>1537</v>
      </c>
      <c r="E6" s="498" t="s">
        <v>1537</v>
      </c>
      <c r="F6" s="498" t="s">
        <v>1537</v>
      </c>
      <c r="G6" s="498" t="s">
        <v>1538</v>
      </c>
      <c r="H6" s="498" t="s">
        <v>1538</v>
      </c>
      <c r="I6" s="498" t="s">
        <v>1539</v>
      </c>
      <c r="J6" s="498" t="s">
        <v>1540</v>
      </c>
      <c r="K6" s="498" t="s">
        <v>1540</v>
      </c>
      <c r="L6" s="498" t="s">
        <v>1540</v>
      </c>
      <c r="M6" s="498" t="s">
        <v>1541</v>
      </c>
      <c r="N6" s="498" t="s">
        <v>1551</v>
      </c>
    </row>
    <row r="8" customHeight="1" spans="2:14">
      <c r="B8" s="27" t="s">
        <v>455</v>
      </c>
      <c r="C8" s="27" t="s">
        <v>1524</v>
      </c>
      <c r="D8" s="27" t="s">
        <v>1525</v>
      </c>
      <c r="E8" s="27" t="s">
        <v>1526</v>
      </c>
      <c r="F8" s="27" t="s">
        <v>1527</v>
      </c>
      <c r="G8" s="27" t="s">
        <v>1528</v>
      </c>
      <c r="H8" s="27" t="s">
        <v>1529</v>
      </c>
      <c r="I8" s="27" t="s">
        <v>1530</v>
      </c>
      <c r="J8" s="27" t="s">
        <v>1531</v>
      </c>
      <c r="K8" s="27" t="s">
        <v>1532</v>
      </c>
      <c r="L8" s="27" t="s">
        <v>1533</v>
      </c>
      <c r="M8" s="27" t="s">
        <v>1534</v>
      </c>
    </row>
    <row r="9" customHeight="1" spans="2:14">
      <c r="B9" s="499" t="s">
        <v>94</v>
      </c>
      <c r="C9" s="500" t="s">
        <v>46</v>
      </c>
      <c r="D9" s="500" t="s">
        <v>56</v>
      </c>
      <c r="E9" s="500" t="s">
        <v>62</v>
      </c>
      <c r="F9" s="500" t="s">
        <v>1552</v>
      </c>
      <c r="G9" s="500" t="s">
        <v>117</v>
      </c>
      <c r="H9" s="501" t="s">
        <v>19</v>
      </c>
      <c r="I9" s="493" t="s">
        <v>1553</v>
      </c>
      <c r="J9" s="501" t="s">
        <v>711</v>
      </c>
      <c r="K9" s="501" t="s">
        <v>14</v>
      </c>
      <c r="L9" s="501" t="s">
        <v>755</v>
      </c>
      <c r="M9" s="501" t="s">
        <v>10</v>
      </c>
    </row>
    <row r="10" customHeight="1" spans="2:14">
      <c r="B10" s="499" t="s">
        <v>101</v>
      </c>
      <c r="C10" s="500" t="s">
        <v>46</v>
      </c>
      <c r="D10" s="500" t="s">
        <v>56</v>
      </c>
      <c r="E10" s="500" t="s">
        <v>62</v>
      </c>
      <c r="F10" s="500" t="s">
        <v>1552</v>
      </c>
      <c r="G10" s="500" t="s">
        <v>117</v>
      </c>
      <c r="H10" s="501" t="s">
        <v>19</v>
      </c>
      <c r="I10" s="493" t="s">
        <v>1553</v>
      </c>
      <c r="J10" s="501" t="s">
        <v>19</v>
      </c>
      <c r="K10" s="501" t="s">
        <v>711</v>
      </c>
      <c r="L10" s="501" t="s">
        <v>767</v>
      </c>
      <c r="M10" s="501" t="s">
        <v>764</v>
      </c>
    </row>
    <row r="11" customHeight="1" spans="2:14">
      <c r="B11" s="502" t="s">
        <v>113</v>
      </c>
      <c r="C11" s="500" t="s">
        <v>46</v>
      </c>
      <c r="D11" s="500" t="s">
        <v>41</v>
      </c>
      <c r="E11" s="500" t="s">
        <v>62</v>
      </c>
      <c r="F11" s="500" t="s">
        <v>1552</v>
      </c>
      <c r="G11" s="500" t="s">
        <v>132</v>
      </c>
      <c r="H11" s="501" t="s">
        <v>39</v>
      </c>
      <c r="I11" s="493" t="s">
        <v>1553</v>
      </c>
      <c r="J11" s="501" t="s">
        <v>19</v>
      </c>
      <c r="K11" s="501" t="s">
        <v>39</v>
      </c>
      <c r="L11" s="501" t="s">
        <v>764</v>
      </c>
      <c r="M11" s="501" t="s">
        <v>14</v>
      </c>
    </row>
    <row r="12" customHeight="1" spans="2:14">
      <c r="B12" s="502" t="s">
        <v>98</v>
      </c>
      <c r="C12" s="500" t="s">
        <v>46</v>
      </c>
      <c r="D12" s="500" t="s">
        <v>56</v>
      </c>
      <c r="E12" s="500" t="s">
        <v>62</v>
      </c>
      <c r="F12" s="500" t="s">
        <v>1552</v>
      </c>
      <c r="G12" s="500" t="s">
        <v>117</v>
      </c>
      <c r="H12" s="501" t="s">
        <v>19</v>
      </c>
      <c r="I12" s="493" t="s">
        <v>1553</v>
      </c>
      <c r="J12" s="501" t="s">
        <v>19</v>
      </c>
      <c r="K12" s="501" t="s">
        <v>14</v>
      </c>
      <c r="L12" s="501" t="s">
        <v>755</v>
      </c>
      <c r="M12" s="501" t="s">
        <v>10</v>
      </c>
    </row>
    <row r="13" customHeight="1" spans="2:14">
      <c r="B13" s="503" t="s">
        <v>62</v>
      </c>
      <c r="C13" s="500" t="s">
        <v>46</v>
      </c>
      <c r="D13" s="500" t="s">
        <v>56</v>
      </c>
      <c r="E13" s="500" t="s">
        <v>62</v>
      </c>
      <c r="F13" s="500" t="s">
        <v>1552</v>
      </c>
      <c r="G13" s="500" t="s">
        <v>117</v>
      </c>
      <c r="H13" s="501" t="s">
        <v>19</v>
      </c>
      <c r="I13" s="493" t="s">
        <v>1553</v>
      </c>
      <c r="J13" s="501" t="s">
        <v>19</v>
      </c>
      <c r="K13" s="501" t="s">
        <v>14</v>
      </c>
      <c r="L13" s="501" t="s">
        <v>10</v>
      </c>
      <c r="M13" s="501" t="s">
        <v>10</v>
      </c>
    </row>
    <row r="14" customHeight="1" spans="2:14">
      <c r="B14" s="503" t="s">
        <v>61</v>
      </c>
      <c r="C14" s="500" t="s">
        <v>58</v>
      </c>
      <c r="D14" s="500" t="s">
        <v>66</v>
      </c>
      <c r="E14" s="500" t="s">
        <v>43</v>
      </c>
      <c r="F14" s="500" t="s">
        <v>1552</v>
      </c>
      <c r="G14" s="500" t="s">
        <v>106</v>
      </c>
      <c r="H14" s="501" t="s">
        <v>9</v>
      </c>
      <c r="I14" s="493" t="s">
        <v>1553</v>
      </c>
      <c r="J14" s="501" t="s">
        <v>711</v>
      </c>
      <c r="K14" s="501" t="s">
        <v>14</v>
      </c>
      <c r="L14" s="501" t="s">
        <v>10</v>
      </c>
      <c r="M14" s="501" t="s">
        <v>3</v>
      </c>
    </row>
    <row r="15" customHeight="1" spans="2:14">
      <c r="B15" s="503" t="s">
        <v>36</v>
      </c>
      <c r="C15" s="500" t="s">
        <v>58</v>
      </c>
      <c r="D15" s="500" t="s">
        <v>66</v>
      </c>
      <c r="E15" s="500" t="s">
        <v>43</v>
      </c>
      <c r="F15" s="500" t="s">
        <v>1552</v>
      </c>
      <c r="G15" s="500" t="s">
        <v>106</v>
      </c>
      <c r="H15" s="501" t="s">
        <v>9</v>
      </c>
      <c r="I15" s="493" t="s">
        <v>1553</v>
      </c>
      <c r="J15" s="501" t="s">
        <v>765</v>
      </c>
      <c r="K15" s="501" t="s">
        <v>866</v>
      </c>
      <c r="L15" s="501" t="s">
        <v>1554</v>
      </c>
      <c r="M15" s="501" t="s">
        <v>1555</v>
      </c>
    </row>
    <row r="16" customHeight="1" spans="2:14">
      <c r="B16" s="503" t="s">
        <v>58</v>
      </c>
      <c r="C16" s="500" t="s">
        <v>58</v>
      </c>
      <c r="D16" s="500" t="s">
        <v>66</v>
      </c>
      <c r="E16" s="500" t="s">
        <v>43</v>
      </c>
      <c r="F16" s="500" t="s">
        <v>1552</v>
      </c>
      <c r="G16" s="500" t="s">
        <v>106</v>
      </c>
      <c r="H16" s="501" t="s">
        <v>9</v>
      </c>
      <c r="I16" s="493" t="s">
        <v>1553</v>
      </c>
      <c r="J16" s="501" t="s">
        <v>19</v>
      </c>
      <c r="K16" s="501" t="s">
        <v>866</v>
      </c>
      <c r="L16" s="501" t="s">
        <v>755</v>
      </c>
      <c r="M16" s="501" t="s">
        <v>882</v>
      </c>
    </row>
    <row r="17" customHeight="1" spans="2:13">
      <c r="B17" s="503" t="s">
        <v>51</v>
      </c>
      <c r="C17" s="500" t="s">
        <v>46</v>
      </c>
      <c r="D17" s="500" t="s">
        <v>56</v>
      </c>
      <c r="E17" s="500" t="s">
        <v>62</v>
      </c>
      <c r="F17" s="500" t="s">
        <v>1552</v>
      </c>
      <c r="G17" s="500" t="s">
        <v>117</v>
      </c>
      <c r="H17" s="501" t="s">
        <v>19</v>
      </c>
      <c r="I17" s="493" t="s">
        <v>1553</v>
      </c>
      <c r="J17" s="501" t="s">
        <v>9</v>
      </c>
      <c r="K17" s="501" t="s">
        <v>711</v>
      </c>
      <c r="L17" s="501" t="s">
        <v>781</v>
      </c>
      <c r="M17" s="501" t="s">
        <v>777</v>
      </c>
    </row>
    <row r="18" customHeight="1" spans="2:13">
      <c r="B18" s="503" t="s">
        <v>65</v>
      </c>
      <c r="C18" s="500" t="s">
        <v>58</v>
      </c>
      <c r="D18" s="500" t="s">
        <v>66</v>
      </c>
      <c r="E18" s="500" t="s">
        <v>43</v>
      </c>
      <c r="F18" s="500" t="s">
        <v>1552</v>
      </c>
      <c r="G18" s="500" t="s">
        <v>106</v>
      </c>
      <c r="H18" s="501" t="s">
        <v>9</v>
      </c>
      <c r="I18" s="493" t="s">
        <v>1553</v>
      </c>
      <c r="J18" s="501" t="s">
        <v>19</v>
      </c>
      <c r="K18" s="501" t="s">
        <v>740</v>
      </c>
      <c r="L18" s="501" t="s">
        <v>1556</v>
      </c>
      <c r="M18" s="501" t="s">
        <v>765</v>
      </c>
    </row>
    <row r="19" customHeight="1" spans="2:13">
      <c r="B19" s="501" t="s">
        <v>1557</v>
      </c>
      <c r="C19" s="500" t="s">
        <v>36</v>
      </c>
      <c r="D19" s="500" t="s">
        <v>38</v>
      </c>
      <c r="E19" s="500" t="s">
        <v>62</v>
      </c>
      <c r="F19" s="500" t="s">
        <v>1552</v>
      </c>
      <c r="G19" s="500" t="s">
        <v>734</v>
      </c>
      <c r="H19" s="501" t="s">
        <v>14</v>
      </c>
      <c r="I19" s="493" t="s">
        <v>1553</v>
      </c>
      <c r="J19" s="501" t="s">
        <v>9</v>
      </c>
      <c r="K19" s="501" t="s">
        <v>14</v>
      </c>
      <c r="L19" s="501" t="s">
        <v>765</v>
      </c>
      <c r="M19" s="501" t="s">
        <v>14</v>
      </c>
    </row>
    <row r="20" customHeight="1" spans="2:13">
      <c r="B20" s="501" t="s">
        <v>39</v>
      </c>
      <c r="C20" s="500" t="s">
        <v>46</v>
      </c>
      <c r="D20" s="500" t="s">
        <v>41</v>
      </c>
      <c r="E20" s="500" t="s">
        <v>62</v>
      </c>
      <c r="F20" s="500" t="s">
        <v>1552</v>
      </c>
      <c r="G20" s="500" t="s">
        <v>132</v>
      </c>
      <c r="H20" s="501" t="s">
        <v>39</v>
      </c>
      <c r="I20" s="493" t="s">
        <v>1553</v>
      </c>
      <c r="J20" s="501" t="s">
        <v>19</v>
      </c>
      <c r="K20" s="501" t="s">
        <v>740</v>
      </c>
      <c r="L20" s="501" t="s">
        <v>781</v>
      </c>
      <c r="M20" s="501" t="s">
        <v>39</v>
      </c>
    </row>
    <row r="21" customHeight="1" spans="2:13">
      <c r="B21" s="501" t="s">
        <v>740</v>
      </c>
      <c r="C21" s="500" t="s">
        <v>53</v>
      </c>
      <c r="D21" s="500" t="s">
        <v>51</v>
      </c>
      <c r="E21" s="500" t="s">
        <v>62</v>
      </c>
      <c r="F21" s="500" t="s">
        <v>1552</v>
      </c>
      <c r="G21" s="500" t="s">
        <v>704</v>
      </c>
      <c r="H21" s="501" t="s">
        <v>740</v>
      </c>
      <c r="I21" s="493" t="s">
        <v>1553</v>
      </c>
      <c r="J21" s="501" t="s">
        <v>19</v>
      </c>
      <c r="K21" s="501" t="s">
        <v>3</v>
      </c>
      <c r="L21" s="501" t="s">
        <v>732</v>
      </c>
      <c r="M21" s="501" t="s">
        <v>740</v>
      </c>
    </row>
    <row r="22" customHeight="1" spans="2:13">
      <c r="B22" s="501" t="s">
        <v>9</v>
      </c>
      <c r="C22" s="500" t="s">
        <v>58</v>
      </c>
      <c r="D22" s="500" t="s">
        <v>66</v>
      </c>
      <c r="E22" s="500" t="s">
        <v>43</v>
      </c>
      <c r="F22" s="500" t="s">
        <v>1552</v>
      </c>
      <c r="G22" s="500" t="s">
        <v>106</v>
      </c>
      <c r="H22" s="501" t="s">
        <v>9</v>
      </c>
      <c r="I22" s="493" t="s">
        <v>1553</v>
      </c>
      <c r="J22" s="501" t="s">
        <v>19</v>
      </c>
      <c r="K22" s="501" t="s">
        <v>750</v>
      </c>
      <c r="L22" s="501" t="s">
        <v>777</v>
      </c>
      <c r="M22" s="501" t="s">
        <v>9</v>
      </c>
    </row>
    <row r="23" customHeight="1" spans="2:13">
      <c r="B23" s="501" t="s">
        <v>19</v>
      </c>
      <c r="C23" s="500" t="s">
        <v>58</v>
      </c>
      <c r="D23" s="500" t="s">
        <v>66</v>
      </c>
      <c r="E23" s="500" t="s">
        <v>43</v>
      </c>
      <c r="F23" s="500" t="s">
        <v>1552</v>
      </c>
      <c r="G23" s="500" t="s">
        <v>106</v>
      </c>
      <c r="H23" s="501" t="s">
        <v>9</v>
      </c>
      <c r="I23" s="493" t="s">
        <v>1553</v>
      </c>
      <c r="J23" s="501" t="s">
        <v>9</v>
      </c>
      <c r="K23" s="501" t="s">
        <v>14</v>
      </c>
      <c r="L23" s="501" t="s">
        <v>767</v>
      </c>
      <c r="M23" s="501" t="s">
        <v>19</v>
      </c>
    </row>
    <row r="24" customHeight="1" spans="2:13">
      <c r="B24" s="501" t="s">
        <v>711</v>
      </c>
      <c r="C24" s="500" t="s">
        <v>46</v>
      </c>
      <c r="D24" s="500" t="s">
        <v>56</v>
      </c>
      <c r="E24" s="500" t="s">
        <v>62</v>
      </c>
      <c r="F24" s="500" t="s">
        <v>1552</v>
      </c>
      <c r="G24" s="500" t="s">
        <v>117</v>
      </c>
      <c r="H24" s="501" t="s">
        <v>19</v>
      </c>
      <c r="I24" s="493" t="s">
        <v>1553</v>
      </c>
      <c r="J24" s="501" t="s">
        <v>9</v>
      </c>
      <c r="K24" s="501" t="s">
        <v>750</v>
      </c>
      <c r="L24" s="501" t="s">
        <v>765</v>
      </c>
      <c r="M24" s="501" t="s">
        <v>711</v>
      </c>
    </row>
    <row r="25" customHeight="1" spans="2:13">
      <c r="B25" s="501" t="s">
        <v>59</v>
      </c>
      <c r="C25" s="500" t="s">
        <v>46</v>
      </c>
      <c r="D25" s="500" t="s">
        <v>56</v>
      </c>
      <c r="E25" s="500" t="s">
        <v>62</v>
      </c>
      <c r="F25" s="500" t="s">
        <v>1552</v>
      </c>
      <c r="G25" s="500" t="s">
        <v>117</v>
      </c>
      <c r="H25" s="501" t="s">
        <v>19</v>
      </c>
      <c r="I25" s="493" t="s">
        <v>1553</v>
      </c>
      <c r="J25" s="501" t="s">
        <v>9</v>
      </c>
      <c r="K25" s="501" t="s">
        <v>3</v>
      </c>
      <c r="L25" s="501" t="s">
        <v>777</v>
      </c>
      <c r="M25" s="501" t="s">
        <v>59</v>
      </c>
    </row>
    <row r="26" customHeight="1" spans="2:13">
      <c r="B26" s="501" t="s">
        <v>3</v>
      </c>
      <c r="C26" s="500" t="s">
        <v>61</v>
      </c>
      <c r="D26" s="500" t="s">
        <v>43</v>
      </c>
      <c r="E26" s="500" t="s">
        <v>62</v>
      </c>
      <c r="F26" s="500" t="s">
        <v>1552</v>
      </c>
      <c r="G26" s="500" t="s">
        <v>724</v>
      </c>
      <c r="H26" s="501" t="s">
        <v>3</v>
      </c>
      <c r="I26" s="493" t="s">
        <v>1553</v>
      </c>
      <c r="J26" s="501" t="s">
        <v>19</v>
      </c>
      <c r="K26" s="501" t="s">
        <v>750</v>
      </c>
      <c r="L26" s="501" t="s">
        <v>732</v>
      </c>
      <c r="M26" s="501" t="s">
        <v>3</v>
      </c>
    </row>
    <row r="27" customHeight="1" spans="2:13">
      <c r="B27" s="501" t="s">
        <v>750</v>
      </c>
      <c r="C27" s="500" t="s">
        <v>36</v>
      </c>
      <c r="D27" s="500" t="s">
        <v>38</v>
      </c>
      <c r="E27" s="500" t="s">
        <v>62</v>
      </c>
      <c r="F27" s="500" t="s">
        <v>1552</v>
      </c>
      <c r="G27" s="500" t="s">
        <v>710</v>
      </c>
      <c r="H27" s="501" t="s">
        <v>750</v>
      </c>
      <c r="I27" s="493" t="s">
        <v>1553</v>
      </c>
      <c r="J27" s="501" t="s">
        <v>9</v>
      </c>
      <c r="K27" s="501" t="s">
        <v>711</v>
      </c>
      <c r="L27" s="501" t="s">
        <v>26</v>
      </c>
      <c r="M27" s="501" t="s">
        <v>750</v>
      </c>
    </row>
    <row r="28" customHeight="1" spans="2:13">
      <c r="B28" s="501" t="s">
        <v>14</v>
      </c>
      <c r="C28" s="500" t="s">
        <v>36</v>
      </c>
      <c r="D28" s="500" t="s">
        <v>38</v>
      </c>
      <c r="E28" s="500" t="s">
        <v>62</v>
      </c>
      <c r="F28" s="500" t="s">
        <v>1552</v>
      </c>
      <c r="G28" s="500" t="s">
        <v>734</v>
      </c>
      <c r="H28" s="501" t="s">
        <v>14</v>
      </c>
      <c r="I28" s="493" t="s">
        <v>1553</v>
      </c>
      <c r="J28" s="501" t="s">
        <v>19</v>
      </c>
      <c r="K28" s="501" t="s">
        <v>3</v>
      </c>
      <c r="L28" s="501" t="s">
        <v>762</v>
      </c>
      <c r="M28" s="501" t="s">
        <v>14</v>
      </c>
    </row>
    <row r="29" customHeight="1" spans="2:13">
      <c r="B29" s="501" t="s">
        <v>10</v>
      </c>
      <c r="C29" s="500" t="s">
        <v>61</v>
      </c>
      <c r="D29" s="500" t="s">
        <v>43</v>
      </c>
      <c r="E29" s="500" t="s">
        <v>62</v>
      </c>
      <c r="F29" s="500" t="s">
        <v>1552</v>
      </c>
      <c r="G29" s="500" t="s">
        <v>132</v>
      </c>
      <c r="H29" s="501" t="s">
        <v>10</v>
      </c>
      <c r="I29" s="493" t="s">
        <v>1553</v>
      </c>
      <c r="J29" s="501" t="s">
        <v>19</v>
      </c>
      <c r="K29" s="501" t="s">
        <v>740</v>
      </c>
      <c r="L29" s="501" t="s">
        <v>761</v>
      </c>
      <c r="M29" s="501" t="s">
        <v>10</v>
      </c>
    </row>
    <row r="30" customHeight="1" spans="2:13">
      <c r="B30" s="501" t="s">
        <v>732</v>
      </c>
      <c r="C30" s="500" t="s">
        <v>53</v>
      </c>
      <c r="D30" s="500" t="s">
        <v>46</v>
      </c>
      <c r="E30" s="500" t="s">
        <v>62</v>
      </c>
      <c r="F30" s="500" t="s">
        <v>1552</v>
      </c>
      <c r="G30" s="500" t="s">
        <v>742</v>
      </c>
      <c r="H30" s="501" t="s">
        <v>3</v>
      </c>
      <c r="I30" s="493" t="s">
        <v>1553</v>
      </c>
      <c r="J30" s="501" t="s">
        <v>9</v>
      </c>
      <c r="K30" s="501" t="s">
        <v>711</v>
      </c>
      <c r="L30" s="501" t="s">
        <v>762</v>
      </c>
      <c r="M30" s="501" t="s">
        <v>732</v>
      </c>
    </row>
    <row r="31" customHeight="1" spans="2:13">
      <c r="B31" s="501" t="s">
        <v>739</v>
      </c>
      <c r="C31" s="500" t="s">
        <v>41</v>
      </c>
      <c r="D31" s="500" t="s">
        <v>58</v>
      </c>
      <c r="E31" s="500" t="s">
        <v>62</v>
      </c>
      <c r="F31" s="500" t="s">
        <v>1552</v>
      </c>
      <c r="G31" s="500" t="s">
        <v>791</v>
      </c>
      <c r="H31" s="501" t="s">
        <v>3</v>
      </c>
      <c r="I31" s="493" t="s">
        <v>1553</v>
      </c>
      <c r="J31" s="501" t="s">
        <v>9</v>
      </c>
      <c r="K31" s="501" t="s">
        <v>39</v>
      </c>
      <c r="L31" s="501" t="s">
        <v>767</v>
      </c>
      <c r="M31" s="501" t="s">
        <v>739</v>
      </c>
    </row>
    <row r="32" customHeight="1" spans="2:13">
      <c r="B32" s="501" t="s">
        <v>762</v>
      </c>
      <c r="C32" s="500" t="s">
        <v>38</v>
      </c>
      <c r="D32" s="500" t="s">
        <v>53</v>
      </c>
      <c r="E32" s="500" t="s">
        <v>61</v>
      </c>
      <c r="F32" s="500" t="s">
        <v>1552</v>
      </c>
      <c r="G32" s="500" t="s">
        <v>710</v>
      </c>
      <c r="H32" s="501" t="s">
        <v>762</v>
      </c>
      <c r="I32" s="493" t="s">
        <v>1553</v>
      </c>
      <c r="J32" s="501" t="s">
        <v>19</v>
      </c>
      <c r="K32" s="501" t="s">
        <v>740</v>
      </c>
      <c r="L32" s="501" t="s">
        <v>26</v>
      </c>
      <c r="M32" s="501" t="s">
        <v>762</v>
      </c>
    </row>
    <row r="33" customHeight="1" spans="2:13">
      <c r="B33" s="501" t="s">
        <v>767</v>
      </c>
      <c r="C33" s="500" t="s">
        <v>41</v>
      </c>
      <c r="D33" s="500" t="s">
        <v>58</v>
      </c>
      <c r="E33" s="500" t="s">
        <v>62</v>
      </c>
      <c r="F33" s="500" t="s">
        <v>1552</v>
      </c>
      <c r="G33" s="500" t="s">
        <v>742</v>
      </c>
      <c r="H33" s="501" t="s">
        <v>767</v>
      </c>
      <c r="I33" s="493" t="s">
        <v>1553</v>
      </c>
      <c r="J33" s="501" t="s">
        <v>9</v>
      </c>
      <c r="K33" s="501" t="s">
        <v>39</v>
      </c>
      <c r="L33" s="501" t="s">
        <v>761</v>
      </c>
      <c r="M33" s="501" t="s">
        <v>767</v>
      </c>
    </row>
    <row r="34" customHeight="1" spans="2:13">
      <c r="B34" s="501" t="s">
        <v>26</v>
      </c>
      <c r="C34" s="500" t="s">
        <v>51</v>
      </c>
      <c r="D34" s="500" t="s">
        <v>53</v>
      </c>
      <c r="E34" s="500" t="s">
        <v>43</v>
      </c>
      <c r="F34" s="500" t="s">
        <v>1552</v>
      </c>
      <c r="G34" s="500" t="s">
        <v>742</v>
      </c>
      <c r="H34" s="501" t="s">
        <v>26</v>
      </c>
      <c r="I34" s="493" t="s">
        <v>1553</v>
      </c>
      <c r="J34" s="501" t="s">
        <v>9</v>
      </c>
      <c r="K34" s="501" t="s">
        <v>59</v>
      </c>
      <c r="L34" s="501" t="s">
        <v>764</v>
      </c>
      <c r="M34" s="501" t="s">
        <v>26</v>
      </c>
    </row>
    <row r="35" customHeight="1" spans="2:13">
      <c r="B35" s="501" t="s">
        <v>463</v>
      </c>
      <c r="C35" s="500" t="s">
        <v>53</v>
      </c>
      <c r="D35" s="500" t="s">
        <v>61</v>
      </c>
      <c r="E35" s="500" t="s">
        <v>1552</v>
      </c>
      <c r="F35" s="500" t="s">
        <v>791</v>
      </c>
      <c r="G35" s="501" t="s">
        <v>716</v>
      </c>
      <c r="H35" s="501" t="s">
        <v>463</v>
      </c>
      <c r="I35" s="493" t="s">
        <v>1553</v>
      </c>
      <c r="J35" s="501" t="s">
        <v>19</v>
      </c>
      <c r="K35" s="501" t="s">
        <v>750</v>
      </c>
      <c r="L35" s="501" t="s">
        <v>10</v>
      </c>
      <c r="M35" s="501" t="s">
        <v>732</v>
      </c>
    </row>
    <row r="36" customHeight="1" spans="2:13">
      <c r="B36" s="501" t="s">
        <v>764</v>
      </c>
      <c r="C36" s="500" t="s">
        <v>41</v>
      </c>
      <c r="D36" s="500" t="s">
        <v>58</v>
      </c>
      <c r="E36" s="500" t="s">
        <v>62</v>
      </c>
      <c r="F36" s="500" t="s">
        <v>1552</v>
      </c>
      <c r="G36" s="500" t="s">
        <v>724</v>
      </c>
      <c r="H36" s="501" t="s">
        <v>764</v>
      </c>
      <c r="I36" s="493" t="s">
        <v>1553</v>
      </c>
      <c r="J36" s="501" t="s">
        <v>9</v>
      </c>
      <c r="K36" s="501" t="s">
        <v>59</v>
      </c>
      <c r="L36" s="501" t="s">
        <v>739</v>
      </c>
      <c r="M36" s="501" t="s">
        <v>764</v>
      </c>
    </row>
    <row r="37" customHeight="1" spans="2:13">
      <c r="B37" s="501" t="s">
        <v>755</v>
      </c>
      <c r="C37" s="500" t="s">
        <v>53</v>
      </c>
      <c r="D37" s="500" t="s">
        <v>46</v>
      </c>
      <c r="E37" s="500" t="s">
        <v>62</v>
      </c>
      <c r="F37" s="500" t="s">
        <v>1552</v>
      </c>
      <c r="G37" s="500" t="s">
        <v>742</v>
      </c>
      <c r="H37" s="501" t="s">
        <v>755</v>
      </c>
      <c r="I37" s="493" t="s">
        <v>1553</v>
      </c>
      <c r="J37" s="501" t="s">
        <v>9</v>
      </c>
      <c r="K37" s="501" t="s">
        <v>59</v>
      </c>
      <c r="L37" s="501" t="s">
        <v>757</v>
      </c>
      <c r="M37" s="501" t="s">
        <v>755</v>
      </c>
    </row>
    <row r="38" customHeight="1" spans="2:13">
      <c r="B38" s="501" t="s">
        <v>761</v>
      </c>
      <c r="C38" s="500" t="s">
        <v>41</v>
      </c>
      <c r="D38" s="500" t="s">
        <v>46</v>
      </c>
      <c r="E38" s="500" t="s">
        <v>62</v>
      </c>
      <c r="F38" s="500" t="s">
        <v>1552</v>
      </c>
      <c r="G38" s="500" t="s">
        <v>132</v>
      </c>
      <c r="H38" s="501" t="s">
        <v>761</v>
      </c>
      <c r="I38" s="493" t="s">
        <v>1553</v>
      </c>
      <c r="J38" s="501" t="s">
        <v>9</v>
      </c>
      <c r="K38" s="501" t="s">
        <v>3</v>
      </c>
      <c r="L38" s="501" t="s">
        <v>739</v>
      </c>
      <c r="M38" s="501" t="s">
        <v>761</v>
      </c>
    </row>
    <row r="39" customHeight="1" spans="2:13">
      <c r="B39" s="501" t="s">
        <v>757</v>
      </c>
      <c r="C39" s="500" t="s">
        <v>38</v>
      </c>
      <c r="D39" s="500" t="s">
        <v>46</v>
      </c>
      <c r="E39" s="500" t="s">
        <v>62</v>
      </c>
      <c r="F39" s="500" t="s">
        <v>1552</v>
      </c>
      <c r="G39" s="500" t="s">
        <v>701</v>
      </c>
      <c r="H39" s="501" t="s">
        <v>757</v>
      </c>
      <c r="I39" s="493" t="s">
        <v>1553</v>
      </c>
      <c r="J39" s="501" t="s">
        <v>19</v>
      </c>
      <c r="K39" s="501" t="s">
        <v>750</v>
      </c>
      <c r="L39" s="501" t="s">
        <v>10</v>
      </c>
      <c r="M39" s="501" t="s">
        <v>757</v>
      </c>
    </row>
    <row r="40" customHeight="1" spans="2:13">
      <c r="B40" s="501" t="s">
        <v>765</v>
      </c>
      <c r="C40" s="500" t="s">
        <v>43</v>
      </c>
      <c r="D40" s="500" t="s">
        <v>38</v>
      </c>
      <c r="E40" s="500" t="s">
        <v>61</v>
      </c>
      <c r="F40" s="500" t="s">
        <v>1552</v>
      </c>
      <c r="G40" s="500" t="s">
        <v>742</v>
      </c>
      <c r="H40" s="501" t="s">
        <v>765</v>
      </c>
      <c r="I40" s="493" t="s">
        <v>1553</v>
      </c>
      <c r="J40" s="501" t="s">
        <v>19</v>
      </c>
      <c r="K40" s="501" t="s">
        <v>39</v>
      </c>
      <c r="L40" s="501" t="s">
        <v>757</v>
      </c>
      <c r="M40" s="501" t="s">
        <v>765</v>
      </c>
    </row>
    <row r="41" customHeight="1" spans="2:13">
      <c r="B41" s="501" t="s">
        <v>781</v>
      </c>
      <c r="C41" s="500" t="s">
        <v>43</v>
      </c>
      <c r="D41" s="500" t="s">
        <v>46</v>
      </c>
      <c r="E41" s="500" t="s">
        <v>61</v>
      </c>
      <c r="F41" s="500" t="s">
        <v>1552</v>
      </c>
      <c r="G41" s="500" t="s">
        <v>132</v>
      </c>
      <c r="H41" s="501" t="s">
        <v>781</v>
      </c>
      <c r="I41" s="493" t="s">
        <v>1553</v>
      </c>
      <c r="J41" s="501" t="s">
        <v>19</v>
      </c>
      <c r="K41" s="501" t="s">
        <v>740</v>
      </c>
      <c r="L41" s="501" t="s">
        <v>765</v>
      </c>
      <c r="M41" s="501" t="s">
        <v>781</v>
      </c>
    </row>
    <row r="42" customHeight="1" spans="2:13">
      <c r="B42" s="501" t="s">
        <v>777</v>
      </c>
      <c r="C42" s="500" t="s">
        <v>51</v>
      </c>
      <c r="D42" s="500" t="s">
        <v>53</v>
      </c>
      <c r="E42" s="500" t="s">
        <v>61</v>
      </c>
      <c r="F42" s="500" t="s">
        <v>1552</v>
      </c>
      <c r="G42" s="500" t="s">
        <v>710</v>
      </c>
      <c r="H42" s="501" t="s">
        <v>777</v>
      </c>
      <c r="I42" s="493" t="s">
        <v>1553</v>
      </c>
      <c r="J42" s="501" t="s">
        <v>9</v>
      </c>
      <c r="K42" s="501" t="s">
        <v>711</v>
      </c>
      <c r="L42" s="501" t="s">
        <v>739</v>
      </c>
      <c r="M42" s="501" t="s">
        <v>777</v>
      </c>
    </row>
    <row r="43" customHeight="1" spans="2:13">
      <c r="B43" s="501" t="s">
        <v>882</v>
      </c>
      <c r="C43" s="500" t="s">
        <v>38</v>
      </c>
      <c r="D43" s="500" t="s">
        <v>46</v>
      </c>
      <c r="E43" s="500" t="s">
        <v>61</v>
      </c>
      <c r="F43" s="500" t="s">
        <v>1552</v>
      </c>
      <c r="G43" s="500" t="s">
        <v>132</v>
      </c>
      <c r="H43" s="501" t="s">
        <v>882</v>
      </c>
      <c r="I43" s="493" t="s">
        <v>1553</v>
      </c>
      <c r="J43" s="501" t="s">
        <v>19</v>
      </c>
      <c r="K43" s="501" t="s">
        <v>750</v>
      </c>
      <c r="L43" s="501" t="s">
        <v>762</v>
      </c>
      <c r="M43" s="501" t="s">
        <v>882</v>
      </c>
    </row>
    <row r="44" customHeight="1" spans="2:13">
      <c r="B44" s="501" t="s">
        <v>860</v>
      </c>
      <c r="C44" s="500" t="s">
        <v>41</v>
      </c>
      <c r="D44" s="500" t="s">
        <v>46</v>
      </c>
      <c r="E44" s="500" t="s">
        <v>36</v>
      </c>
      <c r="F44" s="500" t="s">
        <v>1552</v>
      </c>
      <c r="G44" s="500" t="s">
        <v>701</v>
      </c>
      <c r="H44" s="501" t="s">
        <v>860</v>
      </c>
      <c r="I44" s="493" t="s">
        <v>1553</v>
      </c>
      <c r="J44" s="501" t="s">
        <v>9</v>
      </c>
      <c r="K44" s="501" t="s">
        <v>765</v>
      </c>
      <c r="L44" s="501" t="s">
        <v>3</v>
      </c>
      <c r="M44" s="501" t="s">
        <v>860</v>
      </c>
    </row>
    <row r="45" customHeight="1" spans="2:13">
      <c r="B45" s="501" t="s">
        <v>897</v>
      </c>
      <c r="C45" s="500" t="s">
        <v>51</v>
      </c>
      <c r="D45" s="500" t="s">
        <v>53</v>
      </c>
      <c r="E45" s="500" t="s">
        <v>43</v>
      </c>
      <c r="F45" s="500" t="s">
        <v>1552</v>
      </c>
      <c r="G45" s="500" t="s">
        <v>742</v>
      </c>
      <c r="H45" s="501" t="s">
        <v>897</v>
      </c>
      <c r="I45" s="493" t="s">
        <v>1553</v>
      </c>
      <c r="J45" s="501" t="s">
        <v>9</v>
      </c>
      <c r="K45" s="501" t="s">
        <v>767</v>
      </c>
      <c r="L45" s="501" t="s">
        <v>777</v>
      </c>
      <c r="M45" s="501" t="s">
        <v>897</v>
      </c>
    </row>
    <row r="46" customHeight="1" spans="2:13">
      <c r="B46" s="501" t="s">
        <v>866</v>
      </c>
      <c r="C46" s="500" t="s">
        <v>41</v>
      </c>
      <c r="D46" s="500" t="s">
        <v>61</v>
      </c>
      <c r="E46" s="500" t="s">
        <v>38</v>
      </c>
      <c r="F46" s="500" t="s">
        <v>1552</v>
      </c>
      <c r="G46" s="500" t="s">
        <v>132</v>
      </c>
      <c r="H46" s="501" t="s">
        <v>866</v>
      </c>
      <c r="I46" s="493" t="s">
        <v>1553</v>
      </c>
      <c r="J46" s="501" t="s">
        <v>19</v>
      </c>
      <c r="K46" s="501" t="s">
        <v>762</v>
      </c>
      <c r="L46" s="501" t="s">
        <v>781</v>
      </c>
      <c r="M46" s="501" t="s">
        <v>866</v>
      </c>
    </row>
    <row r="47" customHeight="1" spans="2:13">
      <c r="B47" s="501" t="s">
        <v>468</v>
      </c>
      <c r="C47" s="500" t="s">
        <v>58</v>
      </c>
      <c r="D47" s="500" t="s">
        <v>66</v>
      </c>
      <c r="E47" s="500" t="s">
        <v>56</v>
      </c>
      <c r="F47" s="500" t="s">
        <v>1552</v>
      </c>
      <c r="G47" s="500" t="s">
        <v>132</v>
      </c>
      <c r="H47" s="501" t="s">
        <v>468</v>
      </c>
      <c r="I47" s="493" t="s">
        <v>1553</v>
      </c>
      <c r="J47" s="501" t="s">
        <v>19</v>
      </c>
      <c r="K47" s="501" t="s">
        <v>10</v>
      </c>
      <c r="L47" s="501" t="s">
        <v>757</v>
      </c>
      <c r="M47" s="501" t="s">
        <v>468</v>
      </c>
    </row>
    <row r="48" customHeight="1" spans="2:13">
      <c r="B48" s="501" t="s">
        <v>473</v>
      </c>
      <c r="C48" s="500" t="s">
        <v>41</v>
      </c>
      <c r="D48" s="500" t="s">
        <v>51</v>
      </c>
      <c r="E48" s="500" t="s">
        <v>43</v>
      </c>
      <c r="F48" s="500" t="s">
        <v>1552</v>
      </c>
      <c r="G48" s="500" t="s">
        <v>132</v>
      </c>
      <c r="H48" s="501" t="s">
        <v>473</v>
      </c>
      <c r="I48" s="493" t="s">
        <v>1553</v>
      </c>
      <c r="J48" s="501" t="s">
        <v>9</v>
      </c>
      <c r="K48" s="501" t="s">
        <v>765</v>
      </c>
      <c r="L48" s="501" t="s">
        <v>764</v>
      </c>
      <c r="M48" s="501" t="s">
        <v>473</v>
      </c>
    </row>
    <row r="49" customHeight="1" spans="2:13">
      <c r="B49" s="501" t="s">
        <v>478</v>
      </c>
      <c r="C49" s="500" t="s">
        <v>62</v>
      </c>
      <c r="D49" s="500" t="s">
        <v>38</v>
      </c>
      <c r="E49" s="500" t="s">
        <v>36</v>
      </c>
      <c r="F49" s="500" t="s">
        <v>1552</v>
      </c>
      <c r="G49" s="501" t="s">
        <v>71</v>
      </c>
      <c r="H49" s="501" t="s">
        <v>478</v>
      </c>
      <c r="I49" s="493" t="s">
        <v>1553</v>
      </c>
      <c r="J49" s="501" t="s">
        <v>1553</v>
      </c>
      <c r="K49" s="501" t="s">
        <v>1553</v>
      </c>
      <c r="L49" s="501" t="s">
        <v>1553</v>
      </c>
      <c r="M49" s="501" t="s">
        <v>1553</v>
      </c>
    </row>
    <row r="50" customHeight="1" spans="2:13">
      <c r="B50" s="501" t="s">
        <v>870</v>
      </c>
      <c r="C50" s="500" t="s">
        <v>46</v>
      </c>
      <c r="D50" s="500" t="s">
        <v>61</v>
      </c>
      <c r="E50" s="500" t="s">
        <v>62</v>
      </c>
      <c r="F50" s="500" t="s">
        <v>1552</v>
      </c>
      <c r="G50" s="500" t="s">
        <v>132</v>
      </c>
      <c r="H50" s="501" t="s">
        <v>870</v>
      </c>
      <c r="I50" s="493" t="s">
        <v>1553</v>
      </c>
      <c r="J50" s="501" t="s">
        <v>39</v>
      </c>
      <c r="K50" s="501" t="s">
        <v>762</v>
      </c>
      <c r="L50" s="501" t="s">
        <v>761</v>
      </c>
      <c r="M50" s="501" t="s">
        <v>870</v>
      </c>
    </row>
    <row r="51" customHeight="1" spans="2:13">
      <c r="B51" s="501" t="s">
        <v>1556</v>
      </c>
      <c r="C51" s="500" t="s">
        <v>56</v>
      </c>
      <c r="D51" s="500" t="s">
        <v>66</v>
      </c>
      <c r="E51" s="500" t="s">
        <v>61</v>
      </c>
      <c r="F51" s="500" t="s">
        <v>1552</v>
      </c>
      <c r="G51" s="500" t="s">
        <v>710</v>
      </c>
      <c r="H51" s="501" t="s">
        <v>1556</v>
      </c>
      <c r="I51" s="493" t="s">
        <v>1553</v>
      </c>
      <c r="J51" s="501" t="s">
        <v>750</v>
      </c>
      <c r="K51" s="501" t="s">
        <v>860</v>
      </c>
      <c r="L51" s="501" t="s">
        <v>882</v>
      </c>
      <c r="M51" s="501" t="s">
        <v>1556</v>
      </c>
    </row>
    <row r="52" customHeight="1" spans="2:13">
      <c r="B52" s="501" t="s">
        <v>864</v>
      </c>
      <c r="C52" s="500" t="s">
        <v>46</v>
      </c>
      <c r="D52" s="500" t="s">
        <v>36</v>
      </c>
      <c r="E52" s="500" t="s">
        <v>62</v>
      </c>
      <c r="F52" s="500" t="s">
        <v>1552</v>
      </c>
      <c r="G52" s="500" t="s">
        <v>701</v>
      </c>
      <c r="H52" s="501" t="s">
        <v>864</v>
      </c>
      <c r="I52" s="493" t="s">
        <v>1553</v>
      </c>
      <c r="J52" s="501" t="s">
        <v>761</v>
      </c>
      <c r="K52" s="501" t="s">
        <v>897</v>
      </c>
      <c r="L52" s="501" t="s">
        <v>1556</v>
      </c>
      <c r="M52" s="501" t="s">
        <v>864</v>
      </c>
    </row>
    <row r="53" customHeight="1" spans="2:13">
      <c r="B53" s="501" t="s">
        <v>487</v>
      </c>
      <c r="C53" s="500" t="s">
        <v>61</v>
      </c>
      <c r="D53" s="500" t="s">
        <v>51</v>
      </c>
      <c r="E53" s="500" t="s">
        <v>43</v>
      </c>
      <c r="F53" s="500" t="s">
        <v>1552</v>
      </c>
      <c r="G53" s="500" t="s">
        <v>132</v>
      </c>
      <c r="H53" s="501" t="s">
        <v>487</v>
      </c>
      <c r="I53" s="493" t="s">
        <v>1553</v>
      </c>
      <c r="J53" s="501" t="s">
        <v>762</v>
      </c>
      <c r="K53" s="501" t="s">
        <v>870</v>
      </c>
      <c r="L53" s="501" t="s">
        <v>1556</v>
      </c>
      <c r="M53" s="501" t="s">
        <v>487</v>
      </c>
    </row>
    <row r="54" customHeight="1" spans="2:13">
      <c r="B54" s="501" t="s">
        <v>496</v>
      </c>
      <c r="C54" s="500" t="s">
        <v>46</v>
      </c>
      <c r="D54" s="500" t="s">
        <v>36</v>
      </c>
      <c r="E54" s="500" t="s">
        <v>38</v>
      </c>
      <c r="F54" s="500" t="s">
        <v>1552</v>
      </c>
      <c r="G54" s="500" t="s">
        <v>132</v>
      </c>
      <c r="H54" s="501" t="s">
        <v>496</v>
      </c>
      <c r="I54" s="493" t="s">
        <v>1553</v>
      </c>
      <c r="J54" s="501" t="s">
        <v>739</v>
      </c>
      <c r="K54" s="501" t="s">
        <v>860</v>
      </c>
      <c r="L54" s="501" t="s">
        <v>870</v>
      </c>
      <c r="M54" s="501" t="s">
        <v>496</v>
      </c>
    </row>
    <row r="55" customHeight="1" spans="2:13">
      <c r="B55" s="501" t="s">
        <v>500</v>
      </c>
      <c r="C55" s="500" t="s">
        <v>51</v>
      </c>
      <c r="D55" s="500" t="s">
        <v>41</v>
      </c>
      <c r="E55" s="500" t="s">
        <v>61</v>
      </c>
      <c r="F55" s="500" t="s">
        <v>1552</v>
      </c>
      <c r="G55" s="500" t="s">
        <v>132</v>
      </c>
      <c r="H55" s="501" t="s">
        <v>500</v>
      </c>
      <c r="I55" s="493" t="s">
        <v>1553</v>
      </c>
      <c r="J55" s="501" t="s">
        <v>781</v>
      </c>
      <c r="K55" s="501" t="s">
        <v>777</v>
      </c>
      <c r="L55" s="501" t="s">
        <v>711</v>
      </c>
      <c r="M55" s="501" t="s">
        <v>740</v>
      </c>
    </row>
    <row r="56" customHeight="1" spans="2:13">
      <c r="B56" s="501" t="s">
        <v>509</v>
      </c>
      <c r="C56" s="500" t="s">
        <v>62</v>
      </c>
      <c r="D56" s="500" t="s">
        <v>38</v>
      </c>
      <c r="E56" s="500" t="s">
        <v>36</v>
      </c>
      <c r="F56" s="500" t="s">
        <v>1552</v>
      </c>
      <c r="G56" s="501" t="s">
        <v>71</v>
      </c>
      <c r="H56" s="501" t="s">
        <v>509</v>
      </c>
      <c r="I56" s="493" t="s">
        <v>1553</v>
      </c>
      <c r="J56" s="501" t="s">
        <v>762</v>
      </c>
      <c r="K56" s="501" t="s">
        <v>870</v>
      </c>
      <c r="L56" s="501" t="s">
        <v>1556</v>
      </c>
      <c r="M56" s="501" t="s">
        <v>509</v>
      </c>
    </row>
    <row r="57" customHeight="1" spans="2:13">
      <c r="B57" s="501" t="s">
        <v>1554</v>
      </c>
      <c r="C57" s="500" t="s">
        <v>46</v>
      </c>
      <c r="D57" s="500" t="s">
        <v>36</v>
      </c>
      <c r="E57" s="500" t="s">
        <v>62</v>
      </c>
      <c r="F57" s="500" t="s">
        <v>1552</v>
      </c>
      <c r="G57" s="500" t="s">
        <v>132</v>
      </c>
      <c r="H57" s="501" t="s">
        <v>1554</v>
      </c>
      <c r="I57" s="493" t="s">
        <v>1553</v>
      </c>
      <c r="J57" s="501" t="s">
        <v>740</v>
      </c>
      <c r="K57" s="501" t="s">
        <v>10</v>
      </c>
      <c r="L57" s="501" t="s">
        <v>3</v>
      </c>
      <c r="M57" s="501" t="s">
        <v>1554</v>
      </c>
    </row>
    <row r="58" s="493" customFormat="1" customHeight="1" spans="2:13">
      <c r="B58" s="501" t="s">
        <v>1558</v>
      </c>
      <c r="C58" s="500" t="s">
        <v>46</v>
      </c>
      <c r="D58" s="500" t="s">
        <v>56</v>
      </c>
      <c r="E58" s="500" t="s">
        <v>62</v>
      </c>
      <c r="F58" s="500" t="s">
        <v>1552</v>
      </c>
      <c r="G58" s="500" t="s">
        <v>117</v>
      </c>
      <c r="H58" s="501" t="s">
        <v>1558</v>
      </c>
      <c r="I58" s="493" t="s">
        <v>1553</v>
      </c>
      <c r="J58" s="501" t="s">
        <v>711</v>
      </c>
      <c r="K58" s="501" t="s">
        <v>14</v>
      </c>
      <c r="L58" s="501" t="s">
        <v>755</v>
      </c>
      <c r="M58" s="501" t="s">
        <v>1558</v>
      </c>
    </row>
    <row r="59" s="493" customFormat="1" customHeight="1" spans="2:13">
      <c r="B59" s="501" t="s">
        <v>1555</v>
      </c>
      <c r="C59" s="500" t="s">
        <v>36</v>
      </c>
      <c r="D59" s="500" t="s">
        <v>41</v>
      </c>
      <c r="E59" s="500" t="s">
        <v>62</v>
      </c>
      <c r="F59" s="500" t="s">
        <v>1552</v>
      </c>
      <c r="G59" s="500" t="s">
        <v>132</v>
      </c>
      <c r="H59" s="501" t="s">
        <v>1555</v>
      </c>
      <c r="I59" s="493" t="s">
        <v>1553</v>
      </c>
      <c r="J59" s="501" t="s">
        <v>1559</v>
      </c>
      <c r="K59" s="501" t="s">
        <v>9</v>
      </c>
      <c r="L59" s="501" t="s">
        <v>765</v>
      </c>
      <c r="M59" s="501" t="s">
        <v>1555</v>
      </c>
    </row>
    <row r="60" s="493" customFormat="1" customHeight="1" spans="2:13">
      <c r="B60" s="501" t="s">
        <v>517</v>
      </c>
      <c r="C60" s="500" t="s">
        <v>46</v>
      </c>
      <c r="D60" s="500" t="s">
        <v>61</v>
      </c>
      <c r="E60" s="500" t="s">
        <v>43</v>
      </c>
      <c r="F60" s="500" t="s">
        <v>1552</v>
      </c>
      <c r="G60" s="500" t="s">
        <v>132</v>
      </c>
      <c r="H60" s="501" t="s">
        <v>517</v>
      </c>
      <c r="I60" s="493" t="s">
        <v>1553</v>
      </c>
      <c r="J60" s="501" t="s">
        <v>864</v>
      </c>
      <c r="K60" s="501" t="s">
        <v>755</v>
      </c>
      <c r="L60" s="501" t="s">
        <v>3</v>
      </c>
      <c r="M60" s="501" t="s">
        <v>517</v>
      </c>
    </row>
    <row r="61" s="493" customFormat="1" customHeight="1" spans="2:13">
      <c r="B61" s="501" t="s">
        <v>1560</v>
      </c>
      <c r="C61" s="500" t="s">
        <v>43</v>
      </c>
      <c r="D61" s="500" t="s">
        <v>41</v>
      </c>
      <c r="E61" s="500" t="s">
        <v>61</v>
      </c>
      <c r="F61" s="500" t="s">
        <v>1552</v>
      </c>
      <c r="G61" s="500" t="s">
        <v>710</v>
      </c>
      <c r="H61" s="501" t="s">
        <v>1560</v>
      </c>
      <c r="I61" s="493" t="s">
        <v>1553</v>
      </c>
      <c r="J61" s="501" t="s">
        <v>866</v>
      </c>
      <c r="K61" s="501" t="s">
        <v>767</v>
      </c>
      <c r="L61" s="501" t="s">
        <v>1556</v>
      </c>
      <c r="M61" s="501" t="s">
        <v>1560</v>
      </c>
    </row>
    <row r="62" s="493" customFormat="1" customHeight="1" spans="2:13">
      <c r="B62" s="501" t="s">
        <v>521</v>
      </c>
      <c r="C62" s="500" t="s">
        <v>53</v>
      </c>
      <c r="D62" s="500" t="s">
        <v>58</v>
      </c>
      <c r="E62" s="500" t="s">
        <v>36</v>
      </c>
      <c r="F62" s="500" t="s">
        <v>1552</v>
      </c>
      <c r="G62" s="500" t="s">
        <v>132</v>
      </c>
      <c r="H62" s="501" t="s">
        <v>521</v>
      </c>
      <c r="I62" s="493" t="s">
        <v>1553</v>
      </c>
      <c r="J62" s="501" t="s">
        <v>739</v>
      </c>
      <c r="K62" s="501" t="s">
        <v>761</v>
      </c>
      <c r="L62" s="501" t="s">
        <v>864</v>
      </c>
      <c r="M62" s="501" t="s">
        <v>521</v>
      </c>
    </row>
    <row r="63" s="493" customFormat="1" customHeight="1" spans="2:13">
      <c r="B63" s="501" t="s">
        <v>528</v>
      </c>
      <c r="C63" s="500" t="s">
        <v>38</v>
      </c>
      <c r="D63" s="500" t="s">
        <v>62</v>
      </c>
      <c r="E63" s="500" t="s">
        <v>46</v>
      </c>
      <c r="F63" s="500" t="s">
        <v>1552</v>
      </c>
      <c r="G63" s="500" t="s">
        <v>710</v>
      </c>
      <c r="H63" s="501" t="s">
        <v>528</v>
      </c>
      <c r="I63" s="493" t="s">
        <v>1553</v>
      </c>
      <c r="J63" s="501" t="s">
        <v>897</v>
      </c>
      <c r="K63" s="501" t="s">
        <v>870</v>
      </c>
      <c r="L63" s="501" t="s">
        <v>1555</v>
      </c>
      <c r="M63" s="501" t="s">
        <v>528</v>
      </c>
    </row>
    <row r="64" s="493" customFormat="1" customHeight="1" spans="2:13">
      <c r="B64" s="501" t="s">
        <v>916</v>
      </c>
      <c r="C64" s="500" t="s">
        <v>58</v>
      </c>
      <c r="D64" s="500" t="s">
        <v>41</v>
      </c>
      <c r="E64" s="500" t="s">
        <v>43</v>
      </c>
      <c r="F64" s="500" t="s">
        <v>1552</v>
      </c>
      <c r="G64" s="500" t="s">
        <v>132</v>
      </c>
      <c r="H64" s="501" t="s">
        <v>916</v>
      </c>
      <c r="I64" s="493" t="s">
        <v>1553</v>
      </c>
      <c r="J64" s="501" t="s">
        <v>755</v>
      </c>
      <c r="K64" s="501" t="s">
        <v>860</v>
      </c>
      <c r="L64" s="501" t="s">
        <v>870</v>
      </c>
      <c r="M64" s="501" t="s">
        <v>916</v>
      </c>
    </row>
    <row r="65" s="493" customFormat="1" customHeight="1" spans="2:13">
      <c r="B65" s="501" t="s">
        <v>1561</v>
      </c>
      <c r="C65" s="500" t="s">
        <v>46</v>
      </c>
      <c r="D65" s="500" t="s">
        <v>38</v>
      </c>
      <c r="E65" s="500" t="s">
        <v>62</v>
      </c>
      <c r="F65" s="500" t="s">
        <v>1552</v>
      </c>
      <c r="G65" s="500" t="s">
        <v>710</v>
      </c>
      <c r="H65" s="501" t="s">
        <v>1561</v>
      </c>
      <c r="I65" s="493" t="s">
        <v>1553</v>
      </c>
      <c r="J65" s="501" t="s">
        <v>59</v>
      </c>
      <c r="K65" s="501" t="s">
        <v>864</v>
      </c>
      <c r="L65" s="501" t="s">
        <v>1560</v>
      </c>
      <c r="M65" s="501" t="s">
        <v>1561</v>
      </c>
    </row>
    <row r="66" s="493" customFormat="1" customHeight="1" spans="2:13">
      <c r="B66" s="501" t="s">
        <v>1562</v>
      </c>
      <c r="C66" s="500" t="s">
        <v>53</v>
      </c>
      <c r="D66" s="500" t="s">
        <v>43</v>
      </c>
      <c r="E66" s="500" t="s">
        <v>56</v>
      </c>
      <c r="F66" s="500" t="s">
        <v>1552</v>
      </c>
      <c r="G66" s="500" t="s">
        <v>713</v>
      </c>
      <c r="H66" s="501" t="s">
        <v>1562</v>
      </c>
      <c r="I66" s="493" t="s">
        <v>1553</v>
      </c>
      <c r="J66" s="501" t="s">
        <v>765</v>
      </c>
      <c r="K66" s="501" t="s">
        <v>764</v>
      </c>
      <c r="L66" s="501" t="s">
        <v>870</v>
      </c>
      <c r="M66" s="501" t="s">
        <v>1562</v>
      </c>
    </row>
    <row r="67" s="493" customFormat="1" customHeight="1" spans="2:13">
      <c r="B67" s="501" t="s">
        <v>1563</v>
      </c>
      <c r="C67" s="500" t="s">
        <v>53</v>
      </c>
      <c r="D67" s="500" t="s">
        <v>51</v>
      </c>
      <c r="E67" s="500" t="s">
        <v>66</v>
      </c>
      <c r="F67" s="500" t="s">
        <v>1552</v>
      </c>
      <c r="G67" s="500" t="s">
        <v>132</v>
      </c>
      <c r="H67" s="501" t="s">
        <v>1563</v>
      </c>
      <c r="I67" s="493" t="s">
        <v>1553</v>
      </c>
      <c r="J67" s="501" t="s">
        <v>860</v>
      </c>
      <c r="K67" s="501" t="s">
        <v>757</v>
      </c>
      <c r="L67" s="501" t="s">
        <v>1560</v>
      </c>
      <c r="M67" s="501" t="s">
        <v>1563</v>
      </c>
    </row>
    <row r="68" s="493" customFormat="1" customHeight="1" spans="2:13">
      <c r="B68" s="501" t="s">
        <v>1564</v>
      </c>
      <c r="C68" s="500" t="s">
        <v>46</v>
      </c>
      <c r="D68" s="500" t="s">
        <v>62</v>
      </c>
      <c r="E68" s="500" t="s">
        <v>66</v>
      </c>
      <c r="F68" s="500" t="s">
        <v>1552</v>
      </c>
      <c r="G68" s="500" t="s">
        <v>132</v>
      </c>
      <c r="H68" s="501" t="s">
        <v>1564</v>
      </c>
      <c r="I68" s="493" t="s">
        <v>1553</v>
      </c>
      <c r="J68" s="501"/>
      <c r="K68" s="501"/>
      <c r="L68" s="501"/>
      <c r="M68" s="501" t="s">
        <v>1564</v>
      </c>
    </row>
    <row r="69" s="493" customFormat="1" customHeight="1" spans="2:13">
      <c r="C69" s="500"/>
      <c r="D69" s="500"/>
      <c r="E69" s="500"/>
      <c r="F69" s="500"/>
      <c r="G69" s="500"/>
      <c r="H69" s="501"/>
      <c r="J69" s="501"/>
      <c r="K69" s="501"/>
      <c r="L69" s="501"/>
      <c r="M69" s="501"/>
    </row>
    <row r="70" s="493" customFormat="1" customHeight="1"/>
    <row r="71" customHeight="1" spans="2:13">
      <c r="B71" s="27" t="s">
        <v>1565</v>
      </c>
      <c r="C71" s="27" t="s">
        <v>1524</v>
      </c>
      <c r="D71" s="27" t="s">
        <v>1525</v>
      </c>
      <c r="E71" s="27" t="s">
        <v>1526</v>
      </c>
      <c r="F71" s="27" t="s">
        <v>1527</v>
      </c>
      <c r="G71" s="27" t="s">
        <v>1528</v>
      </c>
      <c r="H71" s="27" t="s">
        <v>1529</v>
      </c>
      <c r="I71" s="27" t="s">
        <v>1530</v>
      </c>
      <c r="J71" s="27" t="s">
        <v>1531</v>
      </c>
      <c r="K71" s="27" t="s">
        <v>1532</v>
      </c>
      <c r="L71" s="27" t="s">
        <v>1533</v>
      </c>
      <c r="M71" s="27" t="s">
        <v>1534</v>
      </c>
    </row>
    <row r="72" customHeight="1" spans="2:13">
      <c r="B72" s="503" t="s">
        <v>155</v>
      </c>
      <c r="C72" s="500" t="s">
        <v>155</v>
      </c>
      <c r="D72" s="500" t="s">
        <v>47</v>
      </c>
      <c r="E72" s="500" t="s">
        <v>147</v>
      </c>
      <c r="F72" s="500" t="s">
        <v>1566</v>
      </c>
      <c r="G72" s="500" t="s">
        <v>110</v>
      </c>
      <c r="H72" s="501" t="s">
        <v>18</v>
      </c>
      <c r="I72" s="493" t="s">
        <v>1553</v>
      </c>
      <c r="J72" s="501" t="s">
        <v>18</v>
      </c>
      <c r="K72" s="501" t="s">
        <v>707</v>
      </c>
      <c r="L72" s="501" t="s">
        <v>24</v>
      </c>
      <c r="M72" s="501" t="s">
        <v>13</v>
      </c>
    </row>
    <row r="73" customHeight="1" spans="2:13">
      <c r="B73" s="503" t="s">
        <v>147</v>
      </c>
      <c r="C73" s="500" t="s">
        <v>155</v>
      </c>
      <c r="D73" s="500" t="s">
        <v>47</v>
      </c>
      <c r="E73" s="500" t="s">
        <v>147</v>
      </c>
      <c r="F73" s="500" t="s">
        <v>1566</v>
      </c>
      <c r="G73" s="500" t="s">
        <v>110</v>
      </c>
      <c r="H73" s="501" t="s">
        <v>18</v>
      </c>
      <c r="I73" s="493" t="s">
        <v>1553</v>
      </c>
      <c r="J73" s="501" t="s">
        <v>2</v>
      </c>
      <c r="K73" s="501" t="s">
        <v>707</v>
      </c>
      <c r="L73" s="501" t="s">
        <v>24</v>
      </c>
      <c r="M73" s="501" t="s">
        <v>698</v>
      </c>
    </row>
    <row r="74" customHeight="1" spans="2:13">
      <c r="B74" s="501" t="s">
        <v>731</v>
      </c>
      <c r="C74" s="500" t="s">
        <v>155</v>
      </c>
      <c r="D74" s="500" t="s">
        <v>47</v>
      </c>
      <c r="E74" s="500" t="s">
        <v>147</v>
      </c>
      <c r="F74" s="500" t="s">
        <v>1566</v>
      </c>
      <c r="G74" s="500" t="s">
        <v>110</v>
      </c>
      <c r="H74" s="501" t="s">
        <v>18</v>
      </c>
      <c r="I74" s="493" t="s">
        <v>1553</v>
      </c>
      <c r="J74" s="501" t="s">
        <v>18</v>
      </c>
      <c r="K74" s="501" t="s">
        <v>13</v>
      </c>
      <c r="L74" s="501" t="s">
        <v>766</v>
      </c>
      <c r="M74" s="501" t="s">
        <v>731</v>
      </c>
    </row>
    <row r="75" customHeight="1" spans="2:13">
      <c r="B75" s="501" t="s">
        <v>13</v>
      </c>
      <c r="C75" s="500" t="s">
        <v>155</v>
      </c>
      <c r="D75" s="500" t="s">
        <v>47</v>
      </c>
      <c r="E75" s="500" t="s">
        <v>147</v>
      </c>
      <c r="F75" s="500" t="s">
        <v>1566</v>
      </c>
      <c r="G75" s="500" t="s">
        <v>121</v>
      </c>
      <c r="H75" s="501" t="s">
        <v>13</v>
      </c>
      <c r="I75" s="493" t="s">
        <v>1553</v>
      </c>
      <c r="J75" s="501" t="s">
        <v>18</v>
      </c>
      <c r="K75" s="501" t="s">
        <v>698</v>
      </c>
      <c r="L75" s="501" t="s">
        <v>766</v>
      </c>
      <c r="M75" s="501" t="s">
        <v>13</v>
      </c>
    </row>
    <row r="76" customHeight="1" spans="2:13">
      <c r="B76" s="501" t="s">
        <v>18</v>
      </c>
      <c r="C76" s="500" t="s">
        <v>155</v>
      </c>
      <c r="D76" s="500" t="s">
        <v>47</v>
      </c>
      <c r="E76" s="500" t="s">
        <v>147</v>
      </c>
      <c r="F76" s="500" t="s">
        <v>1566</v>
      </c>
      <c r="G76" s="500" t="s">
        <v>110</v>
      </c>
      <c r="H76" s="501" t="s">
        <v>18</v>
      </c>
      <c r="I76" s="493" t="s">
        <v>1553</v>
      </c>
      <c r="J76" s="501" t="s">
        <v>2</v>
      </c>
      <c r="K76" s="501" t="s">
        <v>22</v>
      </c>
      <c r="L76" s="501" t="s">
        <v>766</v>
      </c>
      <c r="M76" s="501" t="s">
        <v>18</v>
      </c>
    </row>
    <row r="77" customHeight="1" spans="2:13">
      <c r="B77" s="501" t="s">
        <v>698</v>
      </c>
      <c r="C77" s="500" t="s">
        <v>155</v>
      </c>
      <c r="D77" s="500" t="s">
        <v>47</v>
      </c>
      <c r="E77" s="500" t="s">
        <v>147</v>
      </c>
      <c r="F77" s="500" t="s">
        <v>1566</v>
      </c>
      <c r="G77" s="500" t="s">
        <v>135</v>
      </c>
      <c r="H77" s="501" t="s">
        <v>2</v>
      </c>
      <c r="I77" s="493" t="s">
        <v>1553</v>
      </c>
      <c r="J77" s="501" t="s">
        <v>18</v>
      </c>
      <c r="K77" s="501" t="s">
        <v>22</v>
      </c>
      <c r="L77" s="501" t="s">
        <v>766</v>
      </c>
      <c r="M77" s="501" t="s">
        <v>698</v>
      </c>
    </row>
    <row r="78" customHeight="1" spans="2:13">
      <c r="B78" s="501" t="s">
        <v>707</v>
      </c>
      <c r="C78" s="500" t="s">
        <v>155</v>
      </c>
      <c r="D78" s="500" t="s">
        <v>47</v>
      </c>
      <c r="E78" s="500" t="s">
        <v>147</v>
      </c>
      <c r="F78" s="500" t="s">
        <v>1566</v>
      </c>
      <c r="G78" s="500" t="s">
        <v>709</v>
      </c>
      <c r="H78" s="501" t="s">
        <v>707</v>
      </c>
      <c r="I78" s="493" t="s">
        <v>1553</v>
      </c>
      <c r="J78" s="501" t="s">
        <v>2</v>
      </c>
      <c r="K78" s="501" t="s">
        <v>731</v>
      </c>
      <c r="L78" s="501" t="s">
        <v>24</v>
      </c>
      <c r="M78" s="501" t="s">
        <v>707</v>
      </c>
    </row>
    <row r="79" customHeight="1" spans="2:13">
      <c r="B79" s="501" t="s">
        <v>2</v>
      </c>
      <c r="C79" s="500" t="s">
        <v>155</v>
      </c>
      <c r="D79" s="500" t="s">
        <v>47</v>
      </c>
      <c r="E79" s="500" t="s">
        <v>147</v>
      </c>
      <c r="F79" s="500" t="s">
        <v>1566</v>
      </c>
      <c r="G79" s="500" t="s">
        <v>135</v>
      </c>
      <c r="H79" s="501" t="s">
        <v>2</v>
      </c>
      <c r="I79" s="493" t="s">
        <v>1553</v>
      </c>
      <c r="J79" s="501" t="s">
        <v>18</v>
      </c>
      <c r="K79" s="501" t="s">
        <v>13</v>
      </c>
      <c r="L79" s="501" t="s">
        <v>766</v>
      </c>
      <c r="M79" s="501" t="s">
        <v>2</v>
      </c>
    </row>
    <row r="80" customHeight="1" spans="2:13">
      <c r="B80" s="501" t="s">
        <v>466</v>
      </c>
      <c r="C80" s="500" t="s">
        <v>155</v>
      </c>
      <c r="D80" s="500" t="s">
        <v>47</v>
      </c>
      <c r="E80" s="500" t="s">
        <v>147</v>
      </c>
      <c r="F80" s="500" t="s">
        <v>1566</v>
      </c>
      <c r="G80" s="500" t="s">
        <v>135</v>
      </c>
      <c r="H80" s="501" t="s">
        <v>2</v>
      </c>
      <c r="I80" s="493" t="s">
        <v>1553</v>
      </c>
      <c r="J80" s="501" t="s">
        <v>2</v>
      </c>
      <c r="K80" s="501" t="s">
        <v>698</v>
      </c>
      <c r="L80" s="501" t="s">
        <v>24</v>
      </c>
      <c r="M80" s="501" t="s">
        <v>766</v>
      </c>
    </row>
    <row r="81" customHeight="1" spans="2:13">
      <c r="B81" s="501" t="s">
        <v>22</v>
      </c>
      <c r="C81" s="500" t="s">
        <v>155</v>
      </c>
      <c r="D81" s="500" t="s">
        <v>47</v>
      </c>
      <c r="E81" s="500" t="s">
        <v>147</v>
      </c>
      <c r="F81" s="500" t="s">
        <v>1566</v>
      </c>
      <c r="G81" s="500" t="s">
        <v>699</v>
      </c>
      <c r="H81" s="501" t="s">
        <v>22</v>
      </c>
      <c r="I81" s="493" t="s">
        <v>1553</v>
      </c>
      <c r="J81" s="501" t="s">
        <v>18</v>
      </c>
      <c r="K81" s="501" t="s">
        <v>731</v>
      </c>
      <c r="L81" s="501" t="s">
        <v>24</v>
      </c>
      <c r="M81" s="501" t="s">
        <v>22</v>
      </c>
    </row>
    <row r="82" customHeight="1" spans="2:13">
      <c r="B82" s="501" t="s">
        <v>24</v>
      </c>
      <c r="C82" s="500" t="s">
        <v>155</v>
      </c>
      <c r="D82" s="500" t="s">
        <v>47</v>
      </c>
      <c r="E82" s="500" t="s">
        <v>147</v>
      </c>
      <c r="F82" s="500" t="s">
        <v>1566</v>
      </c>
      <c r="G82" s="500" t="s">
        <v>709</v>
      </c>
      <c r="H82" s="501" t="s">
        <v>24</v>
      </c>
      <c r="I82" s="493" t="s">
        <v>1553</v>
      </c>
      <c r="J82" s="501" t="s">
        <v>2</v>
      </c>
      <c r="K82" s="501" t="s">
        <v>707</v>
      </c>
      <c r="L82" s="501" t="s">
        <v>766</v>
      </c>
      <c r="M82" s="501" t="s">
        <v>24</v>
      </c>
    </row>
    <row r="83" customHeight="1" spans="2:13">
      <c r="B83" s="501" t="s">
        <v>470</v>
      </c>
      <c r="C83" s="500" t="s">
        <v>155</v>
      </c>
      <c r="D83" s="500" t="s">
        <v>47</v>
      </c>
      <c r="E83" s="500" t="s">
        <v>147</v>
      </c>
      <c r="F83" s="500" t="s">
        <v>1567</v>
      </c>
      <c r="G83" s="501" t="s">
        <v>708</v>
      </c>
      <c r="H83" s="501" t="s">
        <v>470</v>
      </c>
      <c r="I83" s="493" t="s">
        <v>1553</v>
      </c>
      <c r="J83" s="501" t="s">
        <v>18</v>
      </c>
      <c r="K83" s="501" t="s">
        <v>13</v>
      </c>
      <c r="L83" s="501" t="s">
        <v>766</v>
      </c>
      <c r="M83" s="501" t="s">
        <v>707</v>
      </c>
    </row>
    <row r="84" customHeight="1" spans="2:13">
      <c r="B84" s="501" t="s">
        <v>474</v>
      </c>
      <c r="C84" s="500" t="s">
        <v>155</v>
      </c>
      <c r="D84" s="500" t="s">
        <v>47</v>
      </c>
      <c r="E84" s="500" t="s">
        <v>147</v>
      </c>
      <c r="F84" s="500" t="s">
        <v>1567</v>
      </c>
      <c r="G84" s="501" t="s">
        <v>720</v>
      </c>
      <c r="H84" s="501" t="s">
        <v>731</v>
      </c>
      <c r="I84" s="493" t="s">
        <v>1553</v>
      </c>
      <c r="J84" s="501" t="s">
        <v>18</v>
      </c>
      <c r="K84" s="501" t="s">
        <v>698</v>
      </c>
      <c r="L84" s="501" t="s">
        <v>22</v>
      </c>
      <c r="M84" s="501" t="s">
        <v>731</v>
      </c>
    </row>
    <row r="85" customHeight="1" spans="2:13">
      <c r="B85" s="501" t="s">
        <v>766</v>
      </c>
      <c r="C85" s="500" t="s">
        <v>155</v>
      </c>
      <c r="D85" s="500" t="s">
        <v>47</v>
      </c>
      <c r="E85" s="500" t="s">
        <v>147</v>
      </c>
      <c r="F85" s="500" t="s">
        <v>1566</v>
      </c>
      <c r="G85" s="500" t="s">
        <v>125</v>
      </c>
      <c r="H85" s="501" t="s">
        <v>766</v>
      </c>
      <c r="I85" s="493" t="s">
        <v>1553</v>
      </c>
      <c r="J85" s="501" t="s">
        <v>2</v>
      </c>
      <c r="K85" s="501" t="s">
        <v>698</v>
      </c>
      <c r="L85" s="501" t="s">
        <v>24</v>
      </c>
      <c r="M85" s="501" t="s">
        <v>766</v>
      </c>
    </row>
    <row r="86" customHeight="1" spans="2:13">
      <c r="B86" s="501" t="s">
        <v>482</v>
      </c>
      <c r="C86" s="500" t="s">
        <v>155</v>
      </c>
      <c r="D86" s="500" t="s">
        <v>47</v>
      </c>
      <c r="E86" s="500" t="s">
        <v>147</v>
      </c>
      <c r="F86" s="500" t="s">
        <v>1567</v>
      </c>
      <c r="G86" s="501" t="s">
        <v>720</v>
      </c>
      <c r="H86" s="501" t="s">
        <v>731</v>
      </c>
      <c r="I86" s="493" t="s">
        <v>1553</v>
      </c>
      <c r="J86" s="501" t="s">
        <v>18</v>
      </c>
      <c r="K86" s="501" t="s">
        <v>698</v>
      </c>
      <c r="L86" s="501" t="s">
        <v>22</v>
      </c>
      <c r="M86" s="501" t="s">
        <v>731</v>
      </c>
    </row>
    <row r="87" customHeight="1" spans="2:13">
      <c r="B87" s="501" t="s">
        <v>903</v>
      </c>
      <c r="C87" s="500" t="s">
        <v>155</v>
      </c>
      <c r="D87" s="500" t="s">
        <v>47</v>
      </c>
      <c r="E87" s="500" t="s">
        <v>147</v>
      </c>
      <c r="F87" s="500" t="s">
        <v>1566</v>
      </c>
      <c r="G87" s="500" t="s">
        <v>709</v>
      </c>
      <c r="H87" s="501" t="s">
        <v>903</v>
      </c>
      <c r="I87" s="493" t="s">
        <v>1553</v>
      </c>
      <c r="J87" s="501" t="s">
        <v>13</v>
      </c>
      <c r="K87" s="501" t="s">
        <v>707</v>
      </c>
      <c r="L87" s="501" t="s">
        <v>24</v>
      </c>
      <c r="M87" s="501" t="s">
        <v>903</v>
      </c>
    </row>
    <row r="88" customHeight="1" spans="2:13">
      <c r="B88" s="501" t="s">
        <v>492</v>
      </c>
      <c r="C88" s="500" t="s">
        <v>155</v>
      </c>
      <c r="D88" s="500" t="s">
        <v>47</v>
      </c>
      <c r="E88" s="500" t="s">
        <v>147</v>
      </c>
      <c r="F88" s="500" t="s">
        <v>1566</v>
      </c>
      <c r="G88" s="500" t="s">
        <v>709</v>
      </c>
      <c r="H88" s="501" t="s">
        <v>492</v>
      </c>
      <c r="I88" s="493" t="s">
        <v>1553</v>
      </c>
      <c r="J88" s="501" t="s">
        <v>2</v>
      </c>
      <c r="K88" s="501" t="s">
        <v>903</v>
      </c>
      <c r="L88" s="501" t="s">
        <v>24</v>
      </c>
      <c r="M88" s="501" t="s">
        <v>492</v>
      </c>
    </row>
    <row r="89" customHeight="1" spans="2:13">
      <c r="B89" s="501" t="s">
        <v>498</v>
      </c>
      <c r="C89" s="500" t="s">
        <v>155</v>
      </c>
      <c r="D89" s="500" t="s">
        <v>47</v>
      </c>
      <c r="E89" s="500" t="s">
        <v>147</v>
      </c>
      <c r="F89" s="500" t="s">
        <v>1566</v>
      </c>
      <c r="G89" s="500" t="s">
        <v>125</v>
      </c>
      <c r="H89" s="501" t="s">
        <v>498</v>
      </c>
      <c r="I89" s="493" t="s">
        <v>1553</v>
      </c>
      <c r="J89" s="501" t="s">
        <v>18</v>
      </c>
      <c r="K89" s="501" t="s">
        <v>13</v>
      </c>
      <c r="L89" s="501" t="s">
        <v>22</v>
      </c>
      <c r="M89" s="501" t="s">
        <v>498</v>
      </c>
    </row>
    <row r="90" customHeight="1" spans="2:13">
      <c r="B90" s="501" t="s">
        <v>502</v>
      </c>
      <c r="C90" s="500" t="s">
        <v>155</v>
      </c>
      <c r="D90" s="500" t="s">
        <v>47</v>
      </c>
      <c r="E90" s="500" t="s">
        <v>147</v>
      </c>
      <c r="F90" s="500" t="s">
        <v>1567</v>
      </c>
      <c r="G90" s="500" t="s">
        <v>699</v>
      </c>
      <c r="H90" s="501" t="s">
        <v>502</v>
      </c>
      <c r="I90" s="493" t="s">
        <v>1553</v>
      </c>
      <c r="J90" s="501" t="s">
        <v>1553</v>
      </c>
      <c r="K90" s="501" t="s">
        <v>1553</v>
      </c>
      <c r="L90" s="501" t="s">
        <v>1553</v>
      </c>
      <c r="M90" s="501" t="s">
        <v>1553</v>
      </c>
    </row>
    <row r="91" customHeight="1" spans="2:13">
      <c r="B91" s="501" t="s">
        <v>907</v>
      </c>
      <c r="C91" s="500" t="s">
        <v>155</v>
      </c>
      <c r="D91" s="500" t="s">
        <v>47</v>
      </c>
      <c r="E91" s="500" t="s">
        <v>147</v>
      </c>
      <c r="F91" s="500" t="s">
        <v>1566</v>
      </c>
      <c r="G91" s="500" t="s">
        <v>125</v>
      </c>
      <c r="H91" s="501" t="s">
        <v>907</v>
      </c>
      <c r="I91" s="493" t="s">
        <v>1553</v>
      </c>
      <c r="J91" s="501" t="s">
        <v>2</v>
      </c>
      <c r="K91" s="501" t="s">
        <v>698</v>
      </c>
      <c r="L91" s="501" t="s">
        <v>22</v>
      </c>
      <c r="M91" s="501" t="s">
        <v>907</v>
      </c>
    </row>
    <row r="92" customHeight="1" spans="2:13">
      <c r="B92" s="501" t="s">
        <v>856</v>
      </c>
      <c r="C92" s="500" t="s">
        <v>155</v>
      </c>
      <c r="D92" s="500" t="s">
        <v>47</v>
      </c>
      <c r="E92" s="500" t="s">
        <v>147</v>
      </c>
      <c r="F92" s="500" t="s">
        <v>1566</v>
      </c>
      <c r="G92" s="500" t="s">
        <v>121</v>
      </c>
      <c r="H92" s="501" t="s">
        <v>856</v>
      </c>
      <c r="I92" s="493" t="s">
        <v>1553</v>
      </c>
      <c r="J92" s="501" t="s">
        <v>698</v>
      </c>
      <c r="K92" s="501" t="s">
        <v>707</v>
      </c>
      <c r="L92" s="501" t="s">
        <v>907</v>
      </c>
      <c r="M92" s="501" t="s">
        <v>856</v>
      </c>
    </row>
    <row r="93" customHeight="1" spans="2:13">
      <c r="B93" s="501" t="s">
        <v>845</v>
      </c>
      <c r="C93" s="500" t="s">
        <v>155</v>
      </c>
      <c r="D93" s="500" t="s">
        <v>47</v>
      </c>
      <c r="E93" s="500" t="s">
        <v>147</v>
      </c>
      <c r="F93" s="500" t="s">
        <v>1566</v>
      </c>
      <c r="G93" s="500" t="s">
        <v>699</v>
      </c>
      <c r="H93" s="501" t="s">
        <v>845</v>
      </c>
      <c r="I93" s="493" t="s">
        <v>1553</v>
      </c>
      <c r="J93" s="501" t="s">
        <v>2</v>
      </c>
      <c r="K93" s="501" t="s">
        <v>903</v>
      </c>
      <c r="L93" s="501" t="s">
        <v>24</v>
      </c>
      <c r="M93" s="501" t="s">
        <v>845</v>
      </c>
    </row>
    <row r="94" customHeight="1" spans="2:13">
      <c r="B94" s="501" t="s">
        <v>512</v>
      </c>
      <c r="C94" s="500" t="s">
        <v>155</v>
      </c>
      <c r="D94" s="500" t="s">
        <v>47</v>
      </c>
      <c r="E94" s="500" t="s">
        <v>147</v>
      </c>
      <c r="F94" s="500" t="s">
        <v>1566</v>
      </c>
      <c r="G94" s="500" t="s">
        <v>125</v>
      </c>
      <c r="H94" s="501" t="s">
        <v>512</v>
      </c>
      <c r="I94" s="493" t="s">
        <v>1553</v>
      </c>
      <c r="J94" s="501" t="s">
        <v>18</v>
      </c>
      <c r="K94" s="501" t="s">
        <v>13</v>
      </c>
      <c r="L94" s="501" t="s">
        <v>22</v>
      </c>
      <c r="M94" s="501" t="s">
        <v>512</v>
      </c>
    </row>
    <row r="95" customHeight="1" spans="2:13">
      <c r="B95" s="501" t="s">
        <v>518</v>
      </c>
      <c r="C95" s="500" t="s">
        <v>155</v>
      </c>
      <c r="D95" s="500" t="s">
        <v>47</v>
      </c>
      <c r="E95" s="500" t="s">
        <v>147</v>
      </c>
      <c r="F95" s="500" t="s">
        <v>1566</v>
      </c>
      <c r="G95" s="500" t="s">
        <v>699</v>
      </c>
      <c r="H95" s="501" t="s">
        <v>518</v>
      </c>
      <c r="I95" s="493" t="s">
        <v>1553</v>
      </c>
      <c r="J95" s="501"/>
      <c r="K95" s="501"/>
      <c r="L95" s="501"/>
      <c r="M95" s="501"/>
    </row>
    <row r="96" customHeight="1" spans="2:13">
      <c r="B96" s="501" t="s">
        <v>523</v>
      </c>
      <c r="C96" s="500" t="s">
        <v>57</v>
      </c>
      <c r="D96" s="500" t="s">
        <v>155</v>
      </c>
      <c r="E96" s="500" t="s">
        <v>42</v>
      </c>
      <c r="F96" s="500" t="s">
        <v>1568</v>
      </c>
      <c r="G96" s="500" t="s">
        <v>699</v>
      </c>
      <c r="H96" s="501" t="s">
        <v>523</v>
      </c>
      <c r="I96" s="493" t="s">
        <v>1553</v>
      </c>
      <c r="J96" s="501" t="s">
        <v>512</v>
      </c>
      <c r="K96" s="501" t="s">
        <v>731</v>
      </c>
      <c r="L96" s="501" t="s">
        <v>22</v>
      </c>
      <c r="M96" s="501" t="s">
        <v>523</v>
      </c>
    </row>
    <row r="97" customHeight="1" spans="2:13">
      <c r="B97" s="501" t="s">
        <v>529</v>
      </c>
      <c r="C97" s="500" t="s">
        <v>155</v>
      </c>
      <c r="D97" s="500" t="s">
        <v>47</v>
      </c>
      <c r="E97" s="500" t="s">
        <v>147</v>
      </c>
      <c r="F97" s="500" t="s">
        <v>1566</v>
      </c>
      <c r="G97" s="500" t="s">
        <v>125</v>
      </c>
      <c r="H97" s="501" t="s">
        <v>529</v>
      </c>
      <c r="I97" s="493" t="s">
        <v>1553</v>
      </c>
      <c r="J97" s="501" t="s">
        <v>766</v>
      </c>
      <c r="K97" s="501" t="s">
        <v>903</v>
      </c>
      <c r="L97" s="501" t="s">
        <v>512</v>
      </c>
      <c r="M97" s="501" t="s">
        <v>529</v>
      </c>
    </row>
    <row r="98" customHeight="1" spans="2:13">
      <c r="B98" s="501" t="s">
        <v>532</v>
      </c>
      <c r="C98" s="500" t="s">
        <v>155</v>
      </c>
      <c r="D98" s="500" t="s">
        <v>47</v>
      </c>
      <c r="E98" s="500" t="s">
        <v>147</v>
      </c>
      <c r="F98" s="500" t="s">
        <v>1566</v>
      </c>
      <c r="G98" s="500" t="s">
        <v>125</v>
      </c>
      <c r="H98" s="501" t="s">
        <v>532</v>
      </c>
      <c r="I98" s="493" t="s">
        <v>1553</v>
      </c>
      <c r="J98" s="501" t="s">
        <v>698</v>
      </c>
      <c r="K98" s="501" t="s">
        <v>731</v>
      </c>
      <c r="L98" s="501" t="s">
        <v>856</v>
      </c>
      <c r="M98" s="501" t="s">
        <v>532</v>
      </c>
    </row>
    <row r="99" customHeight="1" spans="2:13">
      <c r="B99" s="501" t="s">
        <v>534</v>
      </c>
      <c r="C99" s="500" t="s">
        <v>155</v>
      </c>
      <c r="D99" s="500" t="s">
        <v>47</v>
      </c>
      <c r="E99" s="500" t="s">
        <v>147</v>
      </c>
      <c r="F99" s="500" t="s">
        <v>1566</v>
      </c>
      <c r="G99" s="500" t="s">
        <v>135</v>
      </c>
      <c r="H99" s="501" t="s">
        <v>534</v>
      </c>
      <c r="I99" s="493" t="s">
        <v>1553</v>
      </c>
      <c r="J99" s="501" t="s">
        <v>2</v>
      </c>
      <c r="K99" s="501" t="s">
        <v>766</v>
      </c>
      <c r="L99" s="501" t="s">
        <v>512</v>
      </c>
      <c r="M99" s="501" t="s">
        <v>534</v>
      </c>
    </row>
    <row r="100" customHeight="1" spans="2:13">
      <c r="B100" s="501" t="s">
        <v>1569</v>
      </c>
      <c r="C100" s="500" t="s">
        <v>155</v>
      </c>
      <c r="D100" s="500" t="s">
        <v>47</v>
      </c>
      <c r="E100" s="500" t="s">
        <v>147</v>
      </c>
      <c r="F100" s="500" t="s">
        <v>1566</v>
      </c>
      <c r="G100" s="500" t="s">
        <v>125</v>
      </c>
      <c r="H100" s="501" t="s">
        <v>1569</v>
      </c>
      <c r="I100" s="493" t="s">
        <v>1553</v>
      </c>
      <c r="J100" s="501" t="s">
        <v>698</v>
      </c>
      <c r="K100" s="501" t="s">
        <v>907</v>
      </c>
      <c r="L100" s="501" t="s">
        <v>13</v>
      </c>
      <c r="M100" s="501" t="s">
        <v>1569</v>
      </c>
    </row>
    <row r="101" customHeight="1" spans="2:13">
      <c r="B101" s="493"/>
      <c r="C101" s="500"/>
      <c r="D101" s="500"/>
      <c r="E101" s="500"/>
      <c r="F101" s="500"/>
      <c r="G101" s="500"/>
      <c r="H101" s="501"/>
      <c r="I101" s="493"/>
      <c r="J101" s="501"/>
      <c r="K101" s="501"/>
      <c r="L101" s="501"/>
      <c r="M101" s="501"/>
    </row>
    <row r="102" s="493" customFormat="1" customHeight="1"/>
    <row r="103" customHeight="1" spans="2:13">
      <c r="B103" s="27" t="s">
        <v>1570</v>
      </c>
      <c r="C103" s="27" t="s">
        <v>1524</v>
      </c>
      <c r="D103" s="27" t="s">
        <v>1525</v>
      </c>
      <c r="E103" s="27" t="s">
        <v>1526</v>
      </c>
      <c r="F103" s="27" t="s">
        <v>1527</v>
      </c>
      <c r="G103" s="27" t="s">
        <v>1528</v>
      </c>
      <c r="H103" s="27" t="s">
        <v>1529</v>
      </c>
      <c r="I103" s="27" t="s">
        <v>1530</v>
      </c>
      <c r="J103" s="27" t="s">
        <v>1531</v>
      </c>
      <c r="K103" s="27" t="s">
        <v>1532</v>
      </c>
      <c r="L103" s="27" t="s">
        <v>1533</v>
      </c>
      <c r="M103" s="27" t="s">
        <v>1534</v>
      </c>
    </row>
    <row r="104" customHeight="1" spans="2:13">
      <c r="B104" s="502" t="s">
        <v>1571</v>
      </c>
      <c r="C104" s="493" t="s">
        <v>1553</v>
      </c>
      <c r="D104" s="493" t="s">
        <v>1553</v>
      </c>
      <c r="E104" s="493" t="s">
        <v>1553</v>
      </c>
      <c r="F104" s="500" t="s">
        <v>125</v>
      </c>
      <c r="G104" s="500" t="s">
        <v>124</v>
      </c>
      <c r="H104" s="501" t="s">
        <v>73</v>
      </c>
      <c r="I104" s="493" t="s">
        <v>1553</v>
      </c>
      <c r="J104" s="501" t="s">
        <v>32</v>
      </c>
      <c r="K104" s="501" t="s">
        <v>720</v>
      </c>
      <c r="L104" s="501" t="s">
        <v>708</v>
      </c>
      <c r="M104" s="501" t="s">
        <v>20</v>
      </c>
    </row>
    <row r="105" customHeight="1" spans="2:13">
      <c r="B105" s="502" t="s">
        <v>709</v>
      </c>
      <c r="C105" s="493" t="s">
        <v>1553</v>
      </c>
      <c r="D105" s="493" t="s">
        <v>1553</v>
      </c>
      <c r="E105" s="493" t="s">
        <v>1553</v>
      </c>
      <c r="F105" s="500" t="s">
        <v>125</v>
      </c>
      <c r="G105" s="500" t="s">
        <v>124</v>
      </c>
      <c r="H105" s="501" t="s">
        <v>73</v>
      </c>
      <c r="I105" s="493" t="s">
        <v>1553</v>
      </c>
      <c r="J105" s="501" t="s">
        <v>32</v>
      </c>
      <c r="K105" s="501" t="s">
        <v>708</v>
      </c>
      <c r="L105" s="501" t="s">
        <v>720</v>
      </c>
      <c r="M105" s="501" t="s">
        <v>20</v>
      </c>
    </row>
    <row r="106" customHeight="1" spans="2:13">
      <c r="B106" s="502" t="s">
        <v>699</v>
      </c>
      <c r="C106" s="493" t="s">
        <v>1553</v>
      </c>
      <c r="D106" s="493" t="s">
        <v>1553</v>
      </c>
      <c r="E106" s="493" t="s">
        <v>1553</v>
      </c>
      <c r="F106" s="500" t="s">
        <v>125</v>
      </c>
      <c r="G106" s="500" t="s">
        <v>124</v>
      </c>
      <c r="H106" s="501" t="s">
        <v>73</v>
      </c>
      <c r="I106" s="493" t="s">
        <v>1553</v>
      </c>
      <c r="J106" s="501" t="s">
        <v>32</v>
      </c>
      <c r="K106" s="501" t="s">
        <v>708</v>
      </c>
      <c r="L106" s="501" t="s">
        <v>99</v>
      </c>
      <c r="M106" s="501" t="s">
        <v>716</v>
      </c>
    </row>
    <row r="107" customHeight="1" spans="2:13">
      <c r="B107" s="501" t="s">
        <v>73</v>
      </c>
      <c r="C107" s="493" t="s">
        <v>1553</v>
      </c>
      <c r="D107" s="493" t="s">
        <v>1553</v>
      </c>
      <c r="E107" s="493" t="s">
        <v>1553</v>
      </c>
      <c r="F107" s="500" t="s">
        <v>125</v>
      </c>
      <c r="G107" s="500" t="s">
        <v>124</v>
      </c>
      <c r="H107" s="501" t="s">
        <v>73</v>
      </c>
      <c r="I107" s="493" t="s">
        <v>1553</v>
      </c>
      <c r="J107" s="501" t="s">
        <v>49</v>
      </c>
      <c r="K107" s="501" t="s">
        <v>708</v>
      </c>
      <c r="L107" s="501" t="s">
        <v>99</v>
      </c>
      <c r="M107" s="501" t="s">
        <v>73</v>
      </c>
    </row>
    <row r="108" customHeight="1" spans="2:13">
      <c r="B108" s="501" t="s">
        <v>720</v>
      </c>
      <c r="C108" s="493" t="s">
        <v>1553</v>
      </c>
      <c r="D108" s="493" t="s">
        <v>1553</v>
      </c>
      <c r="E108" s="493" t="s">
        <v>1553</v>
      </c>
      <c r="F108" s="500" t="s">
        <v>121</v>
      </c>
      <c r="G108" s="500" t="s">
        <v>710</v>
      </c>
      <c r="H108" s="501" t="s">
        <v>720</v>
      </c>
      <c r="I108" s="493" t="s">
        <v>1553</v>
      </c>
      <c r="J108" s="501" t="s">
        <v>73</v>
      </c>
      <c r="K108" s="501" t="s">
        <v>20</v>
      </c>
      <c r="L108" s="501" t="s">
        <v>99</v>
      </c>
      <c r="M108" s="501" t="s">
        <v>720</v>
      </c>
    </row>
    <row r="109" customHeight="1" spans="2:13">
      <c r="B109" s="501" t="s">
        <v>32</v>
      </c>
      <c r="C109" s="493" t="s">
        <v>1553</v>
      </c>
      <c r="D109" s="493" t="s">
        <v>1553</v>
      </c>
      <c r="E109" s="493" t="s">
        <v>1553</v>
      </c>
      <c r="F109" s="500" t="s">
        <v>709</v>
      </c>
      <c r="G109" s="500" t="s">
        <v>724</v>
      </c>
      <c r="H109" s="501" t="s">
        <v>32</v>
      </c>
      <c r="I109" s="493" t="s">
        <v>1553</v>
      </c>
      <c r="J109" s="501" t="s">
        <v>49</v>
      </c>
      <c r="K109" s="501" t="s">
        <v>99</v>
      </c>
      <c r="L109" s="501" t="s">
        <v>720</v>
      </c>
      <c r="M109" s="501" t="s">
        <v>32</v>
      </c>
    </row>
    <row r="110" customHeight="1" spans="2:13">
      <c r="B110" s="501" t="s">
        <v>49</v>
      </c>
      <c r="C110" s="493" t="s">
        <v>1553</v>
      </c>
      <c r="D110" s="493" t="s">
        <v>1553</v>
      </c>
      <c r="E110" s="493" t="s">
        <v>1553</v>
      </c>
      <c r="F110" s="500" t="s">
        <v>121</v>
      </c>
      <c r="G110" s="500" t="s">
        <v>132</v>
      </c>
      <c r="H110" s="501" t="s">
        <v>49</v>
      </c>
      <c r="I110" s="493" t="s">
        <v>1553</v>
      </c>
      <c r="J110" s="501" t="s">
        <v>32</v>
      </c>
      <c r="K110" s="501" t="s">
        <v>99</v>
      </c>
      <c r="L110" s="501" t="s">
        <v>720</v>
      </c>
      <c r="M110" s="501" t="s">
        <v>49</v>
      </c>
    </row>
    <row r="111" customHeight="1" spans="2:13">
      <c r="B111" s="501" t="s">
        <v>708</v>
      </c>
      <c r="C111" s="493" t="s">
        <v>1553</v>
      </c>
      <c r="D111" s="493" t="s">
        <v>1553</v>
      </c>
      <c r="E111" s="493" t="s">
        <v>1553</v>
      </c>
      <c r="F111" s="500" t="s">
        <v>699</v>
      </c>
      <c r="G111" s="500" t="s">
        <v>704</v>
      </c>
      <c r="H111" s="501" t="s">
        <v>708</v>
      </c>
      <c r="I111" s="493" t="s">
        <v>1553</v>
      </c>
      <c r="J111" s="501" t="s">
        <v>73</v>
      </c>
      <c r="K111" s="501" t="s">
        <v>716</v>
      </c>
      <c r="L111" s="501" t="s">
        <v>20</v>
      </c>
      <c r="M111" s="501" t="s">
        <v>708</v>
      </c>
    </row>
    <row r="112" customHeight="1" spans="2:13">
      <c r="B112" s="501" t="s">
        <v>716</v>
      </c>
      <c r="C112" s="493" t="s">
        <v>1553</v>
      </c>
      <c r="D112" s="493" t="s">
        <v>1553</v>
      </c>
      <c r="E112" s="493" t="s">
        <v>1553</v>
      </c>
      <c r="F112" s="500" t="s">
        <v>125</v>
      </c>
      <c r="G112" s="500" t="s">
        <v>124</v>
      </c>
      <c r="H112" s="501" t="s">
        <v>73</v>
      </c>
      <c r="I112" s="493" t="s">
        <v>1553</v>
      </c>
      <c r="J112" s="501" t="s">
        <v>73</v>
      </c>
      <c r="K112" s="501" t="s">
        <v>20</v>
      </c>
      <c r="L112" s="501" t="s">
        <v>708</v>
      </c>
      <c r="M112" s="501" t="s">
        <v>716</v>
      </c>
    </row>
    <row r="113" customHeight="1" spans="2:13">
      <c r="B113" s="501" t="s">
        <v>467</v>
      </c>
      <c r="C113" s="493" t="s">
        <v>1553</v>
      </c>
      <c r="D113" s="493" t="s">
        <v>1553</v>
      </c>
      <c r="E113" s="493" t="s">
        <v>1553</v>
      </c>
      <c r="F113" s="500" t="s">
        <v>125</v>
      </c>
      <c r="G113" s="500" t="s">
        <v>124</v>
      </c>
      <c r="H113" s="501" t="s">
        <v>73</v>
      </c>
      <c r="I113" s="493" t="s">
        <v>1553</v>
      </c>
      <c r="J113" s="501" t="s">
        <v>49</v>
      </c>
      <c r="K113" s="501" t="s">
        <v>708</v>
      </c>
      <c r="L113" s="501" t="s">
        <v>99</v>
      </c>
      <c r="M113" s="501" t="s">
        <v>73</v>
      </c>
    </row>
    <row r="114" customHeight="1" spans="2:13">
      <c r="B114" s="501" t="s">
        <v>20</v>
      </c>
      <c r="C114" s="493" t="s">
        <v>1553</v>
      </c>
      <c r="D114" s="493" t="s">
        <v>1553</v>
      </c>
      <c r="E114" s="493" t="s">
        <v>1553</v>
      </c>
      <c r="F114" s="500" t="s">
        <v>699</v>
      </c>
      <c r="G114" s="500" t="s">
        <v>704</v>
      </c>
      <c r="H114" s="501" t="s">
        <v>20</v>
      </c>
      <c r="I114" s="493" t="s">
        <v>1553</v>
      </c>
      <c r="J114" s="501" t="s">
        <v>73</v>
      </c>
      <c r="K114" s="501" t="s">
        <v>716</v>
      </c>
      <c r="L114" s="501" t="s">
        <v>99</v>
      </c>
      <c r="M114" s="501" t="s">
        <v>20</v>
      </c>
    </row>
    <row r="115" customHeight="1" spans="2:13">
      <c r="B115" s="501" t="s">
        <v>99</v>
      </c>
      <c r="C115" s="493" t="s">
        <v>1553</v>
      </c>
      <c r="D115" s="493" t="s">
        <v>1553</v>
      </c>
      <c r="E115" s="493" t="s">
        <v>1553</v>
      </c>
      <c r="F115" s="500" t="s">
        <v>110</v>
      </c>
      <c r="G115" s="500" t="s">
        <v>742</v>
      </c>
      <c r="H115" s="501" t="s">
        <v>99</v>
      </c>
      <c r="I115" s="493" t="s">
        <v>1553</v>
      </c>
      <c r="J115" s="501" t="s">
        <v>49</v>
      </c>
      <c r="K115" s="501" t="s">
        <v>20</v>
      </c>
      <c r="L115" s="501" t="s">
        <v>708</v>
      </c>
      <c r="M115" s="501" t="s">
        <v>99</v>
      </c>
    </row>
    <row r="116" customHeight="1" spans="2:13">
      <c r="B116" s="501" t="s">
        <v>471</v>
      </c>
      <c r="C116" s="493" t="s">
        <v>1553</v>
      </c>
      <c r="D116" s="493" t="s">
        <v>1553</v>
      </c>
      <c r="E116" s="493" t="s">
        <v>1553</v>
      </c>
      <c r="F116" s="500" t="s">
        <v>699</v>
      </c>
      <c r="G116" s="500" t="s">
        <v>704</v>
      </c>
      <c r="H116" s="501" t="s">
        <v>720</v>
      </c>
      <c r="I116" s="493" t="s">
        <v>1553</v>
      </c>
      <c r="J116" s="501" t="s">
        <v>32</v>
      </c>
      <c r="K116" s="501" t="s">
        <v>716</v>
      </c>
      <c r="L116" s="501" t="s">
        <v>720</v>
      </c>
      <c r="M116" s="501" t="s">
        <v>73</v>
      </c>
    </row>
    <row r="117" customHeight="1" spans="2:13">
      <c r="B117" s="501" t="s">
        <v>475</v>
      </c>
      <c r="C117" s="493" t="s">
        <v>1553</v>
      </c>
      <c r="D117" s="493" t="s">
        <v>1553</v>
      </c>
      <c r="E117" s="493" t="s">
        <v>1553</v>
      </c>
      <c r="F117" s="500" t="s">
        <v>121</v>
      </c>
      <c r="G117" s="500" t="s">
        <v>710</v>
      </c>
      <c r="H117" s="501" t="s">
        <v>99</v>
      </c>
      <c r="I117" s="493" t="s">
        <v>1553</v>
      </c>
      <c r="J117" s="501" t="s">
        <v>32</v>
      </c>
      <c r="K117" s="501" t="s">
        <v>20</v>
      </c>
      <c r="L117" s="501" t="s">
        <v>99</v>
      </c>
      <c r="M117" s="501" t="s">
        <v>720</v>
      </c>
    </row>
    <row r="118" customHeight="1" spans="2:13">
      <c r="B118" s="501" t="s">
        <v>484</v>
      </c>
      <c r="C118" s="493" t="s">
        <v>1553</v>
      </c>
      <c r="D118" s="493" t="s">
        <v>1553</v>
      </c>
      <c r="E118" s="493" t="s">
        <v>1553</v>
      </c>
      <c r="F118" s="501" t="s">
        <v>73</v>
      </c>
      <c r="G118" s="501" t="s">
        <v>715</v>
      </c>
      <c r="H118" s="501" t="s">
        <v>484</v>
      </c>
      <c r="I118" s="493" t="s">
        <v>1553</v>
      </c>
      <c r="J118" s="501" t="s">
        <v>1553</v>
      </c>
      <c r="K118" s="501" t="s">
        <v>1553</v>
      </c>
      <c r="L118" s="501" t="s">
        <v>1553</v>
      </c>
      <c r="M118" s="501" t="s">
        <v>1553</v>
      </c>
    </row>
    <row r="119" customHeight="1" spans="2:13">
      <c r="B119" s="501" t="s">
        <v>494</v>
      </c>
      <c r="C119" s="493" t="s">
        <v>1553</v>
      </c>
      <c r="D119" s="493" t="s">
        <v>1553</v>
      </c>
      <c r="E119" s="493" t="s">
        <v>1553</v>
      </c>
      <c r="F119" s="500" t="s">
        <v>121</v>
      </c>
      <c r="G119" s="500" t="s">
        <v>710</v>
      </c>
      <c r="H119" s="501" t="s">
        <v>494</v>
      </c>
      <c r="I119" s="493" t="s">
        <v>1553</v>
      </c>
      <c r="J119" s="501" t="s">
        <v>73</v>
      </c>
      <c r="K119" s="501" t="s">
        <v>716</v>
      </c>
      <c r="L119" s="501" t="s">
        <v>99</v>
      </c>
      <c r="M119" s="501" t="s">
        <v>494</v>
      </c>
    </row>
    <row r="120" customHeight="1" spans="2:13">
      <c r="B120" s="501" t="s">
        <v>503</v>
      </c>
      <c r="C120" s="493" t="s">
        <v>1553</v>
      </c>
      <c r="D120" s="493" t="s">
        <v>1553</v>
      </c>
      <c r="E120" s="493" t="s">
        <v>1553</v>
      </c>
      <c r="F120" s="500" t="s">
        <v>699</v>
      </c>
      <c r="G120" s="501" t="s">
        <v>715</v>
      </c>
      <c r="H120" s="501" t="s">
        <v>503</v>
      </c>
      <c r="I120" s="493" t="s">
        <v>1553</v>
      </c>
      <c r="J120" s="501" t="s">
        <v>49</v>
      </c>
      <c r="K120" s="501" t="s">
        <v>20</v>
      </c>
      <c r="L120" s="501" t="s">
        <v>716</v>
      </c>
      <c r="M120" s="501" t="s">
        <v>503</v>
      </c>
    </row>
    <row r="121" customHeight="1" spans="2:13">
      <c r="B121" s="501" t="s">
        <v>499</v>
      </c>
      <c r="C121" s="493" t="s">
        <v>1553</v>
      </c>
      <c r="D121" s="493" t="s">
        <v>1553</v>
      </c>
      <c r="E121" s="493" t="s">
        <v>1553</v>
      </c>
      <c r="F121" s="500" t="s">
        <v>121</v>
      </c>
      <c r="G121" s="500" t="s">
        <v>132</v>
      </c>
      <c r="H121" s="501" t="s">
        <v>499</v>
      </c>
      <c r="I121" s="493" t="s">
        <v>1553</v>
      </c>
      <c r="J121" s="501" t="s">
        <v>32</v>
      </c>
      <c r="K121" s="501" t="s">
        <v>20</v>
      </c>
      <c r="L121" s="501" t="s">
        <v>708</v>
      </c>
      <c r="M121" s="501" t="s">
        <v>499</v>
      </c>
    </row>
    <row r="122" customHeight="1" spans="2:13">
      <c r="B122" s="501" t="s">
        <v>885</v>
      </c>
      <c r="C122" s="493" t="s">
        <v>1553</v>
      </c>
      <c r="D122" s="493" t="s">
        <v>1553</v>
      </c>
      <c r="E122" s="493" t="s">
        <v>1553</v>
      </c>
      <c r="F122" s="500" t="s">
        <v>709</v>
      </c>
      <c r="G122" s="500" t="s">
        <v>132</v>
      </c>
      <c r="H122" s="501" t="s">
        <v>885</v>
      </c>
      <c r="I122" s="493" t="s">
        <v>1553</v>
      </c>
      <c r="J122" s="501" t="s">
        <v>73</v>
      </c>
      <c r="K122" s="501" t="s">
        <v>20</v>
      </c>
      <c r="L122" s="501" t="s">
        <v>99</v>
      </c>
      <c r="M122" s="501" t="s">
        <v>885</v>
      </c>
    </row>
    <row r="123" customHeight="1" spans="2:13">
      <c r="B123" s="501" t="s">
        <v>841</v>
      </c>
      <c r="C123" s="493" t="s">
        <v>1553</v>
      </c>
      <c r="D123" s="493" t="s">
        <v>1553</v>
      </c>
      <c r="E123" s="493" t="s">
        <v>1553</v>
      </c>
      <c r="F123" s="500" t="s">
        <v>699</v>
      </c>
      <c r="G123" s="500" t="s">
        <v>724</v>
      </c>
      <c r="H123" s="501" t="s">
        <v>841</v>
      </c>
      <c r="I123" s="493" t="s">
        <v>1553</v>
      </c>
      <c r="J123" s="501" t="s">
        <v>73</v>
      </c>
      <c r="K123" s="501" t="s">
        <v>32</v>
      </c>
      <c r="L123" s="501" t="s">
        <v>885</v>
      </c>
      <c r="M123" s="501" t="s">
        <v>841</v>
      </c>
    </row>
    <row r="124" customHeight="1" spans="2:13">
      <c r="B124" s="501" t="s">
        <v>1572</v>
      </c>
      <c r="C124" s="493" t="s">
        <v>1553</v>
      </c>
      <c r="D124" s="493" t="s">
        <v>1553</v>
      </c>
      <c r="E124" s="493" t="s">
        <v>1553</v>
      </c>
      <c r="F124" s="500" t="s">
        <v>121</v>
      </c>
      <c r="G124" s="500" t="s">
        <v>734</v>
      </c>
      <c r="H124" s="501" t="s">
        <v>1572</v>
      </c>
      <c r="I124" s="493" t="s">
        <v>1553</v>
      </c>
      <c r="J124" s="501" t="s">
        <v>49</v>
      </c>
      <c r="K124" s="501" t="s">
        <v>32</v>
      </c>
      <c r="L124" s="501" t="s">
        <v>99</v>
      </c>
      <c r="M124" s="501" t="s">
        <v>1572</v>
      </c>
    </row>
    <row r="125" customHeight="1" spans="2:13">
      <c r="B125" s="501" t="s">
        <v>513</v>
      </c>
      <c r="C125" s="493" t="s">
        <v>1553</v>
      </c>
      <c r="D125" s="493" t="s">
        <v>1553</v>
      </c>
      <c r="E125" s="493" t="s">
        <v>1553</v>
      </c>
      <c r="F125" s="500" t="s">
        <v>135</v>
      </c>
      <c r="G125" s="501" t="s">
        <v>71</v>
      </c>
      <c r="H125" s="501" t="s">
        <v>513</v>
      </c>
      <c r="I125" s="493" t="s">
        <v>1553</v>
      </c>
      <c r="J125" s="501" t="s">
        <v>32</v>
      </c>
      <c r="K125" s="501" t="s">
        <v>885</v>
      </c>
      <c r="L125" s="501" t="s">
        <v>841</v>
      </c>
      <c r="M125" s="501" t="s">
        <v>513</v>
      </c>
    </row>
    <row r="126" s="493" customFormat="1" customHeight="1" spans="2:13">
      <c r="B126" s="501" t="s">
        <v>1573</v>
      </c>
      <c r="C126" s="493" t="s">
        <v>1553</v>
      </c>
      <c r="D126" s="493" t="s">
        <v>1553</v>
      </c>
      <c r="E126" s="493" t="s">
        <v>1553</v>
      </c>
      <c r="F126" s="500" t="s">
        <v>121</v>
      </c>
      <c r="G126" s="500" t="s">
        <v>710</v>
      </c>
      <c r="H126" s="501" t="s">
        <v>1573</v>
      </c>
      <c r="I126" s="493" t="s">
        <v>1553</v>
      </c>
      <c r="J126" s="501" t="s">
        <v>49</v>
      </c>
      <c r="K126" s="501" t="s">
        <v>32</v>
      </c>
      <c r="L126" s="501" t="s">
        <v>99</v>
      </c>
      <c r="M126" s="501" t="s">
        <v>1573</v>
      </c>
    </row>
    <row r="127" s="493" customFormat="1" customHeight="1" spans="2:13">
      <c r="B127" s="501" t="s">
        <v>531</v>
      </c>
      <c r="C127" s="493" t="s">
        <v>1553</v>
      </c>
      <c r="D127" s="493" t="s">
        <v>1553</v>
      </c>
      <c r="E127" s="493" t="s">
        <v>1553</v>
      </c>
      <c r="F127" s="500" t="s">
        <v>121</v>
      </c>
      <c r="G127" s="501" t="s">
        <v>715</v>
      </c>
      <c r="H127" s="501" t="s">
        <v>531</v>
      </c>
      <c r="I127" s="493" t="s">
        <v>1553</v>
      </c>
      <c r="J127" s="501" t="s">
        <v>73</v>
      </c>
      <c r="K127" s="501" t="s">
        <v>885</v>
      </c>
      <c r="L127" s="501" t="s">
        <v>1573</v>
      </c>
      <c r="M127" s="501" t="s">
        <v>531</v>
      </c>
    </row>
    <row r="128" s="493" customFormat="1" customHeight="1" spans="2:13">
      <c r="B128" s="501" t="s">
        <v>533</v>
      </c>
      <c r="C128" s="493" t="s">
        <v>1553</v>
      </c>
      <c r="D128" s="493" t="s">
        <v>1553</v>
      </c>
      <c r="E128" s="493" t="s">
        <v>1553</v>
      </c>
      <c r="F128" s="500" t="s">
        <v>135</v>
      </c>
      <c r="G128" s="501" t="s">
        <v>29</v>
      </c>
      <c r="H128" s="501" t="s">
        <v>533</v>
      </c>
      <c r="I128" s="493" t="s">
        <v>1553</v>
      </c>
      <c r="J128" s="501" t="s">
        <v>49</v>
      </c>
      <c r="K128" s="501" t="s">
        <v>32</v>
      </c>
      <c r="L128" s="501" t="s">
        <v>1573</v>
      </c>
      <c r="M128" s="501" t="s">
        <v>533</v>
      </c>
    </row>
    <row r="129" s="493" customFormat="1" customHeight="1" spans="2:13">
      <c r="B129" s="501" t="s">
        <v>535</v>
      </c>
      <c r="C129" s="493" t="s">
        <v>1553</v>
      </c>
      <c r="D129" s="493" t="s">
        <v>1553</v>
      </c>
      <c r="E129" s="493" t="s">
        <v>1553</v>
      </c>
      <c r="F129" s="500" t="s">
        <v>121</v>
      </c>
      <c r="G129" s="501" t="s">
        <v>44</v>
      </c>
      <c r="H129" s="501" t="s">
        <v>535</v>
      </c>
      <c r="I129" s="493" t="s">
        <v>1553</v>
      </c>
      <c r="J129" s="501" t="s">
        <v>73</v>
      </c>
      <c r="K129" s="501" t="s">
        <v>885</v>
      </c>
      <c r="L129" s="501" t="s">
        <v>841</v>
      </c>
      <c r="M129" s="501" t="s">
        <v>535</v>
      </c>
    </row>
    <row r="130" s="493" customFormat="1" customHeight="1" spans="2:13">
      <c r="B130" s="501" t="s">
        <v>1574</v>
      </c>
      <c r="C130" s="493" t="s">
        <v>1553</v>
      </c>
      <c r="D130" s="493" t="s">
        <v>1553</v>
      </c>
      <c r="E130" s="493" t="s">
        <v>1553</v>
      </c>
      <c r="F130" s="500" t="s">
        <v>135</v>
      </c>
      <c r="G130" s="501" t="s">
        <v>356</v>
      </c>
      <c r="H130" s="501" t="s">
        <v>1574</v>
      </c>
      <c r="I130" s="493" t="s">
        <v>1553</v>
      </c>
      <c r="J130" s="501" t="s">
        <v>49</v>
      </c>
      <c r="K130" s="501" t="s">
        <v>99</v>
      </c>
      <c r="L130" s="501" t="s">
        <v>1572</v>
      </c>
      <c r="M130" s="501" t="s">
        <v>1574</v>
      </c>
    </row>
    <row r="131" s="493" customFormat="1" customHeight="1" spans="2:13">
      <c r="F131" s="500"/>
      <c r="G131" s="501"/>
      <c r="H131" s="501"/>
      <c r="J131" s="501"/>
      <c r="K131" s="501"/>
      <c r="L131" s="501"/>
      <c r="M131" s="501"/>
    </row>
    <row r="132" s="493" customFormat="1" customHeight="1"/>
    <row r="133" customHeight="1" spans="2:13">
      <c r="B133" s="27" t="s">
        <v>1575</v>
      </c>
      <c r="C133" s="27" t="s">
        <v>1524</v>
      </c>
      <c r="D133" s="27" t="s">
        <v>1525</v>
      </c>
      <c r="E133" s="27" t="s">
        <v>1526</v>
      </c>
      <c r="F133" s="27" t="s">
        <v>1527</v>
      </c>
      <c r="G133" s="27" t="s">
        <v>1528</v>
      </c>
      <c r="H133" s="27" t="s">
        <v>1529</v>
      </c>
      <c r="I133" s="27" t="s">
        <v>1530</v>
      </c>
      <c r="J133" s="27" t="s">
        <v>1531</v>
      </c>
      <c r="K133" s="27" t="s">
        <v>1532</v>
      </c>
      <c r="L133" s="27" t="s">
        <v>1533</v>
      </c>
      <c r="M133" s="27" t="s">
        <v>1534</v>
      </c>
    </row>
    <row r="134" customHeight="1" spans="2:13">
      <c r="B134" s="503" t="s">
        <v>791</v>
      </c>
      <c r="C134" s="493" t="s">
        <v>1553</v>
      </c>
      <c r="D134" s="493" t="s">
        <v>1553</v>
      </c>
      <c r="E134" s="500" t="s">
        <v>110</v>
      </c>
      <c r="F134" s="500" t="s">
        <v>794</v>
      </c>
      <c r="G134" s="501" t="s">
        <v>73</v>
      </c>
      <c r="H134" s="501" t="s">
        <v>715</v>
      </c>
      <c r="I134" s="501" t="s">
        <v>1553</v>
      </c>
      <c r="J134" s="501" t="s">
        <v>715</v>
      </c>
      <c r="K134" s="501" t="s">
        <v>356</v>
      </c>
      <c r="L134" s="501" t="s">
        <v>756</v>
      </c>
      <c r="M134" s="501" t="s">
        <v>15</v>
      </c>
    </row>
    <row r="135" customHeight="1" spans="2:13">
      <c r="B135" s="503" t="s">
        <v>704</v>
      </c>
      <c r="C135" s="493" t="s">
        <v>1553</v>
      </c>
      <c r="D135" s="493" t="s">
        <v>1553</v>
      </c>
      <c r="E135" s="500" t="s">
        <v>110</v>
      </c>
      <c r="F135" s="500" t="s">
        <v>794</v>
      </c>
      <c r="G135" s="501" t="s">
        <v>73</v>
      </c>
      <c r="H135" s="501" t="s">
        <v>715</v>
      </c>
      <c r="I135" s="501" t="s">
        <v>1553</v>
      </c>
      <c r="J135" s="501" t="s">
        <v>71</v>
      </c>
      <c r="K135" s="501" t="s">
        <v>29</v>
      </c>
      <c r="L135" s="501" t="s">
        <v>756</v>
      </c>
      <c r="M135" s="501" t="s">
        <v>15</v>
      </c>
    </row>
    <row r="136" customHeight="1" spans="2:13">
      <c r="B136" s="503" t="s">
        <v>701</v>
      </c>
      <c r="C136" s="493" t="s">
        <v>1553</v>
      </c>
      <c r="D136" s="493" t="s">
        <v>1553</v>
      </c>
      <c r="E136" s="500" t="s">
        <v>135</v>
      </c>
      <c r="F136" s="500" t="s">
        <v>743</v>
      </c>
      <c r="G136" s="501" t="s">
        <v>49</v>
      </c>
      <c r="H136" s="501" t="s">
        <v>71</v>
      </c>
      <c r="I136" s="501" t="s">
        <v>1553</v>
      </c>
      <c r="J136" s="501" t="s">
        <v>71</v>
      </c>
      <c r="K136" s="501" t="s">
        <v>29</v>
      </c>
      <c r="L136" s="501" t="s">
        <v>738</v>
      </c>
      <c r="M136" s="501" t="s">
        <v>756</v>
      </c>
    </row>
    <row r="137" customHeight="1" spans="2:13">
      <c r="B137" s="503" t="s">
        <v>713</v>
      </c>
      <c r="C137" s="493" t="s">
        <v>1553</v>
      </c>
      <c r="D137" s="493" t="s">
        <v>1553</v>
      </c>
      <c r="E137" s="500" t="s">
        <v>110</v>
      </c>
      <c r="F137" s="500" t="s">
        <v>794</v>
      </c>
      <c r="G137" s="501" t="s">
        <v>73</v>
      </c>
      <c r="H137" s="501" t="s">
        <v>715</v>
      </c>
      <c r="I137" s="501" t="s">
        <v>1553</v>
      </c>
      <c r="J137" s="501" t="s">
        <v>715</v>
      </c>
      <c r="K137" s="501" t="s">
        <v>356</v>
      </c>
      <c r="L137" s="501" t="s">
        <v>758</v>
      </c>
      <c r="M137" s="501" t="s">
        <v>756</v>
      </c>
    </row>
    <row r="138" customHeight="1" spans="2:13">
      <c r="B138" s="503" t="s">
        <v>710</v>
      </c>
      <c r="C138" s="493" t="s">
        <v>1553</v>
      </c>
      <c r="D138" s="493" t="s">
        <v>1553</v>
      </c>
      <c r="E138" s="500" t="s">
        <v>110</v>
      </c>
      <c r="F138" s="500" t="s">
        <v>794</v>
      </c>
      <c r="G138" s="501" t="s">
        <v>73</v>
      </c>
      <c r="H138" s="501" t="s">
        <v>715</v>
      </c>
      <c r="I138" s="501" t="s">
        <v>1553</v>
      </c>
      <c r="J138" s="501" t="s">
        <v>715</v>
      </c>
      <c r="K138" s="501" t="s">
        <v>356</v>
      </c>
      <c r="L138" s="501" t="s">
        <v>758</v>
      </c>
      <c r="M138" s="501" t="s">
        <v>756</v>
      </c>
    </row>
    <row r="139" customHeight="1" spans="2:13">
      <c r="B139" s="503" t="s">
        <v>742</v>
      </c>
      <c r="C139" s="493" t="s">
        <v>1553</v>
      </c>
      <c r="D139" s="493" t="s">
        <v>1553</v>
      </c>
      <c r="E139" s="500" t="s">
        <v>135</v>
      </c>
      <c r="F139" s="500" t="s">
        <v>743</v>
      </c>
      <c r="G139" s="501" t="s">
        <v>49</v>
      </c>
      <c r="H139" s="501" t="s">
        <v>71</v>
      </c>
      <c r="I139" s="501" t="s">
        <v>1553</v>
      </c>
      <c r="J139" s="501" t="s">
        <v>71</v>
      </c>
      <c r="K139" s="501" t="s">
        <v>44</v>
      </c>
      <c r="L139" s="501" t="s">
        <v>756</v>
      </c>
      <c r="M139" s="501" t="s">
        <v>738</v>
      </c>
    </row>
    <row r="140" customHeight="1" spans="2:13">
      <c r="B140" s="503" t="s">
        <v>132</v>
      </c>
      <c r="C140" s="493" t="s">
        <v>1553</v>
      </c>
      <c r="D140" s="493" t="s">
        <v>1553</v>
      </c>
      <c r="E140" s="500" t="s">
        <v>110</v>
      </c>
      <c r="F140" s="500" t="s">
        <v>794</v>
      </c>
      <c r="G140" s="501" t="s">
        <v>73</v>
      </c>
      <c r="H140" s="501" t="s">
        <v>715</v>
      </c>
      <c r="I140" s="501" t="s">
        <v>1553</v>
      </c>
      <c r="J140" s="501" t="s">
        <v>715</v>
      </c>
      <c r="K140" s="501" t="s">
        <v>356</v>
      </c>
      <c r="L140" s="501" t="s">
        <v>738</v>
      </c>
      <c r="M140" s="501" t="s">
        <v>758</v>
      </c>
    </row>
    <row r="141" customHeight="1" spans="2:13">
      <c r="B141" s="503" t="s">
        <v>747</v>
      </c>
      <c r="C141" s="493" t="s">
        <v>1553</v>
      </c>
      <c r="D141" s="493" t="s">
        <v>1553</v>
      </c>
      <c r="E141" s="500" t="s">
        <v>135</v>
      </c>
      <c r="F141" s="500" t="s">
        <v>743</v>
      </c>
      <c r="G141" s="501" t="s">
        <v>49</v>
      </c>
      <c r="H141" s="501" t="s">
        <v>71</v>
      </c>
      <c r="I141" s="501" t="s">
        <v>1553</v>
      </c>
      <c r="J141" s="501" t="s">
        <v>715</v>
      </c>
      <c r="K141" s="501" t="s">
        <v>719</v>
      </c>
      <c r="L141" s="501" t="s">
        <v>738</v>
      </c>
      <c r="M141" s="501" t="s">
        <v>356</v>
      </c>
    </row>
    <row r="142" customHeight="1" spans="2:13">
      <c r="B142" s="503" t="s">
        <v>106</v>
      </c>
      <c r="C142" s="493" t="s">
        <v>1553</v>
      </c>
      <c r="D142" s="493" t="s">
        <v>1553</v>
      </c>
      <c r="E142" s="500" t="s">
        <v>110</v>
      </c>
      <c r="F142" s="500" t="s">
        <v>794</v>
      </c>
      <c r="G142" s="501" t="s">
        <v>73</v>
      </c>
      <c r="H142" s="501" t="s">
        <v>715</v>
      </c>
      <c r="I142" s="501" t="s">
        <v>1553</v>
      </c>
      <c r="J142" s="501" t="s">
        <v>71</v>
      </c>
      <c r="K142" s="501" t="s">
        <v>356</v>
      </c>
      <c r="L142" s="501" t="s">
        <v>758</v>
      </c>
      <c r="M142" s="501" t="s">
        <v>705</v>
      </c>
    </row>
    <row r="143" customHeight="1" spans="2:13">
      <c r="B143" s="503" t="s">
        <v>117</v>
      </c>
      <c r="C143" s="493" t="s">
        <v>1553</v>
      </c>
      <c r="D143" s="493" t="s">
        <v>1553</v>
      </c>
      <c r="E143" s="500" t="s">
        <v>135</v>
      </c>
      <c r="F143" s="500" t="s">
        <v>743</v>
      </c>
      <c r="G143" s="501" t="s">
        <v>49</v>
      </c>
      <c r="H143" s="501" t="s">
        <v>71</v>
      </c>
      <c r="I143" s="501" t="s">
        <v>1553</v>
      </c>
      <c r="J143" s="501" t="s">
        <v>715</v>
      </c>
      <c r="K143" s="501" t="s">
        <v>705</v>
      </c>
      <c r="L143" s="501" t="s">
        <v>756</v>
      </c>
      <c r="M143" s="501" t="s">
        <v>44</v>
      </c>
    </row>
    <row r="144" customHeight="1" spans="2:13">
      <c r="B144" s="503" t="s">
        <v>734</v>
      </c>
      <c r="C144" s="493" t="s">
        <v>1553</v>
      </c>
      <c r="D144" s="493" t="s">
        <v>1553</v>
      </c>
      <c r="E144" s="500" t="s">
        <v>110</v>
      </c>
      <c r="F144" s="500" t="s">
        <v>794</v>
      </c>
      <c r="G144" s="501" t="s">
        <v>73</v>
      </c>
      <c r="H144" s="501" t="s">
        <v>715</v>
      </c>
      <c r="I144" s="501" t="s">
        <v>1553</v>
      </c>
      <c r="J144" s="501" t="s">
        <v>71</v>
      </c>
      <c r="K144" s="501" t="s">
        <v>44</v>
      </c>
      <c r="L144" s="500" t="s">
        <v>738</v>
      </c>
      <c r="M144" s="501" t="s">
        <v>15</v>
      </c>
    </row>
    <row r="145" customHeight="1" spans="2:13">
      <c r="B145" s="503" t="s">
        <v>124</v>
      </c>
      <c r="C145" s="493" t="s">
        <v>1553</v>
      </c>
      <c r="D145" s="493" t="s">
        <v>1553</v>
      </c>
      <c r="E145" s="500" t="s">
        <v>135</v>
      </c>
      <c r="F145" s="500" t="s">
        <v>743</v>
      </c>
      <c r="G145" s="501" t="s">
        <v>49</v>
      </c>
      <c r="H145" s="501" t="s">
        <v>71</v>
      </c>
      <c r="I145" s="501" t="s">
        <v>1553</v>
      </c>
      <c r="J145" s="501" t="s">
        <v>715</v>
      </c>
      <c r="K145" s="501" t="s">
        <v>15</v>
      </c>
      <c r="L145" s="501" t="s">
        <v>758</v>
      </c>
      <c r="M145" s="501" t="s">
        <v>29</v>
      </c>
    </row>
    <row r="146" customHeight="1" spans="2:13">
      <c r="B146" s="503" t="s">
        <v>794</v>
      </c>
      <c r="C146" s="493" t="s">
        <v>1553</v>
      </c>
      <c r="D146" s="493" t="s">
        <v>1553</v>
      </c>
      <c r="E146" s="500" t="s">
        <v>110</v>
      </c>
      <c r="F146" s="500" t="s">
        <v>794</v>
      </c>
      <c r="G146" s="501" t="s">
        <v>73</v>
      </c>
      <c r="H146" s="501" t="s">
        <v>715</v>
      </c>
      <c r="I146" s="501" t="s">
        <v>1553</v>
      </c>
      <c r="J146" s="501" t="s">
        <v>71</v>
      </c>
      <c r="K146" s="501" t="s">
        <v>29</v>
      </c>
      <c r="L146" s="501" t="s">
        <v>756</v>
      </c>
      <c r="M146" s="501" t="s">
        <v>719</v>
      </c>
    </row>
    <row r="147" customHeight="1" spans="2:13">
      <c r="B147" s="503" t="s">
        <v>753</v>
      </c>
      <c r="C147" s="493" t="s">
        <v>1553</v>
      </c>
      <c r="D147" s="493" t="s">
        <v>1553</v>
      </c>
      <c r="E147" s="500" t="s">
        <v>135</v>
      </c>
      <c r="F147" s="500" t="s">
        <v>743</v>
      </c>
      <c r="G147" s="501" t="s">
        <v>49</v>
      </c>
      <c r="H147" s="501" t="s">
        <v>71</v>
      </c>
      <c r="I147" s="501" t="s">
        <v>1553</v>
      </c>
      <c r="J147" s="501" t="s">
        <v>715</v>
      </c>
      <c r="K147" s="501" t="s">
        <v>356</v>
      </c>
      <c r="L147" s="501" t="s">
        <v>738</v>
      </c>
      <c r="M147" s="501" t="s">
        <v>719</v>
      </c>
    </row>
    <row r="148" customHeight="1" spans="2:13">
      <c r="B148" s="503" t="s">
        <v>743</v>
      </c>
      <c r="C148" s="493" t="s">
        <v>1553</v>
      </c>
      <c r="D148" s="493" t="s">
        <v>1553</v>
      </c>
      <c r="E148" s="500" t="s">
        <v>135</v>
      </c>
      <c r="F148" s="500" t="s">
        <v>743</v>
      </c>
      <c r="G148" s="501" t="s">
        <v>49</v>
      </c>
      <c r="H148" s="501" t="s">
        <v>71</v>
      </c>
      <c r="I148" s="501" t="s">
        <v>1553</v>
      </c>
      <c r="J148" s="501" t="s">
        <v>71</v>
      </c>
      <c r="K148" s="501" t="s">
        <v>705</v>
      </c>
      <c r="L148" s="501" t="s">
        <v>758</v>
      </c>
      <c r="M148" s="501" t="s">
        <v>29</v>
      </c>
    </row>
    <row r="149" customHeight="1" spans="2:13">
      <c r="B149" s="503" t="s">
        <v>724</v>
      </c>
      <c r="C149" s="493" t="s">
        <v>1553</v>
      </c>
      <c r="D149" s="493" t="s">
        <v>1553</v>
      </c>
      <c r="E149" s="500" t="s">
        <v>135</v>
      </c>
      <c r="F149" s="500" t="s">
        <v>743</v>
      </c>
      <c r="G149" s="501" t="s">
        <v>49</v>
      </c>
      <c r="H149" s="501" t="s">
        <v>71</v>
      </c>
      <c r="I149" s="501" t="s">
        <v>1553</v>
      </c>
      <c r="J149" s="501" t="s">
        <v>715</v>
      </c>
      <c r="K149" s="501" t="s">
        <v>44</v>
      </c>
      <c r="L149" s="501" t="s">
        <v>756</v>
      </c>
      <c r="M149" s="501" t="s">
        <v>705</v>
      </c>
    </row>
    <row r="150" customHeight="1" spans="2:13">
      <c r="B150" s="503" t="s">
        <v>807</v>
      </c>
      <c r="C150" s="493" t="s">
        <v>1553</v>
      </c>
      <c r="D150" s="493" t="s">
        <v>1553</v>
      </c>
      <c r="E150" s="500" t="s">
        <v>110</v>
      </c>
      <c r="F150" s="500" t="s">
        <v>794</v>
      </c>
      <c r="G150" s="501" t="s">
        <v>73</v>
      </c>
      <c r="H150" s="501" t="s">
        <v>715</v>
      </c>
      <c r="I150" s="501" t="s">
        <v>1553</v>
      </c>
      <c r="J150" s="501" t="s">
        <v>71</v>
      </c>
      <c r="K150" s="501" t="s">
        <v>719</v>
      </c>
      <c r="L150" s="501" t="s">
        <v>758</v>
      </c>
      <c r="M150" s="501" t="s">
        <v>44</v>
      </c>
    </row>
    <row r="151" customHeight="1" spans="2:13">
      <c r="B151" s="503" t="s">
        <v>813</v>
      </c>
      <c r="C151" s="493" t="s">
        <v>1553</v>
      </c>
      <c r="D151" s="493" t="s">
        <v>1553</v>
      </c>
      <c r="E151" s="500" t="s">
        <v>135</v>
      </c>
      <c r="F151" s="500" t="s">
        <v>743</v>
      </c>
      <c r="G151" s="501" t="s">
        <v>49</v>
      </c>
      <c r="H151" s="501" t="s">
        <v>71</v>
      </c>
      <c r="I151" s="501" t="s">
        <v>1553</v>
      </c>
      <c r="J151" s="501" t="s">
        <v>715</v>
      </c>
      <c r="K151" s="501" t="s">
        <v>29</v>
      </c>
      <c r="L151" s="501" t="s">
        <v>756</v>
      </c>
      <c r="M151" s="501" t="s">
        <v>15</v>
      </c>
    </row>
    <row r="152" customHeight="1" spans="2:13">
      <c r="B152" s="501" t="s">
        <v>715</v>
      </c>
      <c r="C152" s="493" t="s">
        <v>1553</v>
      </c>
      <c r="D152" s="493" t="s">
        <v>1553</v>
      </c>
      <c r="E152" s="500" t="s">
        <v>110</v>
      </c>
      <c r="F152" s="500" t="s">
        <v>794</v>
      </c>
      <c r="G152" s="501" t="s">
        <v>73</v>
      </c>
      <c r="H152" s="501" t="s">
        <v>715</v>
      </c>
      <c r="I152" s="501" t="s">
        <v>1553</v>
      </c>
      <c r="J152" s="501" t="s">
        <v>71</v>
      </c>
      <c r="K152" s="501" t="s">
        <v>356</v>
      </c>
      <c r="L152" s="501" t="s">
        <v>758</v>
      </c>
      <c r="M152" s="501" t="s">
        <v>715</v>
      </c>
    </row>
    <row r="153" customHeight="1" spans="2:13">
      <c r="B153" s="501" t="s">
        <v>71</v>
      </c>
      <c r="C153" s="493" t="s">
        <v>1553</v>
      </c>
      <c r="D153" s="493" t="s">
        <v>1553</v>
      </c>
      <c r="E153" s="500" t="s">
        <v>135</v>
      </c>
      <c r="F153" s="500" t="s">
        <v>743</v>
      </c>
      <c r="G153" s="501" t="s">
        <v>49</v>
      </c>
      <c r="H153" s="501" t="s">
        <v>71</v>
      </c>
      <c r="I153" s="501" t="s">
        <v>1553</v>
      </c>
      <c r="J153" s="501" t="s">
        <v>715</v>
      </c>
      <c r="K153" s="501" t="s">
        <v>15</v>
      </c>
      <c r="L153" s="501" t="s">
        <v>756</v>
      </c>
      <c r="M153" s="501" t="s">
        <v>71</v>
      </c>
    </row>
    <row r="154" customHeight="1" spans="2:13">
      <c r="B154" s="501" t="s">
        <v>719</v>
      </c>
      <c r="C154" s="493" t="s">
        <v>1553</v>
      </c>
      <c r="D154" s="493" t="s">
        <v>1553</v>
      </c>
      <c r="E154" s="500" t="s">
        <v>121</v>
      </c>
      <c r="F154" s="500" t="s">
        <v>724</v>
      </c>
      <c r="G154" s="501" t="s">
        <v>708</v>
      </c>
      <c r="H154" s="501" t="s">
        <v>719</v>
      </c>
      <c r="I154" s="501" t="s">
        <v>1553</v>
      </c>
      <c r="J154" s="501" t="s">
        <v>71</v>
      </c>
      <c r="K154" s="501" t="s">
        <v>44</v>
      </c>
      <c r="L154" s="501" t="s">
        <v>738</v>
      </c>
      <c r="M154" s="501" t="s">
        <v>719</v>
      </c>
    </row>
    <row r="155" customHeight="1" spans="2:13">
      <c r="B155" s="501" t="s">
        <v>705</v>
      </c>
      <c r="C155" s="493" t="s">
        <v>1553</v>
      </c>
      <c r="D155" s="493" t="s">
        <v>1553</v>
      </c>
      <c r="E155" s="500" t="s">
        <v>110</v>
      </c>
      <c r="F155" s="500" t="s">
        <v>794</v>
      </c>
      <c r="G155" s="501" t="s">
        <v>73</v>
      </c>
      <c r="H155" s="501" t="s">
        <v>715</v>
      </c>
      <c r="I155" s="501" t="s">
        <v>1553</v>
      </c>
      <c r="J155" s="501" t="s">
        <v>71</v>
      </c>
      <c r="K155" s="501" t="s">
        <v>44</v>
      </c>
      <c r="L155" s="501" t="s">
        <v>738</v>
      </c>
      <c r="M155" s="501" t="s">
        <v>705</v>
      </c>
    </row>
    <row r="156" customHeight="1" spans="2:13">
      <c r="B156" s="501" t="s">
        <v>44</v>
      </c>
      <c r="C156" s="493" t="s">
        <v>1553</v>
      </c>
      <c r="D156" s="493" t="s">
        <v>1553</v>
      </c>
      <c r="E156" s="500" t="s">
        <v>135</v>
      </c>
      <c r="F156" s="500" t="s">
        <v>743</v>
      </c>
      <c r="G156" s="501" t="s">
        <v>49</v>
      </c>
      <c r="H156" s="501" t="s">
        <v>71</v>
      </c>
      <c r="I156" s="501" t="s">
        <v>1553</v>
      </c>
      <c r="J156" s="501" t="s">
        <v>71</v>
      </c>
      <c r="K156" s="501" t="s">
        <v>356</v>
      </c>
      <c r="L156" s="501" t="s">
        <v>756</v>
      </c>
      <c r="M156" s="501" t="s">
        <v>44</v>
      </c>
    </row>
    <row r="157" customHeight="1" spans="2:13">
      <c r="B157" s="501" t="s">
        <v>29</v>
      </c>
      <c r="C157" s="493" t="s">
        <v>1553</v>
      </c>
      <c r="D157" s="493" t="s">
        <v>1553</v>
      </c>
      <c r="E157" s="500" t="s">
        <v>699</v>
      </c>
      <c r="F157" s="500" t="s">
        <v>710</v>
      </c>
      <c r="G157" s="501" t="s">
        <v>32</v>
      </c>
      <c r="H157" s="501" t="s">
        <v>29</v>
      </c>
      <c r="I157" s="501" t="s">
        <v>1553</v>
      </c>
      <c r="J157" s="501" t="s">
        <v>71</v>
      </c>
      <c r="K157" s="501" t="s">
        <v>15</v>
      </c>
      <c r="L157" s="501" t="s">
        <v>758</v>
      </c>
      <c r="M157" s="501" t="s">
        <v>29</v>
      </c>
    </row>
    <row r="158" customHeight="1" spans="2:13">
      <c r="B158" s="501" t="s">
        <v>15</v>
      </c>
      <c r="C158" s="493" t="s">
        <v>1553</v>
      </c>
      <c r="D158" s="493" t="s">
        <v>1553</v>
      </c>
      <c r="E158" s="500" t="s">
        <v>709</v>
      </c>
      <c r="F158" s="500" t="s">
        <v>704</v>
      </c>
      <c r="G158" s="501" t="s">
        <v>49</v>
      </c>
      <c r="H158" s="501" t="s">
        <v>15</v>
      </c>
      <c r="I158" s="501" t="s">
        <v>1553</v>
      </c>
      <c r="J158" s="501" t="s">
        <v>715</v>
      </c>
      <c r="K158" s="501" t="s">
        <v>29</v>
      </c>
      <c r="L158" s="501" t="s">
        <v>756</v>
      </c>
      <c r="M158" s="501" t="s">
        <v>15</v>
      </c>
    </row>
    <row r="159" customHeight="1" spans="2:13">
      <c r="B159" s="501" t="s">
        <v>356</v>
      </c>
      <c r="C159" s="493" t="s">
        <v>1553</v>
      </c>
      <c r="D159" s="493" t="s">
        <v>1553</v>
      </c>
      <c r="E159" s="500" t="s">
        <v>125</v>
      </c>
      <c r="F159" s="500" t="s">
        <v>132</v>
      </c>
      <c r="G159" s="501" t="s">
        <v>716</v>
      </c>
      <c r="H159" s="501" t="s">
        <v>356</v>
      </c>
      <c r="I159" s="501" t="s">
        <v>1553</v>
      </c>
      <c r="J159" s="501" t="s">
        <v>715</v>
      </c>
      <c r="K159" s="501" t="s">
        <v>15</v>
      </c>
      <c r="L159" s="501" t="s">
        <v>738</v>
      </c>
      <c r="M159" s="501" t="s">
        <v>356</v>
      </c>
    </row>
    <row r="160" customHeight="1" spans="2:13">
      <c r="B160" s="501" t="s">
        <v>738</v>
      </c>
      <c r="C160" s="493" t="s">
        <v>1553</v>
      </c>
      <c r="D160" s="493" t="s">
        <v>1553</v>
      </c>
      <c r="E160" s="500" t="s">
        <v>121</v>
      </c>
      <c r="F160" s="500" t="s">
        <v>710</v>
      </c>
      <c r="G160" s="501" t="s">
        <v>708</v>
      </c>
      <c r="H160" s="501" t="s">
        <v>15</v>
      </c>
      <c r="I160" s="501" t="s">
        <v>1553</v>
      </c>
      <c r="J160" s="501" t="s">
        <v>71</v>
      </c>
      <c r="K160" s="501" t="s">
        <v>44</v>
      </c>
      <c r="L160" s="501" t="s">
        <v>758</v>
      </c>
      <c r="M160" s="501" t="s">
        <v>738</v>
      </c>
    </row>
    <row r="161" customHeight="1" spans="2:13">
      <c r="B161" s="501" t="s">
        <v>758</v>
      </c>
      <c r="C161" s="493" t="s">
        <v>1553</v>
      </c>
      <c r="D161" s="493" t="s">
        <v>1553</v>
      </c>
      <c r="E161" s="500" t="s">
        <v>121</v>
      </c>
      <c r="F161" s="500" t="s">
        <v>132</v>
      </c>
      <c r="G161" s="501" t="s">
        <v>708</v>
      </c>
      <c r="H161" s="501" t="s">
        <v>758</v>
      </c>
      <c r="I161" s="501" t="s">
        <v>1553</v>
      </c>
      <c r="J161" s="501" t="s">
        <v>715</v>
      </c>
      <c r="K161" s="501" t="s">
        <v>719</v>
      </c>
      <c r="L161" s="501" t="s">
        <v>756</v>
      </c>
      <c r="M161" s="501" t="s">
        <v>758</v>
      </c>
    </row>
    <row r="162" customHeight="1" spans="2:13">
      <c r="B162" s="501" t="s">
        <v>756</v>
      </c>
      <c r="C162" s="493" t="s">
        <v>1553</v>
      </c>
      <c r="D162" s="493" t="s">
        <v>1553</v>
      </c>
      <c r="E162" s="500" t="s">
        <v>699</v>
      </c>
      <c r="F162" s="500" t="s">
        <v>132</v>
      </c>
      <c r="G162" s="501" t="s">
        <v>720</v>
      </c>
      <c r="H162" s="501" t="s">
        <v>756</v>
      </c>
      <c r="I162" s="501" t="s">
        <v>1553</v>
      </c>
      <c r="J162" s="501" t="s">
        <v>71</v>
      </c>
      <c r="K162" s="501" t="s">
        <v>705</v>
      </c>
      <c r="L162" s="501" t="s">
        <v>738</v>
      </c>
      <c r="M162" s="501" t="s">
        <v>756</v>
      </c>
    </row>
    <row r="163" customHeight="1" spans="2:13">
      <c r="B163" s="501" t="s">
        <v>822</v>
      </c>
      <c r="C163" s="493" t="s">
        <v>1553</v>
      </c>
      <c r="D163" s="493" t="s">
        <v>1553</v>
      </c>
      <c r="E163" s="500" t="s">
        <v>125</v>
      </c>
      <c r="F163" s="500" t="s">
        <v>710</v>
      </c>
      <c r="G163" s="501" t="s">
        <v>20</v>
      </c>
      <c r="H163" s="501" t="s">
        <v>756</v>
      </c>
      <c r="I163" s="501" t="s">
        <v>1553</v>
      </c>
      <c r="J163" s="501" t="s">
        <v>715</v>
      </c>
      <c r="K163" s="501" t="s">
        <v>44</v>
      </c>
      <c r="L163" s="501" t="s">
        <v>758</v>
      </c>
      <c r="M163" s="501" t="s">
        <v>822</v>
      </c>
    </row>
    <row r="164" customHeight="1" spans="2:13">
      <c r="B164" s="501" t="s">
        <v>803</v>
      </c>
      <c r="C164" s="493" t="s">
        <v>1553</v>
      </c>
      <c r="D164" s="493" t="s">
        <v>1553</v>
      </c>
      <c r="E164" s="500" t="s">
        <v>110</v>
      </c>
      <c r="F164" s="500" t="s">
        <v>724</v>
      </c>
      <c r="G164" s="501" t="s">
        <v>720</v>
      </c>
      <c r="H164" s="501" t="s">
        <v>803</v>
      </c>
      <c r="I164" s="501" t="s">
        <v>1553</v>
      </c>
      <c r="J164" s="501" t="s">
        <v>715</v>
      </c>
      <c r="K164" s="501" t="s">
        <v>705</v>
      </c>
      <c r="L164" s="501" t="s">
        <v>758</v>
      </c>
      <c r="M164" s="501" t="s">
        <v>803</v>
      </c>
    </row>
    <row r="165" customHeight="1" spans="2:13">
      <c r="B165" s="501" t="s">
        <v>1576</v>
      </c>
      <c r="C165" s="493" t="s">
        <v>1553</v>
      </c>
      <c r="D165" s="493" t="s">
        <v>1553</v>
      </c>
      <c r="E165" s="500" t="s">
        <v>135</v>
      </c>
      <c r="F165" s="500" t="s">
        <v>743</v>
      </c>
      <c r="G165" s="501" t="s">
        <v>708</v>
      </c>
      <c r="H165" s="501" t="s">
        <v>1576</v>
      </c>
      <c r="I165" s="501" t="s">
        <v>1553</v>
      </c>
      <c r="J165" s="501" t="s">
        <v>71</v>
      </c>
      <c r="K165" s="501" t="s">
        <v>44</v>
      </c>
      <c r="L165" s="501" t="s">
        <v>756</v>
      </c>
      <c r="M165" s="501" t="s">
        <v>1576</v>
      </c>
    </row>
    <row r="166" customHeight="1" spans="2:13">
      <c r="B166" s="501" t="s">
        <v>1577</v>
      </c>
      <c r="C166" s="493" t="s">
        <v>1553</v>
      </c>
      <c r="D166" s="493" t="s">
        <v>1553</v>
      </c>
      <c r="E166" s="500" t="s">
        <v>110</v>
      </c>
      <c r="F166" s="500" t="s">
        <v>753</v>
      </c>
      <c r="G166" s="501" t="s">
        <v>99</v>
      </c>
      <c r="H166" s="501" t="s">
        <v>1577</v>
      </c>
      <c r="I166" s="501" t="s">
        <v>1553</v>
      </c>
      <c r="J166" s="501" t="s">
        <v>715</v>
      </c>
      <c r="K166" s="501" t="s">
        <v>719</v>
      </c>
      <c r="L166" s="501" t="s">
        <v>758</v>
      </c>
      <c r="M166" s="501" t="s">
        <v>1577</v>
      </c>
    </row>
    <row r="167" customHeight="1" spans="2:13">
      <c r="B167" s="501" t="s">
        <v>1578</v>
      </c>
      <c r="C167" s="493" t="s">
        <v>1553</v>
      </c>
      <c r="D167" s="493" t="s">
        <v>1553</v>
      </c>
      <c r="E167" s="500" t="s">
        <v>125</v>
      </c>
      <c r="F167" s="500" t="s">
        <v>743</v>
      </c>
      <c r="G167" s="501" t="s">
        <v>885</v>
      </c>
      <c r="H167" s="501" t="s">
        <v>1578</v>
      </c>
      <c r="I167" s="501" t="s">
        <v>1553</v>
      </c>
      <c r="J167" s="501" t="s">
        <v>71</v>
      </c>
      <c r="K167" s="501" t="s">
        <v>29</v>
      </c>
      <c r="L167" s="501" t="s">
        <v>756</v>
      </c>
      <c r="M167" s="501" t="s">
        <v>1578</v>
      </c>
    </row>
    <row r="168" customHeight="1" spans="2:13">
      <c r="B168" s="501" t="s">
        <v>891</v>
      </c>
      <c r="C168" s="493" t="s">
        <v>1553</v>
      </c>
      <c r="D168" s="493" t="s">
        <v>1553</v>
      </c>
      <c r="E168" s="500" t="s">
        <v>125</v>
      </c>
      <c r="F168" s="500" t="s">
        <v>710</v>
      </c>
      <c r="G168" s="501" t="s">
        <v>885</v>
      </c>
      <c r="H168" s="501" t="s">
        <v>891</v>
      </c>
      <c r="I168" s="501" t="s">
        <v>1553</v>
      </c>
      <c r="J168" s="501" t="s">
        <v>715</v>
      </c>
      <c r="K168" s="501" t="s">
        <v>29</v>
      </c>
      <c r="L168" s="501" t="s">
        <v>756</v>
      </c>
      <c r="M168" s="501" t="s">
        <v>891</v>
      </c>
    </row>
    <row r="169" customHeight="1" spans="2:13">
      <c r="B169" s="501" t="s">
        <v>1579</v>
      </c>
      <c r="C169" s="493" t="s">
        <v>1553</v>
      </c>
      <c r="D169" s="493" t="s">
        <v>1553</v>
      </c>
      <c r="E169" s="500" t="s">
        <v>135</v>
      </c>
      <c r="F169" s="500" t="s">
        <v>742</v>
      </c>
      <c r="G169" s="501" t="s">
        <v>1572</v>
      </c>
      <c r="H169" s="501" t="s">
        <v>1579</v>
      </c>
      <c r="I169" s="501" t="s">
        <v>1553</v>
      </c>
      <c r="J169" s="501" t="s">
        <v>71</v>
      </c>
      <c r="K169" s="501" t="s">
        <v>705</v>
      </c>
      <c r="L169" s="501" t="s">
        <v>1578</v>
      </c>
      <c r="M169" s="501" t="s">
        <v>1579</v>
      </c>
    </row>
    <row r="170" customHeight="1" spans="2:13">
      <c r="B170" s="501" t="s">
        <v>1580</v>
      </c>
      <c r="C170" s="493" t="s">
        <v>1553</v>
      </c>
      <c r="D170" s="493" t="s">
        <v>1553</v>
      </c>
      <c r="E170" s="500" t="s">
        <v>135</v>
      </c>
      <c r="F170" s="500" t="s">
        <v>724</v>
      </c>
      <c r="G170" s="501" t="s">
        <v>841</v>
      </c>
      <c r="H170" s="501" t="s">
        <v>1580</v>
      </c>
      <c r="I170" s="501" t="s">
        <v>1553</v>
      </c>
      <c r="J170" s="501" t="s">
        <v>44</v>
      </c>
      <c r="K170" s="501" t="s">
        <v>356</v>
      </c>
      <c r="L170" s="501" t="s">
        <v>891</v>
      </c>
      <c r="M170" s="501" t="s">
        <v>1580</v>
      </c>
    </row>
    <row r="171" customHeight="1" spans="2:13">
      <c r="B171" s="501" t="s">
        <v>1581</v>
      </c>
      <c r="C171" s="493" t="s">
        <v>1553</v>
      </c>
      <c r="D171" s="493" t="s">
        <v>1553</v>
      </c>
      <c r="E171" s="500" t="s">
        <v>110</v>
      </c>
      <c r="F171" s="500" t="s">
        <v>713</v>
      </c>
      <c r="G171" s="501" t="s">
        <v>1572</v>
      </c>
      <c r="H171" s="501" t="s">
        <v>1581</v>
      </c>
      <c r="I171" s="501" t="s">
        <v>1553</v>
      </c>
      <c r="J171" s="501" t="s">
        <v>705</v>
      </c>
      <c r="K171" s="501" t="s">
        <v>15</v>
      </c>
      <c r="L171" s="501" t="s">
        <v>758</v>
      </c>
      <c r="M171" s="501" t="s">
        <v>1581</v>
      </c>
    </row>
    <row r="172" customHeight="1" spans="2:13">
      <c r="B172" s="501" t="s">
        <v>1582</v>
      </c>
      <c r="C172" s="493" t="s">
        <v>1553</v>
      </c>
      <c r="D172" s="493" t="s">
        <v>1553</v>
      </c>
      <c r="E172" s="500" t="s">
        <v>121</v>
      </c>
      <c r="F172" s="500" t="s">
        <v>132</v>
      </c>
      <c r="G172" s="501" t="s">
        <v>49</v>
      </c>
      <c r="H172" s="501" t="s">
        <v>1582</v>
      </c>
      <c r="I172" s="501" t="s">
        <v>1553</v>
      </c>
      <c r="J172" s="501" t="s">
        <v>71</v>
      </c>
      <c r="K172" s="501" t="s">
        <v>356</v>
      </c>
      <c r="L172" s="501" t="s">
        <v>719</v>
      </c>
      <c r="M172" s="501" t="s">
        <v>1582</v>
      </c>
    </row>
    <row r="173" customHeight="1" spans="2:13">
      <c r="B173" s="501" t="s">
        <v>1583</v>
      </c>
      <c r="C173" s="493" t="s">
        <v>1553</v>
      </c>
      <c r="D173" s="493" t="s">
        <v>1553</v>
      </c>
      <c r="E173" s="500" t="s">
        <v>125</v>
      </c>
      <c r="F173" s="500" t="s">
        <v>132</v>
      </c>
      <c r="G173" s="501" t="s">
        <v>716</v>
      </c>
      <c r="H173" s="501" t="s">
        <v>356</v>
      </c>
      <c r="I173" s="501" t="s">
        <v>1553</v>
      </c>
      <c r="J173" s="501" t="s">
        <v>719</v>
      </c>
      <c r="K173" s="501" t="s">
        <v>758</v>
      </c>
      <c r="L173" s="501" t="s">
        <v>1578</v>
      </c>
      <c r="M173" s="501" t="s">
        <v>1579</v>
      </c>
    </row>
    <row r="175" customHeight="1" spans="2:13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customHeight="1" spans="2:13">
      <c r="B176" s="501"/>
      <c r="C176" s="493"/>
      <c r="D176" s="493"/>
      <c r="E176" s="500"/>
      <c r="F176" s="500"/>
      <c r="G176" s="501"/>
      <c r="H176" s="501"/>
      <c r="I176" s="501"/>
      <c r="J176" s="501"/>
      <c r="K176" s="501"/>
      <c r="L176" s="501"/>
      <c r="M176" s="501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58"/>
  <sheetViews>
    <sheetView zoomScale="85" zoomScaleNormal="85" workbookViewId="0">
      <selection activeCell="J29" sqref="J29"/>
    </sheetView>
  </sheetViews>
  <sheetFormatPr defaultColWidth="9" defaultRowHeight="18" customHeight="1"/>
  <cols>
    <col min="1" max="1" width="4.375" style="478" customWidth="1"/>
    <col min="2" max="2" width="10.625" style="478" customWidth="1"/>
    <col min="3" max="3" width="20.625" style="478" customWidth="1"/>
    <col min="4" max="5" width="22.625" style="478" customWidth="1"/>
    <col min="6" max="6" width="20.625" style="478" customWidth="1"/>
    <col min="7" max="7" width="22.625" style="478" customWidth="1"/>
    <col min="8" max="9" width="16.625" style="478" customWidth="1"/>
    <col min="10" max="10" width="12.625" style="479" customWidth="1"/>
    <col min="11" max="13" width="12.625" style="478" customWidth="1"/>
    <col min="14" max="14" width="18.625" style="478" customWidth="1"/>
    <col min="15" max="21" width="12.625" style="478" customWidth="1"/>
    <col min="22" max="16384" width="9" style="478"/>
  </cols>
  <sheetData>
    <row r="2" customHeight="1" spans="2:22">
      <c r="B2" s="480" t="s">
        <v>1523</v>
      </c>
      <c r="C2" s="480" t="s">
        <v>1524</v>
      </c>
      <c r="D2" s="480" t="s">
        <v>1525</v>
      </c>
      <c r="E2" s="480" t="s">
        <v>1526</v>
      </c>
      <c r="F2" s="480" t="s">
        <v>1527</v>
      </c>
      <c r="G2" s="480" t="s">
        <v>1528</v>
      </c>
      <c r="H2" s="480" t="s">
        <v>1584</v>
      </c>
      <c r="I2" s="480" t="s">
        <v>226</v>
      </c>
      <c r="J2"/>
      <c r="K2" s="481" t="s">
        <v>1524</v>
      </c>
      <c r="L2" s="481" t="s">
        <v>1525</v>
      </c>
      <c r="M2" s="481" t="s">
        <v>1526</v>
      </c>
      <c r="N2" s="481" t="s">
        <v>1527</v>
      </c>
      <c r="O2" s="481" t="s">
        <v>1528</v>
      </c>
      <c r="P2" s="481" t="s">
        <v>1529</v>
      </c>
      <c r="Q2" s="481" t="s">
        <v>1530</v>
      </c>
      <c r="R2" s="481" t="s">
        <v>1531</v>
      </c>
      <c r="S2" s="481" t="s">
        <v>1532</v>
      </c>
      <c r="T2" s="481" t="s">
        <v>1533</v>
      </c>
      <c r="U2" s="481" t="s">
        <v>1534</v>
      </c>
      <c r="V2" s="481" t="s">
        <v>226</v>
      </c>
    </row>
    <row r="3" customHeight="1" spans="2:22">
      <c r="B3" s="480" t="s">
        <v>1535</v>
      </c>
      <c r="C3" s="480" t="s">
        <v>1585</v>
      </c>
      <c r="D3" s="480" t="s">
        <v>1586</v>
      </c>
      <c r="E3" s="480" t="s">
        <v>1586</v>
      </c>
      <c r="F3" s="480" t="s">
        <v>1586</v>
      </c>
      <c r="G3" s="480" t="s">
        <v>1586</v>
      </c>
      <c r="H3" s="480" t="s">
        <v>1587</v>
      </c>
      <c r="I3" s="480" t="s">
        <v>1588</v>
      </c>
      <c r="J3"/>
      <c r="K3" s="480" t="s">
        <v>1536</v>
      </c>
      <c r="L3" s="480" t="s">
        <v>1537</v>
      </c>
      <c r="M3" s="480" t="s">
        <v>1537</v>
      </c>
      <c r="N3" s="480" t="s">
        <v>1537</v>
      </c>
      <c r="O3" s="480" t="s">
        <v>1538</v>
      </c>
      <c r="P3" s="480" t="s">
        <v>1538</v>
      </c>
      <c r="Q3" s="480"/>
      <c r="R3" s="480"/>
      <c r="S3" s="480"/>
      <c r="T3" s="480"/>
      <c r="U3" s="480"/>
      <c r="V3" s="480"/>
    </row>
    <row r="4" customHeight="1" spans="2:22">
      <c r="B4" s="480" t="s">
        <v>1543</v>
      </c>
      <c r="C4" s="480" t="s">
        <v>1589</v>
      </c>
      <c r="D4" s="480" t="s">
        <v>1590</v>
      </c>
      <c r="E4" s="480" t="s">
        <v>1590</v>
      </c>
      <c r="F4" s="480" t="s">
        <v>1590</v>
      </c>
      <c r="G4" s="480" t="s">
        <v>1591</v>
      </c>
      <c r="H4" s="480" t="s">
        <v>1587</v>
      </c>
      <c r="I4" s="480" t="s">
        <v>1592</v>
      </c>
      <c r="J4"/>
      <c r="K4" s="480" t="s">
        <v>1536</v>
      </c>
      <c r="L4" s="480" t="s">
        <v>1537</v>
      </c>
      <c r="M4" s="480" t="s">
        <v>1537</v>
      </c>
      <c r="N4" s="480" t="s">
        <v>1537</v>
      </c>
      <c r="O4" s="480" t="s">
        <v>1536</v>
      </c>
      <c r="P4" s="480" t="s">
        <v>1536</v>
      </c>
      <c r="Q4" s="480"/>
      <c r="R4" s="480"/>
      <c r="S4" s="480"/>
      <c r="T4" s="480"/>
      <c r="U4" s="480"/>
      <c r="V4" s="480"/>
    </row>
    <row r="5" customHeight="1" spans="2:22">
      <c r="B5" s="480" t="s">
        <v>1545</v>
      </c>
      <c r="C5" s="480" t="s">
        <v>1585</v>
      </c>
      <c r="D5" s="480" t="s">
        <v>1586</v>
      </c>
      <c r="E5" s="480" t="s">
        <v>1586</v>
      </c>
      <c r="F5" s="480" t="s">
        <v>1586</v>
      </c>
      <c r="G5" s="480" t="s">
        <v>1586</v>
      </c>
      <c r="H5" s="480" t="s">
        <v>1587</v>
      </c>
      <c r="I5" s="480" t="s">
        <v>1588</v>
      </c>
      <c r="J5"/>
      <c r="K5" s="480" t="s">
        <v>1537</v>
      </c>
      <c r="L5" s="480" t="s">
        <v>1546</v>
      </c>
      <c r="M5" s="480" t="s">
        <v>1547</v>
      </c>
      <c r="N5" s="480" t="s">
        <v>1538</v>
      </c>
      <c r="O5" s="480" t="s">
        <v>1538</v>
      </c>
      <c r="P5" s="480" t="s">
        <v>1538</v>
      </c>
      <c r="Q5" s="480"/>
      <c r="R5" s="480"/>
      <c r="S5" s="480"/>
      <c r="T5" s="480"/>
      <c r="U5" s="480"/>
      <c r="V5" s="480"/>
    </row>
    <row r="6" customHeight="1" spans="2:22">
      <c r="B6" s="480" t="s">
        <v>1550</v>
      </c>
      <c r="C6" s="480" t="s">
        <v>1593</v>
      </c>
      <c r="D6" s="480" t="s">
        <v>1593</v>
      </c>
      <c r="E6" s="480" t="s">
        <v>1593</v>
      </c>
      <c r="F6" s="480" t="s">
        <v>1593</v>
      </c>
      <c r="G6" s="480" t="s">
        <v>1587</v>
      </c>
      <c r="H6" s="480" t="s">
        <v>1587</v>
      </c>
      <c r="I6" s="480" t="s">
        <v>1594</v>
      </c>
      <c r="J6"/>
      <c r="K6" s="480" t="s">
        <v>1537</v>
      </c>
      <c r="L6" s="480" t="s">
        <v>1546</v>
      </c>
      <c r="M6" s="480" t="s">
        <v>1548</v>
      </c>
      <c r="N6" s="480" t="s">
        <v>1538</v>
      </c>
      <c r="O6" s="480" t="s">
        <v>1538</v>
      </c>
      <c r="P6" s="480" t="s">
        <v>1538</v>
      </c>
      <c r="Q6" s="480"/>
      <c r="R6" s="480"/>
      <c r="S6" s="480"/>
      <c r="T6" s="480"/>
      <c r="U6" s="480"/>
      <c r="V6" s="480"/>
    </row>
    <row r="7" customHeight="1" spans="2:22">
      <c r="J7"/>
    </row>
    <row r="9" customHeight="1" spans="2:22">
      <c r="B9" s="482" t="s">
        <v>1523</v>
      </c>
      <c r="C9" s="482" t="s">
        <v>1595</v>
      </c>
      <c r="D9" s="482" t="s">
        <v>1596</v>
      </c>
      <c r="E9" s="482" t="s">
        <v>1597</v>
      </c>
      <c r="F9" s="482" t="s">
        <v>1598</v>
      </c>
      <c r="G9" s="482" t="s">
        <v>1599</v>
      </c>
      <c r="H9" s="482" t="s">
        <v>1600</v>
      </c>
      <c r="I9" s="482"/>
      <c r="J9" s="483" t="s">
        <v>1523</v>
      </c>
      <c r="K9" s="481" t="s">
        <v>1524</v>
      </c>
      <c r="L9" s="481" t="s">
        <v>1525</v>
      </c>
      <c r="M9" s="481" t="s">
        <v>1526</v>
      </c>
      <c r="N9" s="481" t="s">
        <v>1527</v>
      </c>
      <c r="O9" s="481" t="s">
        <v>1528</v>
      </c>
      <c r="P9" s="481" t="s">
        <v>1529</v>
      </c>
      <c r="Q9" s="481" t="s">
        <v>1530</v>
      </c>
      <c r="R9" s="481" t="s">
        <v>1531</v>
      </c>
      <c r="S9" s="481" t="s">
        <v>1532</v>
      </c>
      <c r="T9" s="481" t="s">
        <v>1533</v>
      </c>
      <c r="U9" s="481" t="s">
        <v>1534</v>
      </c>
    </row>
    <row r="10" customHeight="1" spans="2:22">
      <c r="B10" s="482" t="s">
        <v>1535</v>
      </c>
      <c r="C10" s="482"/>
      <c r="D10" s="482"/>
      <c r="E10" s="482"/>
      <c r="F10" s="482"/>
      <c r="G10" s="482"/>
      <c r="H10" s="482"/>
      <c r="I10" s="482"/>
      <c r="J10" s="483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</row>
    <row r="11" s="477" customFormat="1" customHeight="1" spans="2:22">
      <c r="B11" s="484" t="s">
        <v>48</v>
      </c>
      <c r="C11" s="485" t="s">
        <v>1601</v>
      </c>
      <c r="D11" s="485" t="s">
        <v>1602</v>
      </c>
      <c r="E11" s="485" t="s">
        <v>1603</v>
      </c>
      <c r="F11" s="485" t="s">
        <v>1604</v>
      </c>
      <c r="G11" s="485" t="s">
        <v>1605</v>
      </c>
      <c r="H11" s="486" t="s">
        <v>1606</v>
      </c>
      <c r="I11" s="486"/>
      <c r="J11" s="487" t="s">
        <v>48</v>
      </c>
      <c r="K11" s="486" t="s">
        <v>58</v>
      </c>
      <c r="L11" s="486" t="s">
        <v>66</v>
      </c>
      <c r="M11" s="486" t="s">
        <v>43</v>
      </c>
      <c r="N11" s="486" t="s">
        <v>1552</v>
      </c>
      <c r="O11" s="486" t="s">
        <v>106</v>
      </c>
      <c r="P11" s="488" t="s">
        <v>9</v>
      </c>
      <c r="Q11" s="482"/>
      <c r="R11" s="482"/>
      <c r="S11" s="482"/>
      <c r="T11" s="482"/>
      <c r="U11" s="482"/>
    </row>
    <row r="12" s="477" customFormat="1" customHeight="1" spans="2:22">
      <c r="B12" s="484" t="s">
        <v>46</v>
      </c>
      <c r="C12" s="485" t="s">
        <v>1607</v>
      </c>
      <c r="D12" s="485" t="s">
        <v>1608</v>
      </c>
      <c r="E12" s="485" t="s">
        <v>1609</v>
      </c>
      <c r="F12" s="485" t="s">
        <v>1610</v>
      </c>
      <c r="G12" s="482" t="s">
        <v>1611</v>
      </c>
      <c r="H12" s="486" t="s">
        <v>1612</v>
      </c>
      <c r="I12" s="486"/>
      <c r="J12" s="487" t="s">
        <v>46</v>
      </c>
      <c r="K12" s="486" t="s">
        <v>46</v>
      </c>
      <c r="L12" s="486" t="s">
        <v>56</v>
      </c>
      <c r="M12" s="486" t="s">
        <v>62</v>
      </c>
      <c r="N12" s="486" t="s">
        <v>1552</v>
      </c>
      <c r="O12" s="486" t="s">
        <v>117</v>
      </c>
      <c r="P12" s="488" t="s">
        <v>19</v>
      </c>
      <c r="Q12" s="482"/>
      <c r="R12" s="482"/>
      <c r="S12" s="482"/>
      <c r="T12" s="482"/>
      <c r="U12" s="482"/>
    </row>
    <row r="13" s="477" customFormat="1" customHeight="1" spans="2:22">
      <c r="B13" s="484" t="s">
        <v>53</v>
      </c>
      <c r="C13" s="485" t="s">
        <v>1613</v>
      </c>
      <c r="D13" s="485" t="s">
        <v>1608</v>
      </c>
      <c r="E13" s="485" t="s">
        <v>1614</v>
      </c>
      <c r="F13" s="485" t="s">
        <v>1610</v>
      </c>
      <c r="G13" s="482" t="s">
        <v>1611</v>
      </c>
      <c r="H13" s="486" t="s">
        <v>1615</v>
      </c>
      <c r="I13" s="486"/>
      <c r="J13" s="487" t="s">
        <v>53</v>
      </c>
      <c r="K13" s="486" t="s">
        <v>58</v>
      </c>
      <c r="L13" s="486" t="s">
        <v>66</v>
      </c>
      <c r="M13" s="486" t="s">
        <v>43</v>
      </c>
      <c r="N13" s="486" t="s">
        <v>1552</v>
      </c>
      <c r="O13" s="486" t="s">
        <v>106</v>
      </c>
      <c r="P13" s="488" t="s">
        <v>9</v>
      </c>
      <c r="Q13" s="482"/>
      <c r="R13" s="482"/>
      <c r="S13" s="482"/>
      <c r="T13" s="482"/>
      <c r="U13" s="482"/>
    </row>
    <row r="14" s="477" customFormat="1" customHeight="1" spans="2:22">
      <c r="B14" s="484" t="s">
        <v>62</v>
      </c>
      <c r="C14" s="485" t="s">
        <v>1616</v>
      </c>
      <c r="D14" s="485" t="s">
        <v>1608</v>
      </c>
      <c r="E14" s="485" t="s">
        <v>1617</v>
      </c>
      <c r="F14" s="485" t="s">
        <v>1610</v>
      </c>
      <c r="G14" s="482" t="s">
        <v>1611</v>
      </c>
      <c r="H14" s="486" t="s">
        <v>1618</v>
      </c>
      <c r="I14" s="486"/>
      <c r="J14" s="487" t="s">
        <v>62</v>
      </c>
      <c r="K14" s="486" t="s">
        <v>46</v>
      </c>
      <c r="L14" s="486" t="s">
        <v>56</v>
      </c>
      <c r="M14" s="486" t="s">
        <v>62</v>
      </c>
      <c r="N14" s="486" t="s">
        <v>1552</v>
      </c>
      <c r="O14" s="486" t="s">
        <v>117</v>
      </c>
      <c r="P14" s="488" t="s">
        <v>19</v>
      </c>
      <c r="Q14" s="482"/>
      <c r="R14" s="482"/>
      <c r="S14" s="482"/>
      <c r="T14" s="482"/>
      <c r="U14" s="482"/>
    </row>
    <row r="15" s="477" customFormat="1" customHeight="1" spans="2:22">
      <c r="B15" s="484" t="s">
        <v>61</v>
      </c>
      <c r="C15" s="485" t="s">
        <v>1607</v>
      </c>
      <c r="D15" s="485" t="s">
        <v>1608</v>
      </c>
      <c r="E15" s="485" t="s">
        <v>1609</v>
      </c>
      <c r="F15" s="485" t="s">
        <v>1610</v>
      </c>
      <c r="G15" s="482" t="s">
        <v>1611</v>
      </c>
      <c r="H15" s="486" t="s">
        <v>1619</v>
      </c>
      <c r="I15" s="486"/>
      <c r="J15" s="487" t="s">
        <v>61</v>
      </c>
      <c r="K15" s="486" t="s">
        <v>58</v>
      </c>
      <c r="L15" s="486" t="s">
        <v>66</v>
      </c>
      <c r="M15" s="486" t="s">
        <v>43</v>
      </c>
      <c r="N15" s="486" t="s">
        <v>1552</v>
      </c>
      <c r="O15" s="486" t="s">
        <v>106</v>
      </c>
      <c r="P15" s="488" t="s">
        <v>9</v>
      </c>
      <c r="Q15" s="482"/>
      <c r="R15" s="482"/>
      <c r="S15" s="482"/>
      <c r="T15" s="482"/>
      <c r="U15" s="482"/>
    </row>
    <row r="16" s="477" customFormat="1" customHeight="1" spans="2:22">
      <c r="B16" s="484" t="s">
        <v>36</v>
      </c>
      <c r="C16" s="485" t="s">
        <v>1607</v>
      </c>
      <c r="D16" s="485" t="s">
        <v>1608</v>
      </c>
      <c r="E16" s="485" t="s">
        <v>1609</v>
      </c>
      <c r="F16" s="485" t="s">
        <v>1610</v>
      </c>
      <c r="G16" s="482" t="s">
        <v>1611</v>
      </c>
      <c r="H16" s="486" t="s">
        <v>1620</v>
      </c>
      <c r="I16" s="486"/>
      <c r="J16" s="487" t="s">
        <v>36</v>
      </c>
      <c r="K16" s="486" t="s">
        <v>58</v>
      </c>
      <c r="L16" s="486" t="s">
        <v>66</v>
      </c>
      <c r="M16" s="486" t="s">
        <v>43</v>
      </c>
      <c r="N16" s="486" t="s">
        <v>1552</v>
      </c>
      <c r="O16" s="486" t="s">
        <v>106</v>
      </c>
      <c r="P16" s="488" t="s">
        <v>9</v>
      </c>
      <c r="Q16" s="482"/>
      <c r="R16" s="482"/>
      <c r="S16" s="482"/>
      <c r="T16" s="482"/>
      <c r="U16" s="482"/>
    </row>
    <row r="17" s="477" customFormat="1" customHeight="1" spans="2:21">
      <c r="B17" s="484" t="s">
        <v>41</v>
      </c>
      <c r="C17" s="485" t="s">
        <v>1607</v>
      </c>
      <c r="D17" s="485" t="s">
        <v>1608</v>
      </c>
      <c r="E17" s="485" t="s">
        <v>1609</v>
      </c>
      <c r="F17" s="485" t="s">
        <v>1610</v>
      </c>
      <c r="G17" s="482" t="s">
        <v>1611</v>
      </c>
      <c r="H17" s="486" t="s">
        <v>1612</v>
      </c>
      <c r="I17" s="486"/>
      <c r="J17" s="487" t="s">
        <v>41</v>
      </c>
      <c r="K17" s="486" t="s">
        <v>46</v>
      </c>
      <c r="L17" s="486" t="s">
        <v>56</v>
      </c>
      <c r="M17" s="486" t="s">
        <v>62</v>
      </c>
      <c r="N17" s="486" t="s">
        <v>1552</v>
      </c>
      <c r="O17" s="486" t="s">
        <v>117</v>
      </c>
      <c r="P17" s="488" t="s">
        <v>19</v>
      </c>
      <c r="Q17" s="482"/>
      <c r="R17" s="482"/>
      <c r="S17" s="482"/>
      <c r="T17" s="482"/>
      <c r="U17" s="482"/>
    </row>
    <row r="18" s="477" customFormat="1" customHeight="1" spans="2:21">
      <c r="B18" s="484" t="s">
        <v>58</v>
      </c>
      <c r="C18" s="485" t="s">
        <v>1621</v>
      </c>
      <c r="D18" s="485" t="s">
        <v>1608</v>
      </c>
      <c r="E18" s="485" t="s">
        <v>1617</v>
      </c>
      <c r="F18" s="485" t="s">
        <v>1610</v>
      </c>
      <c r="G18" s="482" t="s">
        <v>1611</v>
      </c>
      <c r="H18" s="486" t="s">
        <v>1622</v>
      </c>
      <c r="I18" s="486"/>
      <c r="J18" s="487" t="s">
        <v>58</v>
      </c>
      <c r="K18" s="486" t="s">
        <v>58</v>
      </c>
      <c r="L18" s="486" t="s">
        <v>66</v>
      </c>
      <c r="M18" s="486" t="s">
        <v>43</v>
      </c>
      <c r="N18" s="486" t="s">
        <v>1552</v>
      </c>
      <c r="O18" s="486" t="s">
        <v>106</v>
      </c>
      <c r="P18" s="488" t="s">
        <v>9</v>
      </c>
      <c r="Q18" s="482"/>
      <c r="R18" s="482"/>
      <c r="S18" s="482"/>
      <c r="T18" s="482"/>
      <c r="U18" s="482"/>
    </row>
    <row r="19" s="477" customFormat="1" customHeight="1" spans="2:21">
      <c r="B19" s="484" t="s">
        <v>51</v>
      </c>
      <c r="C19" s="485" t="s">
        <v>1613</v>
      </c>
      <c r="D19" s="485" t="s">
        <v>1608</v>
      </c>
      <c r="E19" s="485" t="s">
        <v>1614</v>
      </c>
      <c r="F19" s="485" t="s">
        <v>1610</v>
      </c>
      <c r="G19" s="482" t="s">
        <v>1611</v>
      </c>
      <c r="H19" s="486" t="s">
        <v>1615</v>
      </c>
      <c r="I19" s="486"/>
      <c r="J19" s="487" t="s">
        <v>51</v>
      </c>
      <c r="K19" s="486" t="s">
        <v>46</v>
      </c>
      <c r="L19" s="486" t="s">
        <v>56</v>
      </c>
      <c r="M19" s="486" t="s">
        <v>62</v>
      </c>
      <c r="N19" s="486" t="s">
        <v>1552</v>
      </c>
      <c r="O19" s="486" t="s">
        <v>117</v>
      </c>
      <c r="P19" s="488" t="s">
        <v>19</v>
      </c>
      <c r="Q19" s="482"/>
      <c r="R19" s="482"/>
      <c r="S19" s="482"/>
      <c r="T19" s="482"/>
      <c r="U19" s="482"/>
    </row>
    <row r="20" s="477" customFormat="1" customHeight="1" spans="2:21">
      <c r="B20" s="484" t="s">
        <v>66</v>
      </c>
      <c r="C20" s="485" t="s">
        <v>1607</v>
      </c>
      <c r="D20" s="485" t="s">
        <v>1608</v>
      </c>
      <c r="E20" s="485" t="s">
        <v>1609</v>
      </c>
      <c r="F20" s="485" t="s">
        <v>1610</v>
      </c>
      <c r="G20" s="482" t="s">
        <v>1611</v>
      </c>
      <c r="H20" s="486" t="s">
        <v>1619</v>
      </c>
      <c r="I20" s="486"/>
      <c r="J20" s="487" t="s">
        <v>66</v>
      </c>
      <c r="K20" s="486" t="s">
        <v>58</v>
      </c>
      <c r="L20" s="486" t="s">
        <v>66</v>
      </c>
      <c r="M20" s="486" t="s">
        <v>43</v>
      </c>
      <c r="N20" s="486" t="s">
        <v>1552</v>
      </c>
      <c r="O20" s="486" t="s">
        <v>106</v>
      </c>
      <c r="P20" s="488" t="s">
        <v>9</v>
      </c>
      <c r="Q20" s="482"/>
      <c r="R20" s="482"/>
      <c r="S20" s="482"/>
      <c r="T20" s="482"/>
      <c r="U20" s="482"/>
    </row>
    <row r="21" s="477" customFormat="1" customHeight="1" spans="2:21">
      <c r="B21" s="484" t="s">
        <v>56</v>
      </c>
      <c r="C21" s="485" t="s">
        <v>1607</v>
      </c>
      <c r="D21" s="485" t="s">
        <v>1608</v>
      </c>
      <c r="E21" s="485" t="s">
        <v>1609</v>
      </c>
      <c r="F21" s="485" t="s">
        <v>1610</v>
      </c>
      <c r="G21" s="482" t="s">
        <v>1611</v>
      </c>
      <c r="H21" s="486" t="s">
        <v>1623</v>
      </c>
      <c r="I21" s="486"/>
      <c r="J21" s="487" t="s">
        <v>56</v>
      </c>
      <c r="K21" s="486" t="s">
        <v>46</v>
      </c>
      <c r="L21" s="486" t="s">
        <v>56</v>
      </c>
      <c r="M21" s="486" t="s">
        <v>62</v>
      </c>
      <c r="N21" s="486" t="s">
        <v>1552</v>
      </c>
      <c r="O21" s="486" t="s">
        <v>117</v>
      </c>
      <c r="P21" s="488" t="s">
        <v>19</v>
      </c>
      <c r="Q21" s="482"/>
      <c r="R21" s="482"/>
      <c r="S21" s="482"/>
      <c r="T21" s="482"/>
      <c r="U21" s="482"/>
    </row>
    <row r="22" s="477" customFormat="1" customHeight="1" spans="2:21">
      <c r="B22" s="484" t="s">
        <v>38</v>
      </c>
      <c r="C22" s="485" t="s">
        <v>1607</v>
      </c>
      <c r="D22" s="485" t="s">
        <v>1608</v>
      </c>
      <c r="E22" s="485" t="s">
        <v>1609</v>
      </c>
      <c r="F22" s="485" t="s">
        <v>1610</v>
      </c>
      <c r="G22" s="482" t="s">
        <v>1611</v>
      </c>
      <c r="H22" s="486" t="s">
        <v>1612</v>
      </c>
      <c r="I22" s="486"/>
      <c r="J22" s="487" t="s">
        <v>38</v>
      </c>
      <c r="K22" s="486" t="s">
        <v>58</v>
      </c>
      <c r="L22" s="486" t="s">
        <v>66</v>
      </c>
      <c r="M22" s="486" t="s">
        <v>43</v>
      </c>
      <c r="N22" s="486" t="s">
        <v>1552</v>
      </c>
      <c r="O22" s="486" t="s">
        <v>106</v>
      </c>
      <c r="P22" s="488" t="s">
        <v>9</v>
      </c>
      <c r="Q22" s="482"/>
      <c r="R22" s="482"/>
      <c r="S22" s="482"/>
      <c r="T22" s="482"/>
      <c r="U22" s="482"/>
    </row>
    <row r="23" s="477" customFormat="1" customHeight="1" spans="2:21">
      <c r="B23" s="484" t="s">
        <v>43</v>
      </c>
      <c r="C23" s="485" t="s">
        <v>1613</v>
      </c>
      <c r="D23" s="485" t="s">
        <v>1608</v>
      </c>
      <c r="E23" s="485" t="s">
        <v>1614</v>
      </c>
      <c r="F23" s="485" t="s">
        <v>1610</v>
      </c>
      <c r="G23" s="482" t="s">
        <v>1611</v>
      </c>
      <c r="H23" s="486" t="s">
        <v>1615</v>
      </c>
      <c r="I23" s="486"/>
      <c r="J23" s="487" t="s">
        <v>43</v>
      </c>
      <c r="K23" s="486" t="s">
        <v>46</v>
      </c>
      <c r="L23" s="486" t="s">
        <v>56</v>
      </c>
      <c r="M23" s="486" t="s">
        <v>62</v>
      </c>
      <c r="N23" s="486" t="s">
        <v>1552</v>
      </c>
      <c r="O23" s="486" t="s">
        <v>117</v>
      </c>
      <c r="P23" s="488" t="s">
        <v>19</v>
      </c>
      <c r="Q23" s="482"/>
      <c r="R23" s="482"/>
      <c r="S23" s="482"/>
      <c r="T23" s="482"/>
      <c r="U23" s="482"/>
    </row>
    <row r="24" s="477" customFormat="1" customHeight="1" spans="2:21">
      <c r="B24" s="484" t="s">
        <v>65</v>
      </c>
      <c r="C24" s="485" t="s">
        <v>1624</v>
      </c>
      <c r="D24" s="485" t="s">
        <v>1625</v>
      </c>
      <c r="E24" s="485" t="s">
        <v>1626</v>
      </c>
      <c r="F24" s="485" t="s">
        <v>1604</v>
      </c>
      <c r="G24" s="485" t="s">
        <v>1605</v>
      </c>
      <c r="H24" s="486" t="s">
        <v>1627</v>
      </c>
      <c r="I24" s="486"/>
      <c r="J24" s="487" t="s">
        <v>65</v>
      </c>
      <c r="K24" s="486" t="s">
        <v>58</v>
      </c>
      <c r="L24" s="486" t="s">
        <v>66</v>
      </c>
      <c r="M24" s="486" t="s">
        <v>43</v>
      </c>
      <c r="N24" s="486" t="s">
        <v>1552</v>
      </c>
      <c r="O24" s="486" t="s">
        <v>106</v>
      </c>
      <c r="P24" s="488" t="s">
        <v>9</v>
      </c>
      <c r="Q24" s="482"/>
      <c r="R24" s="482"/>
      <c r="S24" s="482"/>
      <c r="T24" s="482"/>
      <c r="U24" s="482"/>
    </row>
    <row r="25" s="477" customFormat="1" customHeight="1" spans="2:21">
      <c r="B25" s="483" t="s">
        <v>1543</v>
      </c>
      <c r="C25" s="482"/>
      <c r="D25" s="482"/>
      <c r="E25" s="482"/>
      <c r="F25" s="482"/>
      <c r="G25" s="482"/>
      <c r="H25" s="482"/>
      <c r="I25" s="482"/>
      <c r="J25" s="483"/>
      <c r="K25" s="482"/>
      <c r="L25" s="482"/>
      <c r="M25" s="482"/>
      <c r="N25" s="482"/>
      <c r="O25" s="482"/>
      <c r="P25" s="482"/>
      <c r="Q25" s="482"/>
      <c r="R25" s="482"/>
      <c r="S25" s="482"/>
      <c r="T25" s="482"/>
      <c r="U25" s="482"/>
    </row>
    <row r="26" s="477" customFormat="1" customHeight="1" spans="2:21">
      <c r="B26" s="484" t="s">
        <v>155</v>
      </c>
      <c r="C26" s="485" t="s">
        <v>1628</v>
      </c>
      <c r="D26" s="485" t="s">
        <v>1629</v>
      </c>
      <c r="E26" s="485" t="s">
        <v>1630</v>
      </c>
      <c r="F26" s="485" t="s">
        <v>1631</v>
      </c>
      <c r="G26" s="486" t="s">
        <v>1568</v>
      </c>
      <c r="H26" s="486" t="s">
        <v>1632</v>
      </c>
      <c r="I26" s="486"/>
      <c r="J26" s="487" t="s">
        <v>155</v>
      </c>
      <c r="K26" s="486" t="s">
        <v>155</v>
      </c>
      <c r="L26" s="486" t="s">
        <v>47</v>
      </c>
      <c r="M26" s="486" t="s">
        <v>147</v>
      </c>
      <c r="N26" s="486" t="s">
        <v>1566</v>
      </c>
      <c r="O26" s="486" t="s">
        <v>110</v>
      </c>
      <c r="P26" s="488" t="s">
        <v>18</v>
      </c>
      <c r="Q26" s="482"/>
      <c r="R26" s="482"/>
      <c r="S26" s="482"/>
      <c r="T26" s="482"/>
      <c r="U26" s="482"/>
    </row>
    <row r="27" s="477" customFormat="1" customHeight="1" spans="2:21">
      <c r="B27" s="484" t="s">
        <v>42</v>
      </c>
      <c r="C27" s="485" t="s">
        <v>1628</v>
      </c>
      <c r="D27" s="485" t="s">
        <v>1629</v>
      </c>
      <c r="E27" s="485" t="s">
        <v>1633</v>
      </c>
      <c r="F27" s="485" t="s">
        <v>1631</v>
      </c>
      <c r="G27" s="486" t="s">
        <v>1568</v>
      </c>
      <c r="H27" s="486" t="s">
        <v>1634</v>
      </c>
      <c r="I27" s="486"/>
      <c r="J27" s="487" t="s">
        <v>42</v>
      </c>
      <c r="K27" s="486" t="s">
        <v>155</v>
      </c>
      <c r="L27" s="486" t="s">
        <v>47</v>
      </c>
      <c r="M27" s="486" t="s">
        <v>147</v>
      </c>
      <c r="N27" s="486" t="s">
        <v>1566</v>
      </c>
      <c r="O27" s="486" t="s">
        <v>110</v>
      </c>
      <c r="P27" s="488" t="s">
        <v>18</v>
      </c>
      <c r="Q27" s="482"/>
      <c r="R27" s="482"/>
      <c r="S27" s="482"/>
      <c r="T27" s="482"/>
      <c r="U27" s="482"/>
    </row>
    <row r="28" s="477" customFormat="1" customHeight="1" spans="2:21">
      <c r="B28" s="484" t="s">
        <v>47</v>
      </c>
      <c r="C28" s="485" t="s">
        <v>1628</v>
      </c>
      <c r="D28" s="485" t="s">
        <v>1629</v>
      </c>
      <c r="E28" s="485" t="s">
        <v>1633</v>
      </c>
      <c r="F28" s="485" t="s">
        <v>1631</v>
      </c>
      <c r="G28" s="486" t="s">
        <v>1568</v>
      </c>
      <c r="H28" s="486" t="s">
        <v>1634</v>
      </c>
      <c r="I28" s="486"/>
      <c r="J28" s="487" t="s">
        <v>47</v>
      </c>
      <c r="K28" s="486" t="s">
        <v>155</v>
      </c>
      <c r="L28" s="486" t="s">
        <v>47</v>
      </c>
      <c r="M28" s="486" t="s">
        <v>147</v>
      </c>
      <c r="N28" s="486" t="s">
        <v>1566</v>
      </c>
      <c r="O28" s="486" t="s">
        <v>110</v>
      </c>
      <c r="P28" s="488" t="s">
        <v>18</v>
      </c>
      <c r="Q28" s="482"/>
      <c r="R28" s="482"/>
      <c r="S28" s="482"/>
      <c r="T28" s="482"/>
      <c r="U28" s="482"/>
    </row>
    <row r="29" s="477" customFormat="1" customHeight="1" spans="2:21">
      <c r="B29" s="484" t="s">
        <v>147</v>
      </c>
      <c r="C29" s="485" t="s">
        <v>1628</v>
      </c>
      <c r="D29" s="485" t="s">
        <v>1629</v>
      </c>
      <c r="E29" s="485" t="s">
        <v>1633</v>
      </c>
      <c r="F29" s="485" t="s">
        <v>1631</v>
      </c>
      <c r="G29" s="486" t="s">
        <v>1568</v>
      </c>
      <c r="H29" s="486" t="s">
        <v>1635</v>
      </c>
      <c r="I29" s="486"/>
      <c r="J29" s="487" t="s">
        <v>147</v>
      </c>
      <c r="K29" s="486" t="s">
        <v>155</v>
      </c>
      <c r="L29" s="486" t="s">
        <v>47</v>
      </c>
      <c r="M29" s="486" t="s">
        <v>147</v>
      </c>
      <c r="N29" s="486" t="s">
        <v>1566</v>
      </c>
      <c r="O29" s="486" t="s">
        <v>110</v>
      </c>
      <c r="P29" s="488" t="s">
        <v>18</v>
      </c>
      <c r="Q29" s="482"/>
      <c r="R29" s="482"/>
      <c r="S29" s="482"/>
      <c r="T29" s="482"/>
      <c r="U29" s="482"/>
    </row>
    <row r="30" s="477" customFormat="1" customHeight="1" spans="2:21">
      <c r="B30" s="484" t="s">
        <v>57</v>
      </c>
      <c r="C30" s="485" t="s">
        <v>1628</v>
      </c>
      <c r="D30" s="485" t="s">
        <v>1636</v>
      </c>
      <c r="E30" s="485" t="s">
        <v>1633</v>
      </c>
      <c r="F30" s="485" t="s">
        <v>1631</v>
      </c>
      <c r="G30" s="486" t="s">
        <v>1568</v>
      </c>
      <c r="H30" s="486" t="s">
        <v>1637</v>
      </c>
      <c r="I30" s="486"/>
      <c r="J30" s="487" t="s">
        <v>57</v>
      </c>
      <c r="K30" s="486" t="s">
        <v>155</v>
      </c>
      <c r="L30" s="486" t="s">
        <v>47</v>
      </c>
      <c r="M30" s="486" t="s">
        <v>147</v>
      </c>
      <c r="N30" s="486" t="s">
        <v>1566</v>
      </c>
      <c r="O30" s="486" t="s">
        <v>110</v>
      </c>
      <c r="P30" s="488" t="s">
        <v>18</v>
      </c>
      <c r="Q30" s="482"/>
      <c r="R30" s="482"/>
      <c r="S30" s="482"/>
      <c r="T30" s="482"/>
      <c r="U30" s="482"/>
    </row>
    <row r="31" s="477" customFormat="1" customHeight="1" spans="2:21">
      <c r="B31" s="483" t="s">
        <v>1545</v>
      </c>
      <c r="C31" s="482"/>
      <c r="D31" s="482"/>
      <c r="E31" s="482"/>
      <c r="F31" s="482"/>
      <c r="G31" s="482"/>
      <c r="H31" s="482"/>
      <c r="I31" s="482"/>
      <c r="J31" s="487"/>
      <c r="K31" s="482"/>
      <c r="L31" s="482"/>
      <c r="M31" s="482"/>
      <c r="N31" s="482"/>
      <c r="O31" s="482"/>
      <c r="P31" s="488"/>
      <c r="Q31" s="482"/>
      <c r="R31" s="482"/>
      <c r="S31" s="482"/>
      <c r="T31" s="482"/>
      <c r="U31" s="482"/>
    </row>
    <row r="32" s="477" customFormat="1" customHeight="1" spans="2:21">
      <c r="B32" s="484" t="s">
        <v>110</v>
      </c>
      <c r="C32" s="485" t="s">
        <v>1638</v>
      </c>
      <c r="D32" s="485" t="s">
        <v>1639</v>
      </c>
      <c r="E32" s="485" t="s">
        <v>1640</v>
      </c>
      <c r="F32" s="485" t="s">
        <v>1641</v>
      </c>
      <c r="G32" s="485" t="s">
        <v>1571</v>
      </c>
      <c r="H32" s="486" t="s">
        <v>110</v>
      </c>
      <c r="I32" s="486"/>
      <c r="J32" s="487" t="s">
        <v>110</v>
      </c>
      <c r="K32" s="482" t="s">
        <v>1553</v>
      </c>
      <c r="L32" s="482" t="s">
        <v>1553</v>
      </c>
      <c r="M32" s="482" t="s">
        <v>1553</v>
      </c>
      <c r="N32" s="486" t="s">
        <v>125</v>
      </c>
      <c r="O32" s="486" t="s">
        <v>124</v>
      </c>
      <c r="P32" s="488" t="s">
        <v>73</v>
      </c>
      <c r="Q32" s="482"/>
      <c r="R32" s="482"/>
      <c r="S32" s="482"/>
      <c r="T32" s="482"/>
      <c r="U32" s="482"/>
    </row>
    <row r="33" s="477" customFormat="1" customHeight="1" spans="2:21">
      <c r="B33" s="484" t="s">
        <v>699</v>
      </c>
      <c r="C33" s="485" t="s">
        <v>1638</v>
      </c>
      <c r="D33" s="485" t="s">
        <v>1639</v>
      </c>
      <c r="E33" s="485" t="s">
        <v>1640</v>
      </c>
      <c r="F33" s="485" t="s">
        <v>1641</v>
      </c>
      <c r="G33" s="485" t="s">
        <v>1571</v>
      </c>
      <c r="H33" s="486" t="s">
        <v>699</v>
      </c>
      <c r="I33" s="486"/>
      <c r="J33" s="487" t="s">
        <v>699</v>
      </c>
      <c r="K33" s="482" t="s">
        <v>1553</v>
      </c>
      <c r="L33" s="482" t="s">
        <v>1553</v>
      </c>
      <c r="M33" s="482" t="s">
        <v>1553</v>
      </c>
      <c r="N33" s="486" t="s">
        <v>125</v>
      </c>
      <c r="O33" s="486" t="s">
        <v>124</v>
      </c>
      <c r="P33" s="488" t="s">
        <v>73</v>
      </c>
      <c r="Q33" s="482"/>
      <c r="R33" s="482"/>
      <c r="S33" s="482"/>
      <c r="T33" s="482"/>
      <c r="U33" s="482"/>
    </row>
    <row r="34" s="477" customFormat="1" customHeight="1" spans="2:21">
      <c r="B34" s="484" t="s">
        <v>709</v>
      </c>
      <c r="C34" s="485" t="s">
        <v>1638</v>
      </c>
      <c r="D34" s="485" t="s">
        <v>1639</v>
      </c>
      <c r="E34" s="485" t="s">
        <v>1640</v>
      </c>
      <c r="F34" s="485" t="s">
        <v>1641</v>
      </c>
      <c r="G34" s="485" t="s">
        <v>1571</v>
      </c>
      <c r="H34" s="486" t="s">
        <v>709</v>
      </c>
      <c r="I34" s="486"/>
      <c r="J34" s="487" t="s">
        <v>709</v>
      </c>
      <c r="K34" s="482" t="s">
        <v>1553</v>
      </c>
      <c r="L34" s="482" t="s">
        <v>1553</v>
      </c>
      <c r="M34" s="482" t="s">
        <v>1553</v>
      </c>
      <c r="N34" s="486" t="s">
        <v>125</v>
      </c>
      <c r="O34" s="486" t="s">
        <v>124</v>
      </c>
      <c r="P34" s="488" t="s">
        <v>73</v>
      </c>
      <c r="Q34" s="482"/>
      <c r="R34" s="482"/>
      <c r="S34" s="482"/>
      <c r="T34" s="482"/>
      <c r="U34" s="482"/>
    </row>
    <row r="35" s="477" customFormat="1" customHeight="1" spans="2:21">
      <c r="B35" s="484" t="s">
        <v>125</v>
      </c>
      <c r="C35" s="485" t="s">
        <v>1638</v>
      </c>
      <c r="D35" s="485" t="s">
        <v>1639</v>
      </c>
      <c r="E35" s="485" t="s">
        <v>1640</v>
      </c>
      <c r="F35" s="485" t="s">
        <v>1641</v>
      </c>
      <c r="G35" s="485" t="s">
        <v>1571</v>
      </c>
      <c r="H35" s="486" t="s">
        <v>135</v>
      </c>
      <c r="I35" s="486"/>
      <c r="J35" s="487" t="s">
        <v>125</v>
      </c>
      <c r="K35" s="482" t="s">
        <v>1553</v>
      </c>
      <c r="L35" s="482" t="s">
        <v>1553</v>
      </c>
      <c r="M35" s="482" t="s">
        <v>1553</v>
      </c>
      <c r="N35" s="486" t="s">
        <v>125</v>
      </c>
      <c r="O35" s="486" t="s">
        <v>124</v>
      </c>
      <c r="P35" s="488" t="s">
        <v>73</v>
      </c>
      <c r="Q35" s="482"/>
      <c r="R35" s="482"/>
      <c r="S35" s="482"/>
      <c r="T35" s="482"/>
      <c r="U35" s="482"/>
    </row>
    <row r="36" s="477" customFormat="1" customHeight="1" spans="2:21">
      <c r="B36" s="484" t="s">
        <v>121</v>
      </c>
      <c r="C36" s="485" t="s">
        <v>1638</v>
      </c>
      <c r="D36" s="485" t="s">
        <v>1639</v>
      </c>
      <c r="E36" s="485" t="s">
        <v>1640</v>
      </c>
      <c r="F36" s="485" t="s">
        <v>1641</v>
      </c>
      <c r="G36" s="485" t="s">
        <v>1571</v>
      </c>
      <c r="H36" s="486" t="s">
        <v>110</v>
      </c>
      <c r="I36" s="486"/>
      <c r="J36" s="487" t="s">
        <v>121</v>
      </c>
      <c r="K36" s="482" t="s">
        <v>1553</v>
      </c>
      <c r="L36" s="482" t="s">
        <v>1553</v>
      </c>
      <c r="M36" s="482" t="s">
        <v>1553</v>
      </c>
      <c r="N36" s="486" t="s">
        <v>125</v>
      </c>
      <c r="O36" s="486" t="s">
        <v>124</v>
      </c>
      <c r="P36" s="488" t="s">
        <v>73</v>
      </c>
      <c r="Q36" s="482"/>
      <c r="R36" s="482"/>
      <c r="S36" s="482"/>
      <c r="T36" s="482"/>
      <c r="U36" s="482"/>
    </row>
    <row r="37" s="477" customFormat="1" customHeight="1" spans="2:21">
      <c r="B37" s="484" t="s">
        <v>135</v>
      </c>
      <c r="C37" s="485" t="s">
        <v>1638</v>
      </c>
      <c r="D37" s="485" t="s">
        <v>1639</v>
      </c>
      <c r="E37" s="485" t="s">
        <v>1640</v>
      </c>
      <c r="F37" s="485" t="s">
        <v>1641</v>
      </c>
      <c r="G37" s="485" t="s">
        <v>1571</v>
      </c>
      <c r="H37" s="486" t="s">
        <v>135</v>
      </c>
      <c r="I37" s="486"/>
      <c r="J37" s="487" t="s">
        <v>135</v>
      </c>
      <c r="K37" s="482" t="s">
        <v>1553</v>
      </c>
      <c r="L37" s="482" t="s">
        <v>1553</v>
      </c>
      <c r="M37" s="482" t="s">
        <v>1553</v>
      </c>
      <c r="N37" s="486" t="s">
        <v>125</v>
      </c>
      <c r="O37" s="486" t="s">
        <v>124</v>
      </c>
      <c r="P37" s="488" t="s">
        <v>73</v>
      </c>
      <c r="Q37" s="482"/>
      <c r="R37" s="482"/>
      <c r="S37" s="482"/>
      <c r="T37" s="482"/>
      <c r="U37" s="482"/>
    </row>
    <row r="38" s="477" customFormat="1" customHeight="1" spans="2:21">
      <c r="B38" s="489" t="s">
        <v>1550</v>
      </c>
      <c r="C38" s="490"/>
      <c r="D38" s="490"/>
      <c r="E38" s="490"/>
      <c r="F38" s="490"/>
      <c r="G38" s="490"/>
      <c r="H38" s="490"/>
      <c r="I38" s="490"/>
      <c r="J38" s="489"/>
      <c r="K38" s="490"/>
      <c r="L38" s="490"/>
      <c r="M38" s="490"/>
      <c r="N38" s="490"/>
      <c r="O38" s="490"/>
      <c r="P38" s="490"/>
      <c r="Q38" s="490"/>
      <c r="R38" s="490"/>
      <c r="S38" s="490"/>
      <c r="T38" s="490"/>
      <c r="U38" s="490"/>
    </row>
    <row r="39" s="477" customFormat="1" customHeight="1" spans="2:21">
      <c r="B39" s="484" t="s">
        <v>738</v>
      </c>
      <c r="C39" s="485" t="s">
        <v>1642</v>
      </c>
      <c r="D39" s="485" t="s">
        <v>1643</v>
      </c>
      <c r="E39" s="485" t="s">
        <v>1644</v>
      </c>
      <c r="F39" s="485" t="s">
        <v>1645</v>
      </c>
      <c r="G39" s="486" t="s">
        <v>110</v>
      </c>
      <c r="H39" s="486" t="s">
        <v>106</v>
      </c>
      <c r="I39" s="486"/>
      <c r="J39" s="487" t="s">
        <v>738</v>
      </c>
      <c r="K39" s="482" t="s">
        <v>1553</v>
      </c>
      <c r="L39" s="482" t="s">
        <v>1553</v>
      </c>
      <c r="M39" s="486" t="s">
        <v>121</v>
      </c>
      <c r="N39" s="486" t="s">
        <v>710</v>
      </c>
      <c r="O39" s="488" t="s">
        <v>708</v>
      </c>
      <c r="P39" s="488" t="s">
        <v>15</v>
      </c>
      <c r="Q39" s="482"/>
      <c r="R39" s="482"/>
      <c r="S39" s="482"/>
      <c r="T39" s="482"/>
      <c r="U39" s="482"/>
    </row>
    <row r="40" s="477" customFormat="1" customHeight="1" spans="2:21">
      <c r="B40" s="484" t="s">
        <v>747</v>
      </c>
      <c r="C40" s="485" t="s">
        <v>1646</v>
      </c>
      <c r="D40" s="485" t="s">
        <v>1647</v>
      </c>
      <c r="E40" s="485" t="s">
        <v>1648</v>
      </c>
      <c r="F40" s="485" t="s">
        <v>1301</v>
      </c>
      <c r="G40" s="486" t="s">
        <v>135</v>
      </c>
      <c r="H40" s="486" t="s">
        <v>743</v>
      </c>
      <c r="I40" s="486"/>
      <c r="J40" s="487" t="s">
        <v>747</v>
      </c>
      <c r="K40" s="482" t="s">
        <v>1553</v>
      </c>
      <c r="L40" s="482" t="s">
        <v>1553</v>
      </c>
      <c r="M40" s="486" t="s">
        <v>135</v>
      </c>
      <c r="N40" s="486" t="s">
        <v>743</v>
      </c>
      <c r="O40" s="488" t="s">
        <v>49</v>
      </c>
      <c r="P40" s="488" t="s">
        <v>71</v>
      </c>
      <c r="Q40" s="482"/>
      <c r="R40" s="482"/>
      <c r="S40" s="482"/>
      <c r="T40" s="482"/>
      <c r="U40" s="482"/>
    </row>
    <row r="41" s="477" customFormat="1" customHeight="1" spans="2:21">
      <c r="B41" s="484" t="s">
        <v>106</v>
      </c>
      <c r="C41" s="485" t="s">
        <v>1642</v>
      </c>
      <c r="D41" s="485" t="s">
        <v>1643</v>
      </c>
      <c r="E41" s="485" t="s">
        <v>1644</v>
      </c>
      <c r="F41" s="485" t="s">
        <v>1645</v>
      </c>
      <c r="G41" s="486" t="s">
        <v>110</v>
      </c>
      <c r="H41" s="486" t="s">
        <v>106</v>
      </c>
      <c r="I41" s="486"/>
      <c r="J41" s="487" t="s">
        <v>106</v>
      </c>
      <c r="K41" s="482" t="s">
        <v>1553</v>
      </c>
      <c r="L41" s="482" t="s">
        <v>1553</v>
      </c>
      <c r="M41" s="486" t="s">
        <v>110</v>
      </c>
      <c r="N41" s="486" t="s">
        <v>794</v>
      </c>
      <c r="O41" s="488" t="s">
        <v>73</v>
      </c>
      <c r="P41" s="488" t="s">
        <v>715</v>
      </c>
      <c r="Q41" s="482"/>
      <c r="R41" s="482"/>
      <c r="S41" s="482"/>
      <c r="T41" s="482"/>
      <c r="U41" s="482"/>
    </row>
    <row r="42" s="477" customFormat="1" customHeight="1" spans="2:21">
      <c r="B42" s="484" t="s">
        <v>117</v>
      </c>
      <c r="C42" s="485" t="s">
        <v>1646</v>
      </c>
      <c r="D42" s="485" t="s">
        <v>1647</v>
      </c>
      <c r="E42" s="485" t="s">
        <v>1648</v>
      </c>
      <c r="F42" s="485" t="s">
        <v>1301</v>
      </c>
      <c r="G42" s="486" t="s">
        <v>135</v>
      </c>
      <c r="H42" s="486" t="s">
        <v>743</v>
      </c>
      <c r="I42" s="486"/>
      <c r="J42" s="487" t="s">
        <v>117</v>
      </c>
      <c r="K42" s="482" t="s">
        <v>1553</v>
      </c>
      <c r="L42" s="482" t="s">
        <v>1553</v>
      </c>
      <c r="M42" s="486" t="s">
        <v>135</v>
      </c>
      <c r="N42" s="486" t="s">
        <v>743</v>
      </c>
      <c r="O42" s="488" t="s">
        <v>49</v>
      </c>
      <c r="P42" s="488" t="s">
        <v>71</v>
      </c>
      <c r="Q42" s="482"/>
      <c r="R42" s="482"/>
      <c r="S42" s="482"/>
      <c r="T42" s="482"/>
      <c r="U42" s="482"/>
    </row>
    <row r="43" s="477" customFormat="1" customHeight="1" spans="2:21">
      <c r="B43" s="484" t="s">
        <v>734</v>
      </c>
      <c r="C43" s="485" t="s">
        <v>1642</v>
      </c>
      <c r="D43" s="485" t="s">
        <v>1643</v>
      </c>
      <c r="E43" s="485" t="s">
        <v>1644</v>
      </c>
      <c r="F43" s="485" t="s">
        <v>1645</v>
      </c>
      <c r="G43" s="486" t="s">
        <v>110</v>
      </c>
      <c r="H43" s="486" t="s">
        <v>106</v>
      </c>
      <c r="I43" s="486"/>
      <c r="J43" s="487" t="s">
        <v>734</v>
      </c>
      <c r="K43" s="482" t="s">
        <v>1553</v>
      </c>
      <c r="L43" s="482" t="s">
        <v>1553</v>
      </c>
      <c r="M43" s="486" t="s">
        <v>110</v>
      </c>
      <c r="N43" s="486" t="s">
        <v>794</v>
      </c>
      <c r="O43" s="488" t="s">
        <v>73</v>
      </c>
      <c r="P43" s="488" t="s">
        <v>715</v>
      </c>
      <c r="Q43" s="482"/>
      <c r="R43" s="482"/>
      <c r="S43" s="482"/>
      <c r="T43" s="482"/>
      <c r="U43" s="482"/>
    </row>
    <row r="44" s="477" customFormat="1" customHeight="1" spans="2:21">
      <c r="B44" s="484" t="s">
        <v>124</v>
      </c>
      <c r="C44" s="485" t="s">
        <v>1646</v>
      </c>
      <c r="D44" s="485" t="s">
        <v>1647</v>
      </c>
      <c r="E44" s="485" t="s">
        <v>1648</v>
      </c>
      <c r="F44" s="485" t="s">
        <v>1301</v>
      </c>
      <c r="G44" s="486" t="s">
        <v>135</v>
      </c>
      <c r="H44" s="486" t="s">
        <v>743</v>
      </c>
      <c r="I44" s="486"/>
      <c r="J44" s="487" t="s">
        <v>124</v>
      </c>
      <c r="K44" s="482" t="s">
        <v>1553</v>
      </c>
      <c r="L44" s="482" t="s">
        <v>1553</v>
      </c>
      <c r="M44" s="486" t="s">
        <v>135</v>
      </c>
      <c r="N44" s="486" t="s">
        <v>743</v>
      </c>
      <c r="O44" s="488" t="s">
        <v>49</v>
      </c>
      <c r="P44" s="488" t="s">
        <v>71</v>
      </c>
      <c r="Q44" s="482"/>
      <c r="R44" s="482"/>
      <c r="S44" s="482"/>
      <c r="T44" s="482"/>
      <c r="U44" s="482"/>
    </row>
    <row r="45" s="477" customFormat="1" customHeight="1" spans="2:21">
      <c r="B45" s="484" t="s">
        <v>794</v>
      </c>
      <c r="C45" s="485" t="s">
        <v>1642</v>
      </c>
      <c r="D45" s="485" t="s">
        <v>1643</v>
      </c>
      <c r="E45" s="485" t="s">
        <v>1644</v>
      </c>
      <c r="F45" s="485" t="s">
        <v>1645</v>
      </c>
      <c r="G45" s="486" t="s">
        <v>110</v>
      </c>
      <c r="H45" s="486" t="s">
        <v>106</v>
      </c>
      <c r="I45" s="486"/>
      <c r="J45" s="487" t="s">
        <v>794</v>
      </c>
      <c r="K45" s="482" t="s">
        <v>1553</v>
      </c>
      <c r="L45" s="482" t="s">
        <v>1553</v>
      </c>
      <c r="M45" s="486" t="s">
        <v>110</v>
      </c>
      <c r="N45" s="486" t="s">
        <v>794</v>
      </c>
      <c r="O45" s="488" t="s">
        <v>73</v>
      </c>
      <c r="P45" s="488" t="s">
        <v>715</v>
      </c>
      <c r="Q45" s="482"/>
      <c r="R45" s="482"/>
      <c r="S45" s="482"/>
      <c r="T45" s="482"/>
      <c r="U45" s="482"/>
    </row>
    <row r="46" s="477" customFormat="1" customHeight="1" spans="2:21">
      <c r="B46" s="484" t="s">
        <v>753</v>
      </c>
      <c r="C46" s="485" t="s">
        <v>1646</v>
      </c>
      <c r="D46" s="485" t="s">
        <v>1647</v>
      </c>
      <c r="E46" s="485" t="s">
        <v>1648</v>
      </c>
      <c r="F46" s="485" t="s">
        <v>1301</v>
      </c>
      <c r="G46" s="486" t="s">
        <v>135</v>
      </c>
      <c r="H46" s="486" t="s">
        <v>743</v>
      </c>
      <c r="I46" s="486"/>
      <c r="J46" s="487" t="s">
        <v>753</v>
      </c>
      <c r="K46" s="482" t="s">
        <v>1553</v>
      </c>
      <c r="L46" s="482" t="s">
        <v>1553</v>
      </c>
      <c r="M46" s="486" t="s">
        <v>135</v>
      </c>
      <c r="N46" s="486" t="s">
        <v>743</v>
      </c>
      <c r="O46" s="488" t="s">
        <v>49</v>
      </c>
      <c r="P46" s="488" t="s">
        <v>71</v>
      </c>
      <c r="Q46" s="482"/>
      <c r="R46" s="482"/>
      <c r="S46" s="482"/>
      <c r="T46" s="482"/>
      <c r="U46" s="482"/>
    </row>
    <row r="47" s="477" customFormat="1" customHeight="1" spans="2:21">
      <c r="B47" s="484" t="s">
        <v>791</v>
      </c>
      <c r="C47" s="485" t="s">
        <v>1642</v>
      </c>
      <c r="D47" s="485" t="s">
        <v>1643</v>
      </c>
      <c r="E47" s="485" t="s">
        <v>1644</v>
      </c>
      <c r="F47" s="485" t="s">
        <v>1645</v>
      </c>
      <c r="G47" s="486" t="s">
        <v>110</v>
      </c>
      <c r="H47" s="486" t="s">
        <v>106</v>
      </c>
      <c r="I47" s="486"/>
      <c r="J47" s="487" t="s">
        <v>791</v>
      </c>
      <c r="K47" s="482" t="s">
        <v>1553</v>
      </c>
      <c r="L47" s="482" t="s">
        <v>1553</v>
      </c>
      <c r="M47" s="486" t="s">
        <v>110</v>
      </c>
      <c r="N47" s="486" t="s">
        <v>794</v>
      </c>
      <c r="O47" s="488" t="s">
        <v>73</v>
      </c>
      <c r="P47" s="488" t="s">
        <v>715</v>
      </c>
      <c r="Q47" s="482"/>
      <c r="R47" s="482"/>
      <c r="S47" s="482"/>
      <c r="T47" s="482"/>
      <c r="U47" s="482"/>
    </row>
    <row r="48" s="477" customFormat="1" customHeight="1" spans="2:21">
      <c r="B48" s="484" t="s">
        <v>743</v>
      </c>
      <c r="C48" s="485" t="s">
        <v>1646</v>
      </c>
      <c r="D48" s="485" t="s">
        <v>1647</v>
      </c>
      <c r="E48" s="485" t="s">
        <v>1648</v>
      </c>
      <c r="F48" s="485" t="s">
        <v>1301</v>
      </c>
      <c r="G48" s="486" t="s">
        <v>135</v>
      </c>
      <c r="H48" s="486" t="s">
        <v>743</v>
      </c>
      <c r="I48" s="486"/>
      <c r="J48" s="487" t="s">
        <v>743</v>
      </c>
      <c r="K48" s="482" t="s">
        <v>1553</v>
      </c>
      <c r="L48" s="482" t="s">
        <v>1553</v>
      </c>
      <c r="M48" s="486" t="s">
        <v>135</v>
      </c>
      <c r="N48" s="486" t="s">
        <v>743</v>
      </c>
      <c r="O48" s="488" t="s">
        <v>49</v>
      </c>
      <c r="P48" s="488" t="s">
        <v>71</v>
      </c>
      <c r="Q48" s="482"/>
      <c r="R48" s="482"/>
      <c r="S48" s="482"/>
      <c r="T48" s="482"/>
      <c r="U48" s="482"/>
    </row>
    <row r="49" s="477" customFormat="1" customHeight="1" spans="2:21">
      <c r="B49" s="484" t="s">
        <v>704</v>
      </c>
      <c r="C49" s="485" t="s">
        <v>1649</v>
      </c>
      <c r="D49" s="485" t="s">
        <v>1642</v>
      </c>
      <c r="E49" s="485" t="s">
        <v>1643</v>
      </c>
      <c r="F49" s="485" t="s">
        <v>1644</v>
      </c>
      <c r="G49" s="486" t="s">
        <v>699</v>
      </c>
      <c r="H49" s="486" t="s">
        <v>724</v>
      </c>
      <c r="I49" s="486"/>
      <c r="J49" s="487" t="s">
        <v>704</v>
      </c>
      <c r="K49" s="482" t="s">
        <v>1553</v>
      </c>
      <c r="L49" s="482" t="s">
        <v>1553</v>
      </c>
      <c r="M49" s="486" t="s">
        <v>110</v>
      </c>
      <c r="N49" s="486" t="s">
        <v>794</v>
      </c>
      <c r="O49" s="488" t="s">
        <v>73</v>
      </c>
      <c r="P49" s="488" t="s">
        <v>715</v>
      </c>
      <c r="Q49" s="482"/>
      <c r="R49" s="482"/>
      <c r="S49" s="482"/>
      <c r="T49" s="482"/>
      <c r="U49" s="482"/>
    </row>
    <row r="50" s="477" customFormat="1" customHeight="1" spans="2:21">
      <c r="B50" s="484" t="s">
        <v>724</v>
      </c>
      <c r="C50" s="485" t="s">
        <v>1649</v>
      </c>
      <c r="D50" s="485" t="s">
        <v>1642</v>
      </c>
      <c r="E50" s="485" t="s">
        <v>1643</v>
      </c>
      <c r="F50" s="485" t="s">
        <v>1644</v>
      </c>
      <c r="G50" s="486" t="s">
        <v>699</v>
      </c>
      <c r="H50" s="486" t="s">
        <v>724</v>
      </c>
      <c r="I50" s="486"/>
      <c r="J50" s="487" t="s">
        <v>724</v>
      </c>
      <c r="K50" s="482" t="s">
        <v>1553</v>
      </c>
      <c r="L50" s="482" t="s">
        <v>1553</v>
      </c>
      <c r="M50" s="486" t="s">
        <v>135</v>
      </c>
      <c r="N50" s="486" t="s">
        <v>743</v>
      </c>
      <c r="O50" s="488" t="s">
        <v>49</v>
      </c>
      <c r="P50" s="488" t="s">
        <v>71</v>
      </c>
      <c r="Q50" s="482"/>
      <c r="R50" s="482"/>
      <c r="S50" s="482"/>
      <c r="T50" s="482"/>
      <c r="U50" s="482"/>
    </row>
    <row r="51" s="477" customFormat="1" customHeight="1" spans="2:21">
      <c r="B51" s="484" t="s">
        <v>807</v>
      </c>
      <c r="C51" s="485" t="s">
        <v>1646</v>
      </c>
      <c r="D51" s="485" t="s">
        <v>1647</v>
      </c>
      <c r="E51" s="485" t="s">
        <v>1648</v>
      </c>
      <c r="F51" s="485" t="s">
        <v>1301</v>
      </c>
      <c r="G51" s="486" t="s">
        <v>135</v>
      </c>
      <c r="H51" s="486" t="s">
        <v>743</v>
      </c>
      <c r="I51" s="486"/>
      <c r="J51" s="487" t="s">
        <v>807</v>
      </c>
      <c r="K51" s="482" t="s">
        <v>1553</v>
      </c>
      <c r="L51" s="482" t="s">
        <v>1553</v>
      </c>
      <c r="M51" s="486" t="s">
        <v>110</v>
      </c>
      <c r="N51" s="486" t="s">
        <v>794</v>
      </c>
      <c r="O51" s="488" t="s">
        <v>73</v>
      </c>
      <c r="P51" s="488" t="s">
        <v>715</v>
      </c>
      <c r="Q51" s="482"/>
      <c r="R51" s="482"/>
      <c r="S51" s="482"/>
      <c r="T51" s="482"/>
      <c r="U51" s="482"/>
    </row>
    <row r="52" s="477" customFormat="1" customHeight="1" spans="2:21">
      <c r="B52" s="484" t="s">
        <v>701</v>
      </c>
      <c r="C52" s="485" t="s">
        <v>1644</v>
      </c>
      <c r="D52" s="485" t="s">
        <v>1648</v>
      </c>
      <c r="E52" s="485" t="s">
        <v>1645</v>
      </c>
      <c r="F52" s="485" t="s">
        <v>1301</v>
      </c>
      <c r="G52" s="486" t="s">
        <v>709</v>
      </c>
      <c r="H52" s="486" t="s">
        <v>710</v>
      </c>
      <c r="I52" s="486"/>
      <c r="J52" s="487" t="s">
        <v>701</v>
      </c>
      <c r="K52" s="482" t="s">
        <v>1553</v>
      </c>
      <c r="L52" s="482" t="s">
        <v>1553</v>
      </c>
      <c r="M52" s="486" t="s">
        <v>135</v>
      </c>
      <c r="N52" s="486" t="s">
        <v>743</v>
      </c>
      <c r="O52" s="488" t="s">
        <v>49</v>
      </c>
      <c r="P52" s="488" t="s">
        <v>71</v>
      </c>
      <c r="Q52" s="482"/>
      <c r="R52" s="482"/>
      <c r="S52" s="482"/>
      <c r="T52" s="482"/>
      <c r="U52" s="482"/>
    </row>
    <row r="53" s="477" customFormat="1" customHeight="1" spans="2:21">
      <c r="B53" s="484" t="s">
        <v>713</v>
      </c>
      <c r="C53" s="485" t="s">
        <v>1646</v>
      </c>
      <c r="D53" s="485" t="s">
        <v>1647</v>
      </c>
      <c r="E53" s="485" t="s">
        <v>1648</v>
      </c>
      <c r="F53" s="485" t="s">
        <v>1301</v>
      </c>
      <c r="G53" s="486" t="s">
        <v>135</v>
      </c>
      <c r="H53" s="486" t="s">
        <v>743</v>
      </c>
      <c r="I53" s="486"/>
      <c r="J53" s="487" t="s">
        <v>713</v>
      </c>
      <c r="K53" s="482" t="s">
        <v>1553</v>
      </c>
      <c r="L53" s="482" t="s">
        <v>1553</v>
      </c>
      <c r="M53" s="486" t="s">
        <v>110</v>
      </c>
      <c r="N53" s="486" t="s">
        <v>794</v>
      </c>
      <c r="O53" s="488" t="s">
        <v>73</v>
      </c>
      <c r="P53" s="488" t="s">
        <v>715</v>
      </c>
      <c r="Q53" s="482"/>
      <c r="R53" s="482"/>
      <c r="S53" s="482"/>
      <c r="T53" s="482"/>
      <c r="U53" s="482"/>
    </row>
    <row r="54" s="477" customFormat="1" customHeight="1" spans="2:21">
      <c r="B54" s="484" t="s">
        <v>813</v>
      </c>
      <c r="C54" s="485" t="s">
        <v>1642</v>
      </c>
      <c r="D54" s="485" t="s">
        <v>1643</v>
      </c>
      <c r="E54" s="485" t="s">
        <v>1644</v>
      </c>
      <c r="F54" s="485" t="s">
        <v>1645</v>
      </c>
      <c r="G54" s="486" t="s">
        <v>110</v>
      </c>
      <c r="H54" s="486" t="s">
        <v>106</v>
      </c>
      <c r="I54" s="486"/>
      <c r="J54" s="487" t="s">
        <v>813</v>
      </c>
      <c r="K54" s="482" t="s">
        <v>1553</v>
      </c>
      <c r="L54" s="482" t="s">
        <v>1553</v>
      </c>
      <c r="M54" s="486" t="s">
        <v>135</v>
      </c>
      <c r="N54" s="486" t="s">
        <v>743</v>
      </c>
      <c r="O54" s="488" t="s">
        <v>49</v>
      </c>
      <c r="P54" s="488" t="s">
        <v>71</v>
      </c>
      <c r="Q54" s="482"/>
      <c r="R54" s="482"/>
      <c r="S54" s="482"/>
      <c r="T54" s="482"/>
      <c r="U54" s="482"/>
    </row>
    <row r="55" s="477" customFormat="1" customHeight="1" spans="2:21">
      <c r="B55" s="484" t="s">
        <v>710</v>
      </c>
      <c r="C55" s="485" t="s">
        <v>1644</v>
      </c>
      <c r="D55" s="485" t="s">
        <v>1648</v>
      </c>
      <c r="E55" s="485" t="s">
        <v>1645</v>
      </c>
      <c r="F55" s="485" t="s">
        <v>1301</v>
      </c>
      <c r="G55" s="486" t="s">
        <v>709</v>
      </c>
      <c r="H55" s="486" t="s">
        <v>710</v>
      </c>
      <c r="I55" s="486"/>
      <c r="J55" s="487" t="s">
        <v>710</v>
      </c>
      <c r="K55" s="482" t="s">
        <v>1553</v>
      </c>
      <c r="L55" s="482" t="s">
        <v>1553</v>
      </c>
      <c r="M55" s="486" t="s">
        <v>110</v>
      </c>
      <c r="N55" s="486" t="s">
        <v>794</v>
      </c>
      <c r="O55" s="488" t="s">
        <v>73</v>
      </c>
      <c r="P55" s="488" t="s">
        <v>715</v>
      </c>
      <c r="Q55" s="482"/>
      <c r="R55" s="482"/>
      <c r="S55" s="482"/>
      <c r="T55" s="482"/>
      <c r="U55" s="482"/>
    </row>
    <row r="56" s="477" customFormat="1" customHeight="1" spans="2:21">
      <c r="B56" s="484" t="s">
        <v>742</v>
      </c>
      <c r="C56" s="485" t="s">
        <v>1642</v>
      </c>
      <c r="D56" s="485" t="s">
        <v>1646</v>
      </c>
      <c r="E56" s="485" t="s">
        <v>1643</v>
      </c>
      <c r="F56" s="485" t="s">
        <v>1647</v>
      </c>
      <c r="G56" s="486" t="s">
        <v>121</v>
      </c>
      <c r="H56" s="486" t="s">
        <v>132</v>
      </c>
      <c r="I56" s="486"/>
      <c r="J56" s="487" t="s">
        <v>742</v>
      </c>
      <c r="K56" s="482" t="s">
        <v>1553</v>
      </c>
      <c r="L56" s="482" t="s">
        <v>1553</v>
      </c>
      <c r="M56" s="486" t="s">
        <v>135</v>
      </c>
      <c r="N56" s="486" t="s">
        <v>743</v>
      </c>
      <c r="O56" s="488" t="s">
        <v>49</v>
      </c>
      <c r="P56" s="488" t="s">
        <v>71</v>
      </c>
      <c r="Q56" s="482"/>
      <c r="R56" s="482"/>
      <c r="S56" s="482"/>
      <c r="T56" s="482"/>
      <c r="U56" s="482"/>
    </row>
    <row r="57" s="477" customFormat="1" customHeight="1" spans="2:21">
      <c r="B57" s="484" t="s">
        <v>132</v>
      </c>
      <c r="C57" s="485" t="s">
        <v>1642</v>
      </c>
      <c r="D57" s="485" t="s">
        <v>1646</v>
      </c>
      <c r="E57" s="485" t="s">
        <v>1643</v>
      </c>
      <c r="F57" s="485" t="s">
        <v>1647</v>
      </c>
      <c r="G57" s="486" t="s">
        <v>121</v>
      </c>
      <c r="H57" s="486" t="s">
        <v>132</v>
      </c>
      <c r="I57" s="486"/>
      <c r="J57" s="487" t="s">
        <v>132</v>
      </c>
      <c r="K57" s="482" t="s">
        <v>1553</v>
      </c>
      <c r="L57" s="482" t="s">
        <v>1553</v>
      </c>
      <c r="M57" s="486" t="s">
        <v>110</v>
      </c>
      <c r="N57" s="486" t="s">
        <v>794</v>
      </c>
      <c r="O57" s="488" t="s">
        <v>73</v>
      </c>
      <c r="P57" s="488" t="s">
        <v>715</v>
      </c>
      <c r="Q57" s="482"/>
      <c r="R57" s="482"/>
      <c r="S57" s="482"/>
      <c r="T57" s="482"/>
      <c r="U57" s="482"/>
    </row>
    <row r="58" customHeight="1" spans="2:21">
      <c r="B58" s="491"/>
      <c r="C58" s="492"/>
      <c r="D58" s="492"/>
      <c r="E58" s="492"/>
      <c r="F58" s="492"/>
      <c r="G58" s="492"/>
      <c r="H58" s="492"/>
      <c r="I58" s="492"/>
      <c r="J58" s="491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5"/>
  <sheetViews>
    <sheetView workbookViewId="0">
      <selection activeCell="Q11" sqref="Q11"/>
    </sheetView>
  </sheetViews>
  <sheetFormatPr defaultColWidth="9" defaultRowHeight="18.75"/>
  <cols>
    <col min="1" max="1" width="5.75" style="473" customWidth="1"/>
    <col min="2" max="2" width="12" style="474" customWidth="1"/>
    <col min="3" max="3" width="15.25" style="474" customWidth="1"/>
    <col min="4" max="4" width="11.125" style="474" customWidth="1"/>
    <col min="5" max="5" width="41.375" style="473" customWidth="1"/>
    <col min="6" max="6" width="10.875" style="474" customWidth="1"/>
    <col min="7" max="7" width="50.625" style="473" customWidth="1"/>
    <col min="8" max="8" width="12.125" style="474" customWidth="1"/>
    <col min="9" max="9" width="60.625" style="473" customWidth="1"/>
    <col min="10" max="10" width="9.75" style="474" customWidth="1"/>
    <col min="11" max="11" width="60.625" style="474" customWidth="1"/>
    <col min="12" max="12" width="14.125" style="474" customWidth="1"/>
    <col min="13" max="13" width="11.125" style="474" customWidth="1"/>
    <col min="14" max="14" width="15" style="473" customWidth="1"/>
    <col min="15" max="16384" width="9" style="473"/>
  </cols>
  <sheetData>
    <row r="2" s="472" customFormat="1" ht="23.25" customHeight="1" spans="2:14">
      <c r="B2" s="230" t="s">
        <v>1650</v>
      </c>
      <c r="C2" s="230" t="s">
        <v>1651</v>
      </c>
      <c r="D2" s="230" t="s">
        <v>1652</v>
      </c>
      <c r="E2" s="230" t="s">
        <v>1653</v>
      </c>
      <c r="F2" s="230" t="s">
        <v>1654</v>
      </c>
      <c r="G2" s="231" t="s">
        <v>1655</v>
      </c>
      <c r="H2" s="231" t="s">
        <v>1656</v>
      </c>
      <c r="I2" s="231" t="s">
        <v>1657</v>
      </c>
      <c r="J2" s="231" t="s">
        <v>1658</v>
      </c>
      <c r="K2" s="231" t="s">
        <v>1659</v>
      </c>
      <c r="L2" s="231" t="s">
        <v>1651</v>
      </c>
      <c r="M2" s="231" t="s">
        <v>1650</v>
      </c>
      <c r="N2" s="231" t="s">
        <v>1660</v>
      </c>
    </row>
    <row r="3" ht="23.25" customHeight="1" spans="2:14">
      <c r="B3" s="232" t="s">
        <v>1661</v>
      </c>
      <c r="C3" s="232" t="s">
        <v>1662</v>
      </c>
      <c r="D3" s="232" t="s">
        <v>1663</v>
      </c>
      <c r="E3" s="475" t="s">
        <v>1664</v>
      </c>
      <c r="F3" s="232" t="s">
        <v>1663</v>
      </c>
      <c r="G3" s="475" t="s">
        <v>1665</v>
      </c>
      <c r="H3" s="232" t="s">
        <v>1663</v>
      </c>
      <c r="I3" s="475" t="s">
        <v>1666</v>
      </c>
      <c r="J3" s="232" t="s">
        <v>1663</v>
      </c>
      <c r="K3" s="475" t="s">
        <v>1667</v>
      </c>
      <c r="L3" s="232" t="s">
        <v>1662</v>
      </c>
      <c r="M3" s="232" t="s">
        <v>1661</v>
      </c>
      <c r="N3" s="232">
        <f>36+60+6+12+36+18</f>
        <v>168</v>
      </c>
    </row>
    <row r="4" ht="23.25" customHeight="1" spans="2:14">
      <c r="B4" s="232" t="s">
        <v>1668</v>
      </c>
      <c r="C4" s="232" t="s">
        <v>1669</v>
      </c>
      <c r="D4" s="232" t="s">
        <v>1670</v>
      </c>
      <c r="E4" s="475" t="s">
        <v>1671</v>
      </c>
      <c r="F4" s="232" t="s">
        <v>1670</v>
      </c>
      <c r="G4" s="475" t="s">
        <v>1672</v>
      </c>
      <c r="H4" s="232" t="s">
        <v>1670</v>
      </c>
      <c r="I4" s="475" t="s">
        <v>1673</v>
      </c>
      <c r="J4" s="232" t="s">
        <v>1670</v>
      </c>
      <c r="K4" s="475" t="s">
        <v>1674</v>
      </c>
      <c r="L4" s="232" t="s">
        <v>1669</v>
      </c>
      <c r="M4" s="232" t="s">
        <v>1668</v>
      </c>
      <c r="N4" s="232">
        <f>30*3+60+5+25+36</f>
        <v>216</v>
      </c>
    </row>
    <row r="5" ht="23.25" customHeight="1" spans="2:14">
      <c r="B5" s="232" t="s">
        <v>1675</v>
      </c>
      <c r="C5" s="232" t="s">
        <v>1676</v>
      </c>
      <c r="D5" s="232" t="s">
        <v>1663</v>
      </c>
      <c r="E5" s="475" t="s">
        <v>1677</v>
      </c>
      <c r="F5" s="232" t="s">
        <v>1663</v>
      </c>
      <c r="G5" s="475" t="s">
        <v>1678</v>
      </c>
      <c r="H5" s="232" t="s">
        <v>1663</v>
      </c>
      <c r="I5" s="475" t="s">
        <v>1679</v>
      </c>
      <c r="J5" s="232" t="s">
        <v>1663</v>
      </c>
      <c r="K5" s="475" t="s">
        <v>1680</v>
      </c>
      <c r="L5" s="232" t="s">
        <v>1676</v>
      </c>
      <c r="M5" s="232" t="s">
        <v>1675</v>
      </c>
      <c r="N5" s="232">
        <f>36+60+6+12+36+18</f>
        <v>168</v>
      </c>
    </row>
    <row r="6" ht="23.25" customHeight="1" spans="2:14">
      <c r="B6" s="232" t="s">
        <v>1681</v>
      </c>
      <c r="C6" s="232" t="s">
        <v>1682</v>
      </c>
      <c r="D6" s="232" t="s">
        <v>1663</v>
      </c>
      <c r="E6" s="475" t="s">
        <v>1683</v>
      </c>
      <c r="F6" s="232" t="s">
        <v>1663</v>
      </c>
      <c r="G6" s="475" t="s">
        <v>1684</v>
      </c>
      <c r="H6" s="232" t="s">
        <v>1663</v>
      </c>
      <c r="I6" s="475" t="s">
        <v>1685</v>
      </c>
      <c r="J6" s="232" t="s">
        <v>1663</v>
      </c>
      <c r="K6" s="475" t="s">
        <v>1686</v>
      </c>
      <c r="L6" s="232" t="s">
        <v>1682</v>
      </c>
      <c r="M6" s="232" t="s">
        <v>1681</v>
      </c>
      <c r="N6" s="232">
        <f>48*3+62+8+15+25</f>
        <v>254</v>
      </c>
    </row>
    <row r="7" ht="23.25" customHeight="1" spans="2:14">
      <c r="B7" s="232" t="s">
        <v>1687</v>
      </c>
      <c r="C7" s="232" t="s">
        <v>1688</v>
      </c>
      <c r="D7" s="232" t="s">
        <v>1670</v>
      </c>
      <c r="E7" s="475" t="s">
        <v>1689</v>
      </c>
      <c r="F7" s="232" t="s">
        <v>1670</v>
      </c>
      <c r="G7" s="475" t="s">
        <v>1690</v>
      </c>
      <c r="H7" s="232" t="s">
        <v>1670</v>
      </c>
      <c r="I7" s="476" t="s">
        <v>1691</v>
      </c>
      <c r="J7" s="232" t="s">
        <v>1670</v>
      </c>
      <c r="K7" s="476" t="s">
        <v>1692</v>
      </c>
      <c r="L7" s="232" t="s">
        <v>1688</v>
      </c>
      <c r="M7" s="232" t="s">
        <v>1687</v>
      </c>
      <c r="N7" s="232">
        <f>48*3+62+8+40</f>
        <v>254</v>
      </c>
    </row>
    <row r="8" ht="23.25" customHeight="1" spans="2:14">
      <c r="B8" s="232" t="s">
        <v>1693</v>
      </c>
      <c r="C8" s="232" t="s">
        <v>1694</v>
      </c>
      <c r="D8" s="232" t="s">
        <v>1663</v>
      </c>
      <c r="E8" s="475" t="s">
        <v>1683</v>
      </c>
      <c r="F8" s="232" t="s">
        <v>1663</v>
      </c>
      <c r="G8" s="475" t="s">
        <v>1684</v>
      </c>
      <c r="H8" s="232" t="s">
        <v>1663</v>
      </c>
      <c r="I8" s="476" t="s">
        <v>1695</v>
      </c>
      <c r="J8" s="232" t="s">
        <v>1663</v>
      </c>
      <c r="K8" s="476" t="s">
        <v>1696</v>
      </c>
      <c r="L8" s="232" t="s">
        <v>1694</v>
      </c>
      <c r="M8" s="232" t="s">
        <v>1693</v>
      </c>
      <c r="N8" s="232">
        <f>48*3+62+33+15</f>
        <v>254</v>
      </c>
    </row>
    <row r="9" ht="23.25" customHeight="1" spans="2:14">
      <c r="B9" s="232" t="s">
        <v>1697</v>
      </c>
      <c r="C9" s="232" t="s">
        <v>1698</v>
      </c>
      <c r="D9" s="232" t="s">
        <v>1670</v>
      </c>
      <c r="E9" s="475" t="s">
        <v>1699</v>
      </c>
      <c r="F9" s="232" t="s">
        <v>1670</v>
      </c>
      <c r="G9" s="475" t="s">
        <v>1700</v>
      </c>
      <c r="H9" s="232" t="s">
        <v>1670</v>
      </c>
      <c r="I9" s="476" t="s">
        <v>1701</v>
      </c>
      <c r="J9" s="232" t="s">
        <v>1670</v>
      </c>
      <c r="K9" s="476" t="s">
        <v>1702</v>
      </c>
      <c r="L9" s="232" t="s">
        <v>1698</v>
      </c>
      <c r="M9" s="232" t="s">
        <v>1697</v>
      </c>
      <c r="N9" s="232">
        <f>51*3+60+25+22+51</f>
        <v>311</v>
      </c>
    </row>
    <row r="10" ht="23.25" customHeight="1" spans="2:14">
      <c r="B10" s="232" t="s">
        <v>1703</v>
      </c>
      <c r="C10" s="232" t="s">
        <v>1704</v>
      </c>
      <c r="D10" s="232" t="s">
        <v>1663</v>
      </c>
      <c r="E10" s="475" t="s">
        <v>1699</v>
      </c>
      <c r="F10" s="232" t="s">
        <v>1663</v>
      </c>
      <c r="G10" s="475" t="s">
        <v>1700</v>
      </c>
      <c r="H10" s="232" t="s">
        <v>1663</v>
      </c>
      <c r="I10" s="476" t="s">
        <v>1705</v>
      </c>
      <c r="J10" s="232" t="s">
        <v>1663</v>
      </c>
      <c r="K10" s="476" t="s">
        <v>1706</v>
      </c>
      <c r="L10" s="232" t="s">
        <v>1704</v>
      </c>
      <c r="M10" s="232" t="s">
        <v>1703</v>
      </c>
      <c r="N10" s="232">
        <v>304</v>
      </c>
    </row>
    <row r="11" ht="23.25" customHeight="1" spans="2:14">
      <c r="B11" s="232" t="s">
        <v>1707</v>
      </c>
      <c r="C11" s="232" t="s">
        <v>1708</v>
      </c>
      <c r="D11" s="232" t="s">
        <v>1663</v>
      </c>
      <c r="E11" s="475" t="s">
        <v>1709</v>
      </c>
      <c r="F11" s="232" t="s">
        <v>1663</v>
      </c>
      <c r="G11" s="475" t="s">
        <v>1710</v>
      </c>
      <c r="H11" s="232" t="s">
        <v>1663</v>
      </c>
      <c r="I11" s="476" t="s">
        <v>1711</v>
      </c>
      <c r="J11" s="232" t="s">
        <v>1663</v>
      </c>
      <c r="K11" s="476" t="s">
        <v>1712</v>
      </c>
      <c r="L11" s="232" t="s">
        <v>1708</v>
      </c>
      <c r="M11" s="232" t="s">
        <v>1707</v>
      </c>
      <c r="N11" s="232">
        <v>309</v>
      </c>
    </row>
    <row r="12" ht="23.25" customHeight="1" spans="2:14">
      <c r="B12" s="232" t="s">
        <v>1713</v>
      </c>
      <c r="C12" s="232" t="s">
        <v>1714</v>
      </c>
      <c r="D12" s="232" t="s">
        <v>1663</v>
      </c>
      <c r="E12" s="475" t="s">
        <v>1709</v>
      </c>
      <c r="F12" s="232" t="s">
        <v>1663</v>
      </c>
      <c r="G12" s="475" t="s">
        <v>1710</v>
      </c>
      <c r="H12" s="232" t="s">
        <v>1663</v>
      </c>
      <c r="I12" s="476" t="s">
        <v>1711</v>
      </c>
      <c r="J12" s="232" t="s">
        <v>1663</v>
      </c>
      <c r="K12" s="476" t="s">
        <v>1712</v>
      </c>
      <c r="L12" s="232" t="s">
        <v>1714</v>
      </c>
      <c r="M12" s="232" t="s">
        <v>1713</v>
      </c>
      <c r="N12" s="232">
        <v>309</v>
      </c>
    </row>
    <row r="13" ht="23.25" customHeight="1" spans="2:14">
      <c r="B13" s="232" t="s">
        <v>1715</v>
      </c>
      <c r="C13" s="232" t="s">
        <v>1716</v>
      </c>
      <c r="D13" s="232" t="s">
        <v>1663</v>
      </c>
      <c r="E13" s="475" t="s">
        <v>1699</v>
      </c>
      <c r="F13" s="232" t="s">
        <v>1663</v>
      </c>
      <c r="G13" s="475" t="s">
        <v>1700</v>
      </c>
      <c r="H13" s="232" t="s">
        <v>1663</v>
      </c>
      <c r="I13" s="476" t="s">
        <v>1717</v>
      </c>
      <c r="J13" s="232" t="s">
        <v>1663</v>
      </c>
      <c r="K13" s="476" t="s">
        <v>1718</v>
      </c>
      <c r="L13" s="232" t="s">
        <v>1716</v>
      </c>
      <c r="M13" s="232" t="s">
        <v>1715</v>
      </c>
      <c r="N13" s="232">
        <f>53*3+60+25+44+28+12</f>
        <v>328</v>
      </c>
    </row>
    <row r="14" ht="23.25" customHeight="1" spans="2:14">
      <c r="B14" s="232" t="s">
        <v>1719</v>
      </c>
      <c r="C14" s="232" t="s">
        <v>1720</v>
      </c>
      <c r="D14" s="232" t="s">
        <v>1670</v>
      </c>
      <c r="E14" s="475" t="s">
        <v>1699</v>
      </c>
      <c r="F14" s="232" t="s">
        <v>1670</v>
      </c>
      <c r="G14" s="475" t="s">
        <v>1700</v>
      </c>
      <c r="H14" s="232" t="s">
        <v>1670</v>
      </c>
      <c r="I14" s="476" t="s">
        <v>1721</v>
      </c>
      <c r="J14" s="232" t="s">
        <v>1670</v>
      </c>
      <c r="K14" s="476" t="s">
        <v>1722</v>
      </c>
      <c r="L14" s="232" t="s">
        <v>1720</v>
      </c>
      <c r="M14" s="232" t="s">
        <v>1719</v>
      </c>
      <c r="N14" s="232">
        <f>51*3+60+25+44+12+23</f>
        <v>317</v>
      </c>
    </row>
    <row r="15" ht="23.25" customHeight="1" spans="2:14">
      <c r="B15" s="232" t="s">
        <v>1723</v>
      </c>
      <c r="C15" s="232" t="s">
        <v>1583</v>
      </c>
      <c r="D15" s="232" t="s">
        <v>1670</v>
      </c>
      <c r="E15" s="475" t="s">
        <v>1699</v>
      </c>
      <c r="F15" s="232" t="s">
        <v>1670</v>
      </c>
      <c r="G15" s="475" t="s">
        <v>1700</v>
      </c>
      <c r="H15" s="232" t="s">
        <v>1670</v>
      </c>
      <c r="I15" s="476" t="s">
        <v>1724</v>
      </c>
      <c r="J15" s="232" t="s">
        <v>1670</v>
      </c>
      <c r="K15" s="476" t="s">
        <v>1725</v>
      </c>
      <c r="L15" s="232" t="s">
        <v>1583</v>
      </c>
      <c r="M15" s="232" t="s">
        <v>1723</v>
      </c>
      <c r="N15" s="232">
        <f>51*3+60+41+28+35</f>
        <v>317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0"/>
  <sheetViews>
    <sheetView zoomScale="85" zoomScaleNormal="85" workbookViewId="0">
      <selection activeCell="C48" sqref="C48:C60"/>
    </sheetView>
  </sheetViews>
  <sheetFormatPr defaultColWidth="9" defaultRowHeight="20.1" customHeight="1" outlineLevelCol="6"/>
  <cols>
    <col min="1" max="1" width="3.125" customWidth="1"/>
    <col min="2" max="3" width="11.875" customWidth="1"/>
    <col min="5" max="5" width="60.625" customWidth="1"/>
    <col min="7" max="7" width="62.625" customWidth="1"/>
  </cols>
  <sheetData>
    <row r="2" customHeight="1" spans="2:7">
      <c r="B2" s="230" t="s">
        <v>1650</v>
      </c>
      <c r="C2" s="230" t="s">
        <v>1651</v>
      </c>
      <c r="D2" s="231" t="s">
        <v>1656</v>
      </c>
      <c r="E2" s="231" t="s">
        <v>1657</v>
      </c>
      <c r="F2" s="231" t="s">
        <v>1658</v>
      </c>
      <c r="G2" s="231" t="s">
        <v>1659</v>
      </c>
    </row>
    <row r="3" customHeight="1" spans="2:7">
      <c r="B3" s="232" t="s">
        <v>1726</v>
      </c>
      <c r="C3" s="232" t="s">
        <v>747</v>
      </c>
      <c r="D3" s="235" t="s">
        <v>1670</v>
      </c>
      <c r="E3" s="234" t="s">
        <v>1727</v>
      </c>
      <c r="F3" s="235" t="s">
        <v>1670</v>
      </c>
      <c r="G3" s="234" t="s">
        <v>1728</v>
      </c>
    </row>
    <row r="4" customHeight="1" spans="2:7">
      <c r="B4" s="232" t="s">
        <v>1726</v>
      </c>
      <c r="C4" s="232" t="s">
        <v>106</v>
      </c>
      <c r="D4" s="235" t="s">
        <v>1670</v>
      </c>
      <c r="E4" s="237" t="s">
        <v>1727</v>
      </c>
      <c r="F4" s="235" t="s">
        <v>1670</v>
      </c>
      <c r="G4" s="237" t="s">
        <v>1728</v>
      </c>
    </row>
    <row r="5" customHeight="1" spans="2:7">
      <c r="B5" s="232" t="s">
        <v>1726</v>
      </c>
      <c r="C5" s="232" t="s">
        <v>117</v>
      </c>
      <c r="D5" s="235" t="s">
        <v>1670</v>
      </c>
      <c r="E5" s="234" t="s">
        <v>1727</v>
      </c>
      <c r="F5" s="235" t="s">
        <v>1670</v>
      </c>
      <c r="G5" s="234" t="s">
        <v>1728</v>
      </c>
    </row>
    <row r="6" customHeight="1" spans="2:7">
      <c r="B6" s="232" t="s">
        <v>1729</v>
      </c>
      <c r="C6" s="232" t="s">
        <v>734</v>
      </c>
      <c r="D6" s="235" t="s">
        <v>1670</v>
      </c>
      <c r="E6" s="237" t="s">
        <v>1730</v>
      </c>
      <c r="F6" s="235" t="s">
        <v>1670</v>
      </c>
      <c r="G6" s="237" t="s">
        <v>1731</v>
      </c>
    </row>
    <row r="7" customHeight="1" spans="2:7">
      <c r="B7" s="232" t="s">
        <v>1729</v>
      </c>
      <c r="C7" s="232" t="s">
        <v>794</v>
      </c>
      <c r="D7" s="235" t="s">
        <v>1732</v>
      </c>
      <c r="E7" s="237" t="s">
        <v>1733</v>
      </c>
      <c r="F7" s="235" t="s">
        <v>1732</v>
      </c>
      <c r="G7" s="237" t="s">
        <v>1734</v>
      </c>
    </row>
    <row r="8" customHeight="1" spans="2:7">
      <c r="B8" s="232" t="s">
        <v>1735</v>
      </c>
      <c r="C8" s="232" t="s">
        <v>124</v>
      </c>
      <c r="D8" s="235" t="s">
        <v>1732</v>
      </c>
      <c r="E8" s="237" t="s">
        <v>1736</v>
      </c>
      <c r="F8" s="235" t="s">
        <v>1732</v>
      </c>
      <c r="G8" s="237" t="s">
        <v>1737</v>
      </c>
    </row>
    <row r="9" customHeight="1" spans="2:7">
      <c r="B9" s="232" t="s">
        <v>1735</v>
      </c>
      <c r="C9" s="232" t="s">
        <v>753</v>
      </c>
      <c r="D9" s="235" t="s">
        <v>1732</v>
      </c>
      <c r="E9" s="237" t="s">
        <v>1736</v>
      </c>
      <c r="F9" s="235" t="s">
        <v>1732</v>
      </c>
      <c r="G9" s="237" t="s">
        <v>1737</v>
      </c>
    </row>
    <row r="10" customHeight="1" spans="2:7">
      <c r="B10" s="232" t="s">
        <v>1738</v>
      </c>
      <c r="C10" s="232" t="s">
        <v>743</v>
      </c>
      <c r="D10" s="235" t="s">
        <v>1663</v>
      </c>
      <c r="E10" s="234" t="s">
        <v>1739</v>
      </c>
      <c r="F10" s="235" t="s">
        <v>1663</v>
      </c>
      <c r="G10" s="234" t="s">
        <v>1740</v>
      </c>
    </row>
    <row r="11" customHeight="1" spans="2:7">
      <c r="B11" s="232" t="s">
        <v>1738</v>
      </c>
      <c r="C11" s="232" t="s">
        <v>724</v>
      </c>
      <c r="D11" s="235" t="s">
        <v>1663</v>
      </c>
      <c r="E11" s="234" t="s">
        <v>1739</v>
      </c>
      <c r="F11" s="235" t="s">
        <v>1663</v>
      </c>
      <c r="G11" s="234" t="s">
        <v>1740</v>
      </c>
    </row>
    <row r="12" customHeight="1" spans="2:7">
      <c r="B12" s="232" t="s">
        <v>1738</v>
      </c>
      <c r="C12" s="232" t="s">
        <v>807</v>
      </c>
      <c r="D12" s="235" t="s">
        <v>1670</v>
      </c>
      <c r="E12" s="234" t="s">
        <v>1739</v>
      </c>
      <c r="F12" s="235" t="s">
        <v>1663</v>
      </c>
      <c r="G12" s="234" t="s">
        <v>1740</v>
      </c>
    </row>
    <row r="13" customHeight="1" spans="2:7">
      <c r="B13" s="232" t="s">
        <v>1741</v>
      </c>
      <c r="C13" s="232" t="s">
        <v>701</v>
      </c>
      <c r="D13" s="235" t="s">
        <v>1670</v>
      </c>
      <c r="E13" s="237" t="s">
        <v>1742</v>
      </c>
      <c r="F13" s="235" t="s">
        <v>1670</v>
      </c>
      <c r="G13" s="237" t="s">
        <v>1743</v>
      </c>
    </row>
    <row r="14" customHeight="1" spans="2:7">
      <c r="B14" s="232" t="s">
        <v>1741</v>
      </c>
      <c r="C14" s="232" t="s">
        <v>713</v>
      </c>
      <c r="D14" s="235" t="s">
        <v>1670</v>
      </c>
      <c r="E14" s="237" t="s">
        <v>1742</v>
      </c>
      <c r="F14" s="235" t="s">
        <v>1670</v>
      </c>
      <c r="G14" s="237" t="s">
        <v>1743</v>
      </c>
    </row>
    <row r="15" customHeight="1" spans="2:7">
      <c r="B15" s="232" t="s">
        <v>1741</v>
      </c>
      <c r="C15" s="232" t="s">
        <v>813</v>
      </c>
      <c r="D15" s="235" t="s">
        <v>1670</v>
      </c>
      <c r="E15" s="237" t="s">
        <v>1742</v>
      </c>
      <c r="F15" s="235" t="s">
        <v>1670</v>
      </c>
      <c r="G15" s="237" t="s">
        <v>1743</v>
      </c>
    </row>
    <row r="16" customHeight="1" spans="2:7">
      <c r="B16" s="232" t="s">
        <v>1741</v>
      </c>
      <c r="C16" s="232" t="s">
        <v>1744</v>
      </c>
      <c r="D16" s="235" t="s">
        <v>1670</v>
      </c>
      <c r="E16" s="237" t="s">
        <v>1742</v>
      </c>
      <c r="F16" s="235" t="s">
        <v>1670</v>
      </c>
      <c r="G16" s="237" t="s">
        <v>1743</v>
      </c>
    </row>
    <row r="17" customHeight="1" spans="2:7">
      <c r="B17" s="232" t="s">
        <v>1741</v>
      </c>
      <c r="C17" s="232" t="s">
        <v>132</v>
      </c>
      <c r="D17" s="235" t="s">
        <v>1670</v>
      </c>
      <c r="E17" s="237" t="s">
        <v>1742</v>
      </c>
      <c r="F17" s="235" t="s">
        <v>1670</v>
      </c>
      <c r="G17" s="237" t="s">
        <v>1743</v>
      </c>
    </row>
    <row r="18" customHeight="1" spans="2:7">
      <c r="B18" s="232" t="s">
        <v>328</v>
      </c>
      <c r="C18" s="232" t="s">
        <v>791</v>
      </c>
      <c r="D18" s="235" t="s">
        <v>1670</v>
      </c>
      <c r="E18" s="237" t="s">
        <v>1745</v>
      </c>
      <c r="F18" s="235" t="s">
        <v>1670</v>
      </c>
      <c r="G18" s="237" t="s">
        <v>1746</v>
      </c>
    </row>
    <row r="19" customHeight="1" spans="2:7">
      <c r="B19" s="232" t="s">
        <v>1747</v>
      </c>
      <c r="C19" s="232" t="s">
        <v>704</v>
      </c>
      <c r="D19" s="235" t="s">
        <v>1670</v>
      </c>
      <c r="E19" s="237" t="s">
        <v>1748</v>
      </c>
      <c r="F19" s="235" t="s">
        <v>1670</v>
      </c>
      <c r="G19" s="237" t="s">
        <v>1749</v>
      </c>
    </row>
    <row r="20" customHeight="1" spans="2:7">
      <c r="B20" s="232" t="s">
        <v>1750</v>
      </c>
      <c r="C20" s="232" t="s">
        <v>742</v>
      </c>
      <c r="D20" s="235" t="s">
        <v>1663</v>
      </c>
      <c r="E20" s="237" t="s">
        <v>1751</v>
      </c>
      <c r="F20" s="235" t="s">
        <v>1663</v>
      </c>
      <c r="G20" s="234" t="s">
        <v>1752</v>
      </c>
    </row>
    <row r="23" customHeight="1" spans="2:7">
      <c r="B23" s="230" t="s">
        <v>1650</v>
      </c>
      <c r="C23" s="230" t="s">
        <v>1651</v>
      </c>
      <c r="D23" s="231" t="s">
        <v>1656</v>
      </c>
      <c r="E23" s="231" t="s">
        <v>1657</v>
      </c>
      <c r="F23" s="231" t="s">
        <v>1658</v>
      </c>
      <c r="G23" s="231" t="s">
        <v>1659</v>
      </c>
    </row>
    <row r="24" customHeight="1" spans="2:7">
      <c r="B24" s="232" t="s">
        <v>1741</v>
      </c>
      <c r="C24" s="232" t="s">
        <v>715</v>
      </c>
      <c r="D24" s="235" t="s">
        <v>1670</v>
      </c>
      <c r="E24" s="468" t="s">
        <v>1753</v>
      </c>
      <c r="F24" s="235" t="s">
        <v>1670</v>
      </c>
      <c r="G24" s="468" t="s">
        <v>1754</v>
      </c>
    </row>
    <row r="25" customHeight="1" spans="2:7">
      <c r="B25" s="232" t="s">
        <v>1755</v>
      </c>
      <c r="C25" s="232" t="s">
        <v>71</v>
      </c>
      <c r="D25" s="235" t="s">
        <v>1670</v>
      </c>
      <c r="E25" s="468" t="s">
        <v>1756</v>
      </c>
      <c r="F25" s="235" t="s">
        <v>1670</v>
      </c>
      <c r="G25" s="468" t="s">
        <v>1757</v>
      </c>
    </row>
    <row r="26" customHeight="1" spans="2:7">
      <c r="B26" s="232" t="s">
        <v>1758</v>
      </c>
      <c r="C26" s="232" t="s">
        <v>719</v>
      </c>
      <c r="D26" s="235" t="s">
        <v>1670</v>
      </c>
      <c r="E26" s="469" t="s">
        <v>1759</v>
      </c>
      <c r="F26" s="235" t="s">
        <v>1670</v>
      </c>
      <c r="G26" s="468" t="s">
        <v>1760</v>
      </c>
    </row>
    <row r="27" customHeight="1" spans="2:7">
      <c r="B27" s="232" t="s">
        <v>328</v>
      </c>
      <c r="C27" s="232" t="s">
        <v>705</v>
      </c>
      <c r="D27" s="235" t="s">
        <v>1663</v>
      </c>
      <c r="E27" s="468" t="s">
        <v>1761</v>
      </c>
      <c r="F27" s="235" t="s">
        <v>1663</v>
      </c>
      <c r="G27" s="468" t="s">
        <v>1762</v>
      </c>
    </row>
    <row r="28" customHeight="1" spans="2:7">
      <c r="B28" s="232" t="s">
        <v>328</v>
      </c>
      <c r="C28" s="232" t="s">
        <v>29</v>
      </c>
      <c r="D28" s="235" t="s">
        <v>1670</v>
      </c>
      <c r="E28" s="468" t="s">
        <v>1763</v>
      </c>
      <c r="F28" s="235" t="s">
        <v>1670</v>
      </c>
      <c r="G28" s="468" t="s">
        <v>1762</v>
      </c>
    </row>
    <row r="29" customHeight="1" spans="2:7">
      <c r="B29" s="232" t="s">
        <v>1738</v>
      </c>
      <c r="C29" s="232" t="s">
        <v>44</v>
      </c>
      <c r="D29" s="235" t="s">
        <v>1663</v>
      </c>
      <c r="E29" s="469" t="s">
        <v>1764</v>
      </c>
      <c r="F29" s="235" t="s">
        <v>1663</v>
      </c>
      <c r="G29" s="468" t="s">
        <v>1765</v>
      </c>
    </row>
    <row r="30" customHeight="1" spans="2:7">
      <c r="B30" s="232" t="s">
        <v>1766</v>
      </c>
      <c r="C30" s="232" t="s">
        <v>15</v>
      </c>
      <c r="D30" s="235" t="s">
        <v>1663</v>
      </c>
      <c r="E30" s="469" t="s">
        <v>1767</v>
      </c>
      <c r="F30" s="235" t="s">
        <v>1663</v>
      </c>
      <c r="G30" s="469" t="s">
        <v>1768</v>
      </c>
    </row>
    <row r="31" customHeight="1" spans="2:7">
      <c r="B31" s="232" t="s">
        <v>1723</v>
      </c>
      <c r="C31" s="232" t="s">
        <v>356</v>
      </c>
      <c r="D31" s="235" t="s">
        <v>1670</v>
      </c>
      <c r="E31" s="468" t="s">
        <v>1769</v>
      </c>
      <c r="F31" s="235" t="s">
        <v>1670</v>
      </c>
      <c r="G31" s="468" t="s">
        <v>1770</v>
      </c>
    </row>
    <row r="32" customHeight="1" spans="2:7">
      <c r="B32" s="232" t="s">
        <v>1771</v>
      </c>
      <c r="C32" s="232" t="s">
        <v>738</v>
      </c>
      <c r="D32" s="235" t="s">
        <v>1670</v>
      </c>
      <c r="E32" s="469" t="s">
        <v>1772</v>
      </c>
      <c r="F32" s="235" t="s">
        <v>1670</v>
      </c>
      <c r="G32" s="469" t="s">
        <v>1773</v>
      </c>
    </row>
    <row r="33" customHeight="1" spans="2:7">
      <c r="B33" s="232" t="s">
        <v>1675</v>
      </c>
      <c r="C33" s="232" t="s">
        <v>758</v>
      </c>
      <c r="D33" s="235" t="s">
        <v>1663</v>
      </c>
      <c r="E33" s="469" t="s">
        <v>1774</v>
      </c>
      <c r="F33" s="235" t="s">
        <v>1663</v>
      </c>
      <c r="G33" s="469" t="s">
        <v>1775</v>
      </c>
    </row>
    <row r="34" customHeight="1" spans="2:7">
      <c r="B34" s="232" t="s">
        <v>1661</v>
      </c>
      <c r="C34" s="232" t="s">
        <v>756</v>
      </c>
      <c r="D34" s="235" t="s">
        <v>1663</v>
      </c>
      <c r="E34" s="468" t="s">
        <v>1776</v>
      </c>
      <c r="F34" s="235" t="s">
        <v>1663</v>
      </c>
      <c r="G34" s="468" t="s">
        <v>1777</v>
      </c>
    </row>
    <row r="35" customHeight="1" spans="2:7">
      <c r="B35" s="232" t="s">
        <v>1668</v>
      </c>
      <c r="C35" s="232" t="s">
        <v>822</v>
      </c>
      <c r="D35" s="235" t="s">
        <v>1670</v>
      </c>
      <c r="E35" s="468" t="s">
        <v>1778</v>
      </c>
      <c r="F35" s="235" t="s">
        <v>1670</v>
      </c>
      <c r="G35" s="468" t="s">
        <v>1779</v>
      </c>
    </row>
    <row r="36" customHeight="1" spans="2:7">
      <c r="B36" s="232" t="s">
        <v>1687</v>
      </c>
      <c r="C36" s="232" t="s">
        <v>803</v>
      </c>
      <c r="D36" s="235" t="s">
        <v>1670</v>
      </c>
      <c r="E36" s="469" t="s">
        <v>1780</v>
      </c>
      <c r="F36" s="235" t="s">
        <v>1670</v>
      </c>
      <c r="G36" s="469" t="s">
        <v>1781</v>
      </c>
    </row>
    <row r="37" customHeight="1" spans="2:7">
      <c r="B37" s="232" t="s">
        <v>1681</v>
      </c>
      <c r="C37" s="232" t="s">
        <v>1576</v>
      </c>
      <c r="D37" s="235" t="s">
        <v>1663</v>
      </c>
      <c r="E37" s="469" t="s">
        <v>1782</v>
      </c>
      <c r="F37" s="235" t="s">
        <v>1663</v>
      </c>
      <c r="G37" s="469" t="s">
        <v>1783</v>
      </c>
    </row>
    <row r="38" customHeight="1" spans="2:7">
      <c r="B38" s="232" t="s">
        <v>1577</v>
      </c>
      <c r="C38" s="232" t="s">
        <v>1577</v>
      </c>
      <c r="D38" s="235" t="s">
        <v>1663</v>
      </c>
      <c r="E38" s="468" t="s">
        <v>1784</v>
      </c>
      <c r="F38" s="235" t="s">
        <v>1663</v>
      </c>
      <c r="G38" s="468" t="s">
        <v>1785</v>
      </c>
    </row>
    <row r="39" customHeight="1" spans="2:7">
      <c r="B39" s="232" t="s">
        <v>1693</v>
      </c>
      <c r="C39" s="232" t="s">
        <v>1578</v>
      </c>
      <c r="D39" s="235" t="s">
        <v>1663</v>
      </c>
      <c r="E39" s="469" t="s">
        <v>1786</v>
      </c>
      <c r="F39" s="235" t="s">
        <v>1663</v>
      </c>
      <c r="G39" s="469" t="s">
        <v>1787</v>
      </c>
    </row>
    <row r="40" customHeight="1" spans="2:7">
      <c r="B40" s="232" t="s">
        <v>1697</v>
      </c>
      <c r="C40" s="232" t="s">
        <v>891</v>
      </c>
      <c r="D40" s="235" t="s">
        <v>1670</v>
      </c>
      <c r="E40" s="468" t="s">
        <v>1788</v>
      </c>
      <c r="F40" s="235" t="s">
        <v>1670</v>
      </c>
      <c r="G40" s="468" t="s">
        <v>1789</v>
      </c>
    </row>
    <row r="41" customHeight="1" spans="2:7">
      <c r="B41" s="232" t="s">
        <v>1703</v>
      </c>
      <c r="C41" s="232" t="s">
        <v>1579</v>
      </c>
      <c r="D41" s="235" t="s">
        <v>1663</v>
      </c>
      <c r="E41" s="468" t="s">
        <v>1790</v>
      </c>
      <c r="F41" s="235" t="s">
        <v>1663</v>
      </c>
      <c r="G41" s="468" t="s">
        <v>1791</v>
      </c>
    </row>
    <row r="42" customHeight="1" spans="2:7">
      <c r="B42" s="232" t="s">
        <v>1707</v>
      </c>
      <c r="C42" s="232" t="s">
        <v>1580</v>
      </c>
      <c r="D42" s="235" t="s">
        <v>1663</v>
      </c>
      <c r="E42" s="468" t="s">
        <v>1792</v>
      </c>
      <c r="F42" s="235" t="s">
        <v>1663</v>
      </c>
      <c r="G42" s="468" t="s">
        <v>1793</v>
      </c>
    </row>
    <row r="43" customHeight="1" spans="2:7">
      <c r="B43" s="232" t="s">
        <v>1713</v>
      </c>
      <c r="C43" s="232" t="s">
        <v>1581</v>
      </c>
      <c r="D43" s="235" t="s">
        <v>1663</v>
      </c>
      <c r="E43" s="468" t="s">
        <v>1792</v>
      </c>
      <c r="F43" s="235" t="s">
        <v>1663</v>
      </c>
      <c r="G43" s="468" t="s">
        <v>1793</v>
      </c>
    </row>
    <row r="44" customHeight="1" spans="2:7">
      <c r="B44" s="232" t="s">
        <v>1719</v>
      </c>
      <c r="C44" s="232" t="s">
        <v>1582</v>
      </c>
      <c r="D44" s="235" t="s">
        <v>1670</v>
      </c>
      <c r="E44" s="468" t="s">
        <v>1794</v>
      </c>
      <c r="F44" s="235" t="s">
        <v>1670</v>
      </c>
      <c r="G44" s="468" t="s">
        <v>1795</v>
      </c>
    </row>
    <row r="45" customHeight="1" spans="2:7">
      <c r="B45" s="470"/>
      <c r="C45" s="470"/>
      <c r="D45" s="229"/>
      <c r="E45" s="471"/>
      <c r="F45" s="229"/>
      <c r="G45" s="471"/>
    </row>
    <row r="47" customHeight="1" spans="2:7">
      <c r="B47" s="230" t="s">
        <v>1650</v>
      </c>
      <c r="C47" s="230" t="s">
        <v>1651</v>
      </c>
      <c r="D47" s="231" t="s">
        <v>1656</v>
      </c>
      <c r="E47" s="231" t="s">
        <v>1657</v>
      </c>
      <c r="F47" s="231" t="s">
        <v>1658</v>
      </c>
      <c r="G47" s="231" t="s">
        <v>1659</v>
      </c>
    </row>
    <row r="48" customHeight="1" spans="2:7">
      <c r="B48" s="232" t="s">
        <v>1661</v>
      </c>
      <c r="C48" s="232" t="s">
        <v>1662</v>
      </c>
      <c r="D48" s="235" t="s">
        <v>1663</v>
      </c>
      <c r="E48" s="237" t="s">
        <v>1796</v>
      </c>
      <c r="F48" s="235" t="s">
        <v>1663</v>
      </c>
      <c r="G48" s="237" t="s">
        <v>1797</v>
      </c>
    </row>
    <row r="49" customHeight="1" spans="2:7">
      <c r="B49" s="232" t="s">
        <v>1668</v>
      </c>
      <c r="C49" s="232" t="s">
        <v>1669</v>
      </c>
      <c r="D49" s="235" t="s">
        <v>1670</v>
      </c>
      <c r="E49" s="237" t="s">
        <v>1798</v>
      </c>
      <c r="F49" s="235" t="s">
        <v>1670</v>
      </c>
      <c r="G49" s="237" t="s">
        <v>1799</v>
      </c>
    </row>
    <row r="50" customHeight="1" spans="2:7">
      <c r="B50" s="232" t="s">
        <v>1675</v>
      </c>
      <c r="C50" s="232" t="s">
        <v>1676</v>
      </c>
      <c r="D50" s="235" t="s">
        <v>1663</v>
      </c>
      <c r="E50" s="237" t="s">
        <v>1800</v>
      </c>
      <c r="F50" s="235" t="s">
        <v>1663</v>
      </c>
      <c r="G50" s="237" t="s">
        <v>1801</v>
      </c>
    </row>
    <row r="51" customHeight="1" spans="2:7">
      <c r="B51" s="232" t="s">
        <v>1681</v>
      </c>
      <c r="C51" s="232" t="s">
        <v>1682</v>
      </c>
      <c r="D51" s="235" t="s">
        <v>1663</v>
      </c>
      <c r="E51" s="237" t="s">
        <v>1802</v>
      </c>
      <c r="F51" s="235" t="s">
        <v>1663</v>
      </c>
      <c r="G51" s="237" t="s">
        <v>1803</v>
      </c>
    </row>
    <row r="52" customHeight="1" spans="2:7">
      <c r="B52" s="232" t="s">
        <v>1687</v>
      </c>
      <c r="C52" s="232" t="s">
        <v>1688</v>
      </c>
      <c r="D52" s="235" t="s">
        <v>1670</v>
      </c>
      <c r="E52" s="237" t="s">
        <v>1691</v>
      </c>
      <c r="F52" s="235" t="s">
        <v>1670</v>
      </c>
      <c r="G52" s="237" t="s">
        <v>1692</v>
      </c>
    </row>
    <row r="53" customHeight="1" spans="2:7">
      <c r="B53" s="232" t="s">
        <v>1693</v>
      </c>
      <c r="C53" s="232" t="s">
        <v>1694</v>
      </c>
      <c r="D53" s="235" t="s">
        <v>1663</v>
      </c>
      <c r="E53" s="237" t="s">
        <v>1804</v>
      </c>
      <c r="F53" s="235" t="s">
        <v>1663</v>
      </c>
      <c r="G53" s="237" t="s">
        <v>1805</v>
      </c>
    </row>
    <row r="54" customHeight="1" spans="2:7">
      <c r="B54" s="232" t="s">
        <v>1697</v>
      </c>
      <c r="C54" s="232" t="s">
        <v>1698</v>
      </c>
      <c r="D54" s="235" t="s">
        <v>1670</v>
      </c>
      <c r="E54" s="237" t="s">
        <v>1701</v>
      </c>
      <c r="F54" s="235" t="s">
        <v>1670</v>
      </c>
      <c r="G54" s="237" t="s">
        <v>1702</v>
      </c>
    </row>
    <row r="55" customHeight="1" spans="2:7">
      <c r="B55" s="232" t="s">
        <v>1703</v>
      </c>
      <c r="C55" s="232" t="s">
        <v>1704</v>
      </c>
      <c r="D55" s="235" t="s">
        <v>1663</v>
      </c>
      <c r="E55" s="237" t="s">
        <v>1806</v>
      </c>
      <c r="F55" s="235" t="s">
        <v>1663</v>
      </c>
      <c r="G55" s="237" t="s">
        <v>1807</v>
      </c>
    </row>
    <row r="56" customHeight="1" spans="2:7">
      <c r="B56" s="232" t="s">
        <v>1707</v>
      </c>
      <c r="C56" s="232" t="s">
        <v>1708</v>
      </c>
      <c r="D56" s="235" t="s">
        <v>1663</v>
      </c>
      <c r="E56" s="237" t="s">
        <v>1808</v>
      </c>
      <c r="F56" s="235" t="s">
        <v>1663</v>
      </c>
      <c r="G56" s="237" t="s">
        <v>1809</v>
      </c>
    </row>
    <row r="57" customHeight="1" spans="2:7">
      <c r="B57" s="232" t="s">
        <v>1713</v>
      </c>
      <c r="C57" s="232" t="s">
        <v>1714</v>
      </c>
      <c r="D57" s="235" t="s">
        <v>1663</v>
      </c>
      <c r="E57" s="237" t="s">
        <v>1808</v>
      </c>
      <c r="F57" s="235" t="s">
        <v>1663</v>
      </c>
      <c r="G57" s="237" t="s">
        <v>1809</v>
      </c>
    </row>
    <row r="58" customHeight="1" spans="2:7">
      <c r="B58" s="232" t="s">
        <v>1715</v>
      </c>
      <c r="C58" s="232" t="s">
        <v>1716</v>
      </c>
      <c r="D58" s="235" t="s">
        <v>1663</v>
      </c>
      <c r="E58" s="468" t="s">
        <v>1810</v>
      </c>
      <c r="F58" s="235" t="s">
        <v>1663</v>
      </c>
      <c r="G58" s="468" t="s">
        <v>1811</v>
      </c>
    </row>
    <row r="59" customHeight="1" spans="2:7">
      <c r="B59" s="232" t="s">
        <v>1719</v>
      </c>
      <c r="C59" s="232" t="s">
        <v>1720</v>
      </c>
      <c r="D59" s="235" t="s">
        <v>1670</v>
      </c>
      <c r="E59" s="468" t="s">
        <v>1812</v>
      </c>
      <c r="F59" s="235" t="s">
        <v>1670</v>
      </c>
      <c r="G59" s="468" t="s">
        <v>1813</v>
      </c>
    </row>
    <row r="60" customHeight="1" spans="2:7">
      <c r="B60" s="232" t="s">
        <v>1723</v>
      </c>
      <c r="C60" s="232" t="s">
        <v>1583</v>
      </c>
      <c r="D60" s="235" t="s">
        <v>1670</v>
      </c>
      <c r="E60" s="468" t="s">
        <v>1724</v>
      </c>
      <c r="F60" s="235" t="s">
        <v>1670</v>
      </c>
      <c r="G60" s="468" t="s">
        <v>1725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3"/>
  <sheetViews>
    <sheetView zoomScale="85" zoomScaleNormal="85" workbookViewId="0">
      <selection activeCell="C3" sqref="C3:C23"/>
    </sheetView>
  </sheetViews>
  <sheetFormatPr defaultColWidth="9" defaultRowHeight="20.1" customHeight="1"/>
  <cols>
    <col min="1" max="1" width="3.125" customWidth="1"/>
    <col min="2" max="2" width="10.375" style="41" customWidth="1"/>
    <col min="3" max="3" width="11.25" style="41" customWidth="1"/>
    <col min="4" max="4" width="8.75" style="41" customWidth="1"/>
    <col min="5" max="5" width="34.75" style="143" customWidth="1"/>
    <col min="6" max="6" width="8.75" style="41" customWidth="1"/>
    <col min="7" max="7" width="41.5" style="143" customWidth="1"/>
    <col min="8" max="8" width="8.75" style="41" customWidth="1"/>
    <col min="9" max="9" width="43.5" style="143" customWidth="1"/>
    <col min="10" max="10" width="8.75" style="41" customWidth="1"/>
    <col min="11" max="11" width="44.125" style="143" customWidth="1"/>
    <col min="12" max="13" width="9" style="41"/>
  </cols>
  <sheetData>
    <row r="2" s="41" customFormat="1" customHeight="1" spans="2:13">
      <c r="B2" s="231" t="s">
        <v>1650</v>
      </c>
      <c r="C2" s="231" t="s">
        <v>1651</v>
      </c>
      <c r="D2" s="231" t="s">
        <v>1652</v>
      </c>
      <c r="E2" s="231" t="s">
        <v>1653</v>
      </c>
      <c r="F2" s="231" t="s">
        <v>1654</v>
      </c>
      <c r="G2" s="231" t="s">
        <v>1655</v>
      </c>
      <c r="H2" s="231" t="s">
        <v>1656</v>
      </c>
      <c r="I2" s="231" t="s">
        <v>1657</v>
      </c>
      <c r="J2" s="231" t="s">
        <v>1658</v>
      </c>
      <c r="K2" s="231" t="s">
        <v>1659</v>
      </c>
      <c r="L2" s="231" t="s">
        <v>1651</v>
      </c>
      <c r="M2" s="231" t="s">
        <v>1650</v>
      </c>
    </row>
    <row r="3" customHeight="1" spans="2:13">
      <c r="B3" s="240" t="s">
        <v>1741</v>
      </c>
      <c r="C3" s="240" t="s">
        <v>715</v>
      </c>
      <c r="D3" s="240" t="s">
        <v>1670</v>
      </c>
      <c r="E3" s="467" t="s">
        <v>1814</v>
      </c>
      <c r="F3" s="240" t="s">
        <v>1670</v>
      </c>
      <c r="G3" s="467" t="s">
        <v>1815</v>
      </c>
      <c r="H3" s="240" t="s">
        <v>1670</v>
      </c>
      <c r="I3" s="241" t="s">
        <v>1816</v>
      </c>
      <c r="J3" s="240" t="s">
        <v>1670</v>
      </c>
      <c r="K3" s="241" t="s">
        <v>1817</v>
      </c>
      <c r="L3" s="240" t="s">
        <v>715</v>
      </c>
      <c r="M3" s="240" t="s">
        <v>1741</v>
      </c>
    </row>
    <row r="4" customHeight="1" spans="2:13">
      <c r="B4" s="240" t="s">
        <v>1755</v>
      </c>
      <c r="C4" s="240" t="s">
        <v>71</v>
      </c>
      <c r="D4" s="240" t="s">
        <v>1670</v>
      </c>
      <c r="E4" s="467" t="s">
        <v>1818</v>
      </c>
      <c r="F4" s="240" t="s">
        <v>1670</v>
      </c>
      <c r="G4" s="467" t="s">
        <v>1819</v>
      </c>
      <c r="H4" s="240" t="s">
        <v>1670</v>
      </c>
      <c r="I4" s="241" t="s">
        <v>1820</v>
      </c>
      <c r="J4" s="240" t="s">
        <v>1670</v>
      </c>
      <c r="K4" s="241" t="s">
        <v>1821</v>
      </c>
      <c r="L4" s="240" t="s">
        <v>71</v>
      </c>
      <c r="M4" s="240" t="s">
        <v>1755</v>
      </c>
    </row>
    <row r="5" customHeight="1" spans="2:13">
      <c r="B5" s="240" t="s">
        <v>1758</v>
      </c>
      <c r="C5" s="240" t="s">
        <v>719</v>
      </c>
      <c r="D5" s="240" t="s">
        <v>1670</v>
      </c>
      <c r="E5" s="467" t="s">
        <v>1822</v>
      </c>
      <c r="F5" s="240" t="s">
        <v>1670</v>
      </c>
      <c r="G5" s="467" t="s">
        <v>1823</v>
      </c>
      <c r="H5" s="240" t="s">
        <v>1670</v>
      </c>
      <c r="I5" s="467" t="s">
        <v>1824</v>
      </c>
      <c r="J5" s="240" t="s">
        <v>1670</v>
      </c>
      <c r="K5" s="241" t="s">
        <v>1825</v>
      </c>
      <c r="L5" s="240" t="s">
        <v>719</v>
      </c>
      <c r="M5" s="240" t="s">
        <v>1758</v>
      </c>
    </row>
    <row r="6" customHeight="1" spans="2:13">
      <c r="B6" s="240" t="s">
        <v>328</v>
      </c>
      <c r="C6" s="240" t="s">
        <v>705</v>
      </c>
      <c r="D6" s="240" t="s">
        <v>1732</v>
      </c>
      <c r="E6" s="467" t="s">
        <v>1826</v>
      </c>
      <c r="F6" s="240" t="s">
        <v>1732</v>
      </c>
      <c r="G6" s="467" t="s">
        <v>1827</v>
      </c>
      <c r="H6" s="240" t="s">
        <v>1663</v>
      </c>
      <c r="I6" s="241" t="s">
        <v>1828</v>
      </c>
      <c r="J6" s="240" t="s">
        <v>1663</v>
      </c>
      <c r="K6" s="241" t="s">
        <v>1829</v>
      </c>
      <c r="L6" s="240" t="s">
        <v>705</v>
      </c>
      <c r="M6" s="240" t="s">
        <v>328</v>
      </c>
    </row>
    <row r="7" customHeight="1" spans="2:13">
      <c r="B7" s="240" t="s">
        <v>328</v>
      </c>
      <c r="C7" s="240" t="s">
        <v>29</v>
      </c>
      <c r="D7" s="240" t="s">
        <v>1670</v>
      </c>
      <c r="E7" s="467" t="s">
        <v>1830</v>
      </c>
      <c r="F7" s="240" t="s">
        <v>1670</v>
      </c>
      <c r="G7" s="467" t="s">
        <v>1831</v>
      </c>
      <c r="H7" s="240" t="s">
        <v>1670</v>
      </c>
      <c r="I7" s="241" t="s">
        <v>1828</v>
      </c>
      <c r="J7" s="240" t="s">
        <v>1670</v>
      </c>
      <c r="K7" s="241" t="s">
        <v>1829</v>
      </c>
      <c r="L7" s="240" t="s">
        <v>29</v>
      </c>
      <c r="M7" s="240" t="s">
        <v>328</v>
      </c>
    </row>
    <row r="8" customHeight="1" spans="2:13">
      <c r="B8" s="240" t="s">
        <v>1738</v>
      </c>
      <c r="C8" s="240" t="s">
        <v>44</v>
      </c>
      <c r="D8" s="240" t="s">
        <v>1663</v>
      </c>
      <c r="E8" s="467" t="s">
        <v>1832</v>
      </c>
      <c r="F8" s="240" t="s">
        <v>1663</v>
      </c>
      <c r="G8" s="467" t="s">
        <v>1833</v>
      </c>
      <c r="H8" s="240" t="s">
        <v>1663</v>
      </c>
      <c r="I8" s="467" t="s">
        <v>1834</v>
      </c>
      <c r="J8" s="240" t="s">
        <v>1663</v>
      </c>
      <c r="K8" s="241" t="s">
        <v>1835</v>
      </c>
      <c r="L8" s="240" t="s">
        <v>44</v>
      </c>
      <c r="M8" s="240" t="s">
        <v>1738</v>
      </c>
    </row>
    <row r="9" customHeight="1" spans="2:13">
      <c r="B9" s="240" t="s">
        <v>1766</v>
      </c>
      <c r="C9" s="240" t="s">
        <v>15</v>
      </c>
      <c r="D9" s="240" t="s">
        <v>1663</v>
      </c>
      <c r="E9" s="467" t="s">
        <v>1836</v>
      </c>
      <c r="F9" s="240" t="s">
        <v>1663</v>
      </c>
      <c r="G9" s="467" t="s">
        <v>1837</v>
      </c>
      <c r="H9" s="240" t="s">
        <v>1663</v>
      </c>
      <c r="I9" s="467" t="s">
        <v>1838</v>
      </c>
      <c r="J9" s="240" t="s">
        <v>1663</v>
      </c>
      <c r="K9" s="467" t="s">
        <v>1839</v>
      </c>
      <c r="L9" s="240" t="s">
        <v>15</v>
      </c>
      <c r="M9" s="240" t="s">
        <v>1766</v>
      </c>
    </row>
    <row r="10" customHeight="1" spans="2:13">
      <c r="B10" s="240" t="s">
        <v>1723</v>
      </c>
      <c r="C10" s="240" t="s">
        <v>356</v>
      </c>
      <c r="D10" s="240" t="s">
        <v>1670</v>
      </c>
      <c r="E10" s="467" t="s">
        <v>1840</v>
      </c>
      <c r="F10" s="240" t="s">
        <v>1670</v>
      </c>
      <c r="G10" s="467" t="s">
        <v>1841</v>
      </c>
      <c r="H10" s="240" t="s">
        <v>1670</v>
      </c>
      <c r="I10" s="241" t="s">
        <v>1842</v>
      </c>
      <c r="J10" s="240" t="s">
        <v>1670</v>
      </c>
      <c r="K10" s="241" t="s">
        <v>1843</v>
      </c>
      <c r="L10" s="240" t="s">
        <v>356</v>
      </c>
      <c r="M10" s="240" t="s">
        <v>1723</v>
      </c>
    </row>
    <row r="11" customHeight="1" spans="2:13">
      <c r="B11" s="240" t="s">
        <v>1771</v>
      </c>
      <c r="C11" s="240" t="s">
        <v>738</v>
      </c>
      <c r="D11" s="240" t="s">
        <v>1670</v>
      </c>
      <c r="E11" s="467" t="s">
        <v>1844</v>
      </c>
      <c r="F11" s="240" t="s">
        <v>1670</v>
      </c>
      <c r="G11" s="467" t="s">
        <v>1845</v>
      </c>
      <c r="H11" s="240" t="s">
        <v>1670</v>
      </c>
      <c r="I11" s="467" t="s">
        <v>1846</v>
      </c>
      <c r="J11" s="240" t="s">
        <v>1670</v>
      </c>
      <c r="K11" s="467" t="s">
        <v>1847</v>
      </c>
      <c r="L11" s="240" t="s">
        <v>738</v>
      </c>
      <c r="M11" s="240" t="s">
        <v>1771</v>
      </c>
    </row>
    <row r="12" customHeight="1" spans="2:13">
      <c r="B12" s="240" t="s">
        <v>1675</v>
      </c>
      <c r="C12" s="240" t="s">
        <v>758</v>
      </c>
      <c r="D12" s="240" t="s">
        <v>1663</v>
      </c>
      <c r="E12" s="241" t="s">
        <v>1848</v>
      </c>
      <c r="F12" s="240" t="s">
        <v>1663</v>
      </c>
      <c r="G12" s="467" t="s">
        <v>1849</v>
      </c>
      <c r="H12" s="240" t="s">
        <v>1663</v>
      </c>
      <c r="I12" s="467" t="s">
        <v>1850</v>
      </c>
      <c r="J12" s="240" t="s">
        <v>1663</v>
      </c>
      <c r="K12" s="467" t="s">
        <v>1851</v>
      </c>
      <c r="L12" s="240" t="s">
        <v>758</v>
      </c>
      <c r="M12" s="240" t="s">
        <v>1675</v>
      </c>
    </row>
    <row r="13" customHeight="1" spans="2:13">
      <c r="B13" s="240" t="s">
        <v>1661</v>
      </c>
      <c r="C13" s="240" t="s">
        <v>756</v>
      </c>
      <c r="D13" s="240" t="s">
        <v>1663</v>
      </c>
      <c r="E13" s="241" t="s">
        <v>1852</v>
      </c>
      <c r="F13" s="240" t="s">
        <v>1663</v>
      </c>
      <c r="G13" s="467" t="s">
        <v>1853</v>
      </c>
      <c r="H13" s="240" t="s">
        <v>1663</v>
      </c>
      <c r="I13" s="241" t="s">
        <v>1854</v>
      </c>
      <c r="J13" s="240" t="s">
        <v>1663</v>
      </c>
      <c r="K13" s="241" t="s">
        <v>1855</v>
      </c>
      <c r="L13" s="240" t="s">
        <v>756</v>
      </c>
      <c r="M13" s="240" t="s">
        <v>1661</v>
      </c>
    </row>
    <row r="14" customHeight="1" spans="2:13">
      <c r="B14" s="240" t="s">
        <v>1668</v>
      </c>
      <c r="C14" s="240" t="s">
        <v>822</v>
      </c>
      <c r="D14" s="240" t="s">
        <v>1670</v>
      </c>
      <c r="E14" s="467" t="s">
        <v>1856</v>
      </c>
      <c r="F14" s="240" t="s">
        <v>1670</v>
      </c>
      <c r="G14" s="241" t="s">
        <v>1857</v>
      </c>
      <c r="H14" s="240" t="s">
        <v>1670</v>
      </c>
      <c r="I14" s="241" t="s">
        <v>1858</v>
      </c>
      <c r="J14" s="240" t="s">
        <v>1670</v>
      </c>
      <c r="K14" s="241" t="s">
        <v>1859</v>
      </c>
      <c r="L14" s="240" t="s">
        <v>822</v>
      </c>
      <c r="M14" s="240" t="s">
        <v>1668</v>
      </c>
    </row>
    <row r="15" customHeight="1" spans="2:13">
      <c r="B15" s="240" t="s">
        <v>1687</v>
      </c>
      <c r="C15" s="240" t="s">
        <v>803</v>
      </c>
      <c r="D15" s="240" t="s">
        <v>1670</v>
      </c>
      <c r="E15" s="467" t="s">
        <v>1856</v>
      </c>
      <c r="F15" s="240" t="s">
        <v>1670</v>
      </c>
      <c r="G15" s="467" t="s">
        <v>1860</v>
      </c>
      <c r="H15" s="240" t="s">
        <v>1670</v>
      </c>
      <c r="I15" s="467" t="s">
        <v>1861</v>
      </c>
      <c r="J15" s="240" t="s">
        <v>1670</v>
      </c>
      <c r="K15" s="467" t="s">
        <v>1862</v>
      </c>
      <c r="L15" s="240" t="s">
        <v>803</v>
      </c>
      <c r="M15" s="240" t="s">
        <v>1687</v>
      </c>
    </row>
    <row r="16" customHeight="1" spans="2:13">
      <c r="B16" s="240" t="s">
        <v>1681</v>
      </c>
      <c r="C16" s="240" t="s">
        <v>1576</v>
      </c>
      <c r="D16" s="240" t="s">
        <v>1663</v>
      </c>
      <c r="E16" s="467" t="s">
        <v>1856</v>
      </c>
      <c r="F16" s="240" t="s">
        <v>1663</v>
      </c>
      <c r="G16" s="467" t="s">
        <v>1860</v>
      </c>
      <c r="H16" s="240" t="s">
        <v>1663</v>
      </c>
      <c r="I16" s="467" t="s">
        <v>1863</v>
      </c>
      <c r="J16" s="240" t="s">
        <v>1663</v>
      </c>
      <c r="K16" s="467" t="s">
        <v>1864</v>
      </c>
      <c r="L16" s="240" t="s">
        <v>1576</v>
      </c>
      <c r="M16" s="240" t="s">
        <v>1681</v>
      </c>
    </row>
    <row r="17" customHeight="1" spans="2:13">
      <c r="B17" s="240" t="s">
        <v>1577</v>
      </c>
      <c r="C17" s="240" t="s">
        <v>1577</v>
      </c>
      <c r="D17" s="240" t="s">
        <v>1663</v>
      </c>
      <c r="E17" s="241" t="s">
        <v>1865</v>
      </c>
      <c r="F17" s="240" t="s">
        <v>1663</v>
      </c>
      <c r="G17" s="241" t="s">
        <v>1866</v>
      </c>
      <c r="H17" s="240" t="s">
        <v>1663</v>
      </c>
      <c r="I17" s="241" t="s">
        <v>1867</v>
      </c>
      <c r="J17" s="240" t="s">
        <v>1663</v>
      </c>
      <c r="K17" s="241" t="s">
        <v>1868</v>
      </c>
      <c r="L17" s="240" t="s">
        <v>1577</v>
      </c>
      <c r="M17" s="240" t="s">
        <v>1577</v>
      </c>
    </row>
    <row r="18" customHeight="1" spans="2:13">
      <c r="B18" s="240" t="s">
        <v>1693</v>
      </c>
      <c r="C18" s="240" t="s">
        <v>1578</v>
      </c>
      <c r="D18" s="240" t="s">
        <v>1663</v>
      </c>
      <c r="E18" s="467" t="s">
        <v>1856</v>
      </c>
      <c r="F18" s="240" t="s">
        <v>1663</v>
      </c>
      <c r="G18" s="467" t="s">
        <v>1860</v>
      </c>
      <c r="H18" s="240" t="s">
        <v>1663</v>
      </c>
      <c r="I18" s="467" t="s">
        <v>1869</v>
      </c>
      <c r="J18" s="240" t="s">
        <v>1663</v>
      </c>
      <c r="K18" s="467" t="s">
        <v>1870</v>
      </c>
      <c r="L18" s="240" t="s">
        <v>1578</v>
      </c>
      <c r="M18" s="240" t="s">
        <v>1693</v>
      </c>
    </row>
    <row r="19" customHeight="1" spans="2:13">
      <c r="B19" s="240" t="s">
        <v>1697</v>
      </c>
      <c r="C19" s="240" t="s">
        <v>891</v>
      </c>
      <c r="D19" s="240" t="s">
        <v>1670</v>
      </c>
      <c r="E19" s="467" t="s">
        <v>1856</v>
      </c>
      <c r="F19" s="240" t="s">
        <v>1670</v>
      </c>
      <c r="G19" s="467" t="s">
        <v>1860</v>
      </c>
      <c r="H19" s="240" t="s">
        <v>1670</v>
      </c>
      <c r="I19" s="241" t="s">
        <v>1871</v>
      </c>
      <c r="J19" s="240" t="s">
        <v>1670</v>
      </c>
      <c r="K19" s="241" t="s">
        <v>1872</v>
      </c>
      <c r="L19" s="240" t="s">
        <v>891</v>
      </c>
      <c r="M19" s="240" t="s">
        <v>1697</v>
      </c>
    </row>
    <row r="20" customHeight="1" spans="2:13">
      <c r="B20" s="240" t="s">
        <v>1703</v>
      </c>
      <c r="C20" s="240" t="s">
        <v>1579</v>
      </c>
      <c r="D20" s="240" t="s">
        <v>1663</v>
      </c>
      <c r="E20" s="467" t="s">
        <v>1856</v>
      </c>
      <c r="F20" s="240" t="s">
        <v>1663</v>
      </c>
      <c r="G20" s="467" t="s">
        <v>1860</v>
      </c>
      <c r="H20" s="240" t="s">
        <v>1663</v>
      </c>
      <c r="I20" s="241" t="s">
        <v>1873</v>
      </c>
      <c r="J20" s="240" t="s">
        <v>1663</v>
      </c>
      <c r="K20" s="241" t="s">
        <v>1874</v>
      </c>
      <c r="L20" s="240" t="s">
        <v>1579</v>
      </c>
      <c r="M20" s="240" t="s">
        <v>1703</v>
      </c>
    </row>
    <row r="21" customHeight="1" spans="2:13">
      <c r="B21" s="240" t="s">
        <v>1707</v>
      </c>
      <c r="C21" s="240" t="s">
        <v>1580</v>
      </c>
      <c r="D21" s="240" t="s">
        <v>1663</v>
      </c>
      <c r="E21" s="467" t="s">
        <v>1856</v>
      </c>
      <c r="F21" s="240" t="s">
        <v>1663</v>
      </c>
      <c r="G21" s="467" t="s">
        <v>1860</v>
      </c>
      <c r="H21" s="240" t="s">
        <v>1663</v>
      </c>
      <c r="I21" s="467" t="s">
        <v>1875</v>
      </c>
      <c r="J21" s="240" t="s">
        <v>1663</v>
      </c>
      <c r="K21" s="467" t="s">
        <v>1876</v>
      </c>
      <c r="L21" s="240" t="s">
        <v>1580</v>
      </c>
      <c r="M21" s="240" t="s">
        <v>1707</v>
      </c>
    </row>
    <row r="22" customHeight="1" spans="2:13">
      <c r="B22" s="240" t="s">
        <v>1713</v>
      </c>
      <c r="C22" s="240" t="s">
        <v>1581</v>
      </c>
      <c r="D22" s="240" t="s">
        <v>1663</v>
      </c>
      <c r="E22" s="467" t="s">
        <v>1856</v>
      </c>
      <c r="F22" s="240" t="s">
        <v>1663</v>
      </c>
      <c r="G22" s="467" t="s">
        <v>1860</v>
      </c>
      <c r="H22" s="240" t="s">
        <v>1663</v>
      </c>
      <c r="I22" s="467" t="s">
        <v>1875</v>
      </c>
      <c r="J22" s="240" t="s">
        <v>1663</v>
      </c>
      <c r="K22" s="467" t="s">
        <v>1876</v>
      </c>
      <c r="L22" s="240" t="s">
        <v>1581</v>
      </c>
      <c r="M22" s="240" t="s">
        <v>1713</v>
      </c>
    </row>
    <row r="23" customHeight="1" spans="2:13">
      <c r="B23" s="240" t="s">
        <v>1719</v>
      </c>
      <c r="C23" s="240" t="s">
        <v>1582</v>
      </c>
      <c r="D23" s="240" t="s">
        <v>1670</v>
      </c>
      <c r="E23" s="467" t="s">
        <v>1856</v>
      </c>
      <c r="F23" s="240" t="s">
        <v>1670</v>
      </c>
      <c r="G23" s="467" t="s">
        <v>1860</v>
      </c>
      <c r="H23" s="240" t="s">
        <v>1670</v>
      </c>
      <c r="I23" s="467" t="s">
        <v>1877</v>
      </c>
      <c r="J23" s="240" t="s">
        <v>1670</v>
      </c>
      <c r="K23" s="467" t="s">
        <v>1878</v>
      </c>
      <c r="L23" s="240" t="s">
        <v>1582</v>
      </c>
      <c r="M23" s="240" t="s">
        <v>1719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"/>
  <sheetViews>
    <sheetView tabSelected="1" zoomScale="85" zoomScaleNormal="85" workbookViewId="0">
      <pane ySplit="1" topLeftCell="A27" activePane="bottomLeft" state="frozen"/>
      <selection/>
      <selection pane="bottomLeft" activeCell="O37" sqref="O37"/>
    </sheetView>
  </sheetViews>
  <sheetFormatPr defaultColWidth="9" defaultRowHeight="12"/>
  <cols>
    <col min="1" max="1" width="11.625" style="441" customWidth="1"/>
    <col min="2" max="8" width="11.625" style="442" customWidth="1"/>
    <col min="9" max="12" width="11.625" style="443" customWidth="1"/>
    <col min="13" max="16" width="11.625" style="442" customWidth="1"/>
    <col min="17" max="20" width="11.625" style="443" customWidth="1"/>
    <col min="21" max="16384" width="9" style="444"/>
  </cols>
  <sheetData>
    <row r="1" s="440" customFormat="1" ht="50.1" customHeight="1" spans="1:20">
      <c r="A1" s="445" t="s">
        <v>1550</v>
      </c>
      <c r="B1" s="446" t="s">
        <v>456</v>
      </c>
      <c r="C1" s="447" t="s">
        <v>1879</v>
      </c>
      <c r="D1" s="447" t="s">
        <v>1880</v>
      </c>
      <c r="E1" s="447" t="s">
        <v>1881</v>
      </c>
      <c r="F1" s="446" t="s">
        <v>1882</v>
      </c>
      <c r="G1" s="446" t="s">
        <v>1883</v>
      </c>
      <c r="H1" s="446" t="s">
        <v>1653</v>
      </c>
      <c r="I1" s="446" t="s">
        <v>1884</v>
      </c>
      <c r="J1" s="446" t="s">
        <v>1885</v>
      </c>
      <c r="K1" s="446" t="s">
        <v>1886</v>
      </c>
      <c r="L1" s="446" t="s">
        <v>1655</v>
      </c>
      <c r="M1" s="448" t="s">
        <v>1887</v>
      </c>
      <c r="N1" s="448" t="s">
        <v>1888</v>
      </c>
      <c r="O1" s="448" t="s">
        <v>1889</v>
      </c>
      <c r="P1" s="448" t="s">
        <v>1657</v>
      </c>
      <c r="Q1" s="448" t="s">
        <v>1890</v>
      </c>
      <c r="R1" s="448" t="s">
        <v>1891</v>
      </c>
      <c r="S1" s="448" t="s">
        <v>1892</v>
      </c>
      <c r="T1" s="448" t="s">
        <v>1659</v>
      </c>
    </row>
    <row r="2" s="423" customFormat="1" ht="50.1" customHeight="1" spans="1:20">
      <c r="A2" s="449" t="s">
        <v>747</v>
      </c>
      <c r="B2" s="450" t="s">
        <v>1670</v>
      </c>
      <c r="C2" s="451" t="s">
        <v>1893</v>
      </c>
      <c r="D2" s="451" t="s">
        <v>1894</v>
      </c>
      <c r="E2" s="451" t="s">
        <v>1895</v>
      </c>
      <c r="F2" s="450" t="s">
        <v>1896</v>
      </c>
      <c r="G2" s="450" t="s">
        <v>1897</v>
      </c>
      <c r="H2" s="450" t="s">
        <v>1898</v>
      </c>
      <c r="I2" s="452" t="s">
        <v>1899</v>
      </c>
      <c r="J2" s="452" t="s">
        <v>1895</v>
      </c>
      <c r="K2" s="452" t="s">
        <v>1900</v>
      </c>
      <c r="L2" s="452" t="s">
        <v>1901</v>
      </c>
      <c r="M2" s="453" t="s">
        <v>1902</v>
      </c>
      <c r="N2" s="453" t="s">
        <v>1903</v>
      </c>
      <c r="O2" s="453" t="s">
        <v>1904</v>
      </c>
      <c r="P2" s="453" t="s">
        <v>1905</v>
      </c>
      <c r="Q2" s="454" t="s">
        <v>1906</v>
      </c>
      <c r="R2" s="455" t="s">
        <v>1903</v>
      </c>
      <c r="S2" s="455" t="s">
        <v>1904</v>
      </c>
      <c r="T2" s="455" t="s">
        <v>1905</v>
      </c>
    </row>
    <row r="3" s="423" customFormat="1" ht="50.1" customHeight="1" spans="1:20">
      <c r="A3" s="449" t="s">
        <v>106</v>
      </c>
      <c r="B3" s="450" t="s">
        <v>1670</v>
      </c>
      <c r="C3" s="451" t="s">
        <v>1907</v>
      </c>
      <c r="D3" s="451" t="s">
        <v>1894</v>
      </c>
      <c r="E3" s="451" t="s">
        <v>1895</v>
      </c>
      <c r="F3" s="450" t="s">
        <v>1908</v>
      </c>
      <c r="G3" s="450" t="s">
        <v>1897</v>
      </c>
      <c r="H3" s="450" t="s">
        <v>1898</v>
      </c>
      <c r="I3" s="452" t="s">
        <v>1909</v>
      </c>
      <c r="J3" s="452" t="s">
        <v>1895</v>
      </c>
      <c r="K3" s="452" t="s">
        <v>1900</v>
      </c>
      <c r="L3" s="452" t="s">
        <v>1901</v>
      </c>
      <c r="M3" s="453" t="s">
        <v>1902</v>
      </c>
      <c r="N3" s="453" t="s">
        <v>1903</v>
      </c>
      <c r="O3" s="453" t="s">
        <v>1904</v>
      </c>
      <c r="P3" s="453" t="s">
        <v>1905</v>
      </c>
      <c r="Q3" s="454" t="s">
        <v>1906</v>
      </c>
      <c r="R3" s="455" t="s">
        <v>1903</v>
      </c>
      <c r="S3" s="455" t="s">
        <v>1904</v>
      </c>
      <c r="T3" s="455" t="s">
        <v>1905</v>
      </c>
    </row>
    <row r="4" s="423" customFormat="1" ht="50.1" customHeight="1" spans="1:20">
      <c r="A4" s="449" t="s">
        <v>117</v>
      </c>
      <c r="B4" s="450" t="s">
        <v>1670</v>
      </c>
      <c r="C4" s="451" t="s">
        <v>1910</v>
      </c>
      <c r="D4" s="451" t="s">
        <v>1894</v>
      </c>
      <c r="E4" s="451" t="s">
        <v>1895</v>
      </c>
      <c r="F4" s="450" t="s">
        <v>1911</v>
      </c>
      <c r="G4" s="450" t="s">
        <v>1897</v>
      </c>
      <c r="H4" s="450" t="s">
        <v>1898</v>
      </c>
      <c r="I4" s="452" t="s">
        <v>1912</v>
      </c>
      <c r="J4" s="452" t="s">
        <v>1895</v>
      </c>
      <c r="K4" s="452" t="s">
        <v>1900</v>
      </c>
      <c r="L4" s="452" t="s">
        <v>1901</v>
      </c>
      <c r="M4" s="453" t="s">
        <v>1902</v>
      </c>
      <c r="N4" s="453" t="s">
        <v>1903</v>
      </c>
      <c r="O4" s="453" t="s">
        <v>1904</v>
      </c>
      <c r="P4" s="453" t="s">
        <v>1905</v>
      </c>
      <c r="Q4" s="454" t="s">
        <v>1906</v>
      </c>
      <c r="R4" s="455" t="s">
        <v>1903</v>
      </c>
      <c r="S4" s="455" t="s">
        <v>1904</v>
      </c>
      <c r="T4" s="455" t="s">
        <v>1905</v>
      </c>
    </row>
    <row r="5" s="423" customFormat="1" ht="50.1" customHeight="1" spans="1:20">
      <c r="A5" s="449" t="s">
        <v>734</v>
      </c>
      <c r="B5" s="450" t="s">
        <v>1670</v>
      </c>
      <c r="C5" s="451" t="s">
        <v>1913</v>
      </c>
      <c r="D5" s="451" t="s">
        <v>1914</v>
      </c>
      <c r="E5" s="451" t="s">
        <v>1915</v>
      </c>
      <c r="F5" s="450" t="s">
        <v>1916</v>
      </c>
      <c r="G5" s="450" t="s">
        <v>1917</v>
      </c>
      <c r="H5" s="450" t="s">
        <v>1918</v>
      </c>
      <c r="I5" s="452" t="s">
        <v>1919</v>
      </c>
      <c r="J5" s="452" t="s">
        <v>1915</v>
      </c>
      <c r="K5" s="452" t="s">
        <v>1920</v>
      </c>
      <c r="L5" s="452" t="s">
        <v>1921</v>
      </c>
      <c r="M5" s="453" t="s">
        <v>1902</v>
      </c>
      <c r="N5" s="453" t="s">
        <v>1922</v>
      </c>
      <c r="O5" s="453" t="s">
        <v>1923</v>
      </c>
      <c r="P5" s="453" t="s">
        <v>1924</v>
      </c>
      <c r="Q5" s="454" t="s">
        <v>1906</v>
      </c>
      <c r="R5" s="454" t="s">
        <v>1922</v>
      </c>
      <c r="S5" s="454" t="s">
        <v>1923</v>
      </c>
      <c r="T5" s="455" t="s">
        <v>1924</v>
      </c>
    </row>
    <row r="6" s="423" customFormat="1" ht="50.1" customHeight="1" spans="1:20">
      <c r="A6" s="449" t="s">
        <v>124</v>
      </c>
      <c r="B6" s="450" t="s">
        <v>1732</v>
      </c>
      <c r="C6" s="451" t="s">
        <v>1925</v>
      </c>
      <c r="D6" s="451" t="s">
        <v>1926</v>
      </c>
      <c r="E6" s="451" t="s">
        <v>1927</v>
      </c>
      <c r="F6" s="450" t="s">
        <v>1928</v>
      </c>
      <c r="G6" s="450" t="s">
        <v>1929</v>
      </c>
      <c r="H6" s="450" t="s">
        <v>1930</v>
      </c>
      <c r="I6" s="452" t="s">
        <v>1931</v>
      </c>
      <c r="J6" s="452" t="s">
        <v>1927</v>
      </c>
      <c r="K6" s="452" t="s">
        <v>1932</v>
      </c>
      <c r="L6" s="452" t="s">
        <v>1933</v>
      </c>
      <c r="M6" s="453" t="s">
        <v>1902</v>
      </c>
      <c r="N6" s="453" t="s">
        <v>1934</v>
      </c>
      <c r="O6" s="453" t="s">
        <v>1935</v>
      </c>
      <c r="P6" s="453" t="s">
        <v>1924</v>
      </c>
      <c r="Q6" s="454" t="s">
        <v>1906</v>
      </c>
      <c r="R6" s="454" t="s">
        <v>1934</v>
      </c>
      <c r="S6" s="454" t="s">
        <v>1935</v>
      </c>
      <c r="T6" s="455" t="s">
        <v>1924</v>
      </c>
    </row>
    <row r="7" s="423" customFormat="1" ht="50.1" customHeight="1" spans="1:20">
      <c r="A7" s="449" t="s">
        <v>794</v>
      </c>
      <c r="B7" s="450" t="s">
        <v>1663</v>
      </c>
      <c r="C7" s="451" t="s">
        <v>1936</v>
      </c>
      <c r="D7" s="451" t="s">
        <v>1914</v>
      </c>
      <c r="E7" s="451" t="s">
        <v>1915</v>
      </c>
      <c r="F7" s="450" t="s">
        <v>1937</v>
      </c>
      <c r="G7" s="450" t="s">
        <v>1917</v>
      </c>
      <c r="H7" s="450" t="s">
        <v>1918</v>
      </c>
      <c r="I7" s="452" t="s">
        <v>1938</v>
      </c>
      <c r="J7" s="452" t="s">
        <v>1915</v>
      </c>
      <c r="K7" s="452" t="s">
        <v>1920</v>
      </c>
      <c r="L7" s="452" t="s">
        <v>1921</v>
      </c>
      <c r="M7" s="456" t="s">
        <v>1939</v>
      </c>
      <c r="N7" s="456" t="s">
        <v>1922</v>
      </c>
      <c r="O7" s="456" t="s">
        <v>1923</v>
      </c>
      <c r="P7" s="453" t="s">
        <v>1924</v>
      </c>
      <c r="Q7" s="454" t="s">
        <v>1940</v>
      </c>
      <c r="R7" s="454" t="s">
        <v>1922</v>
      </c>
      <c r="S7" s="454" t="s">
        <v>1923</v>
      </c>
      <c r="T7" s="455" t="s">
        <v>1924</v>
      </c>
    </row>
    <row r="8" s="423" customFormat="1" ht="50.1" customHeight="1" spans="1:20">
      <c r="A8" s="449" t="s">
        <v>753</v>
      </c>
      <c r="B8" s="450" t="s">
        <v>1732</v>
      </c>
      <c r="C8" s="451" t="s">
        <v>1941</v>
      </c>
      <c r="D8" s="451" t="s">
        <v>1926</v>
      </c>
      <c r="E8" s="451" t="s">
        <v>1927</v>
      </c>
      <c r="F8" s="450" t="s">
        <v>1942</v>
      </c>
      <c r="G8" s="450" t="s">
        <v>1929</v>
      </c>
      <c r="H8" s="450" t="s">
        <v>1930</v>
      </c>
      <c r="I8" s="452" t="s">
        <v>1943</v>
      </c>
      <c r="J8" s="452" t="s">
        <v>1927</v>
      </c>
      <c r="K8" s="452" t="s">
        <v>1932</v>
      </c>
      <c r="L8" s="452" t="s">
        <v>1933</v>
      </c>
      <c r="M8" s="457" t="s">
        <v>1902</v>
      </c>
      <c r="N8" s="456" t="s">
        <v>1934</v>
      </c>
      <c r="O8" s="456" t="s">
        <v>1935</v>
      </c>
      <c r="P8" s="453" t="s">
        <v>1924</v>
      </c>
      <c r="Q8" s="454" t="s">
        <v>1906</v>
      </c>
      <c r="R8" s="454" t="s">
        <v>1934</v>
      </c>
      <c r="S8" s="454" t="s">
        <v>1935</v>
      </c>
      <c r="T8" s="455" t="s">
        <v>1924</v>
      </c>
    </row>
    <row r="9" s="423" customFormat="1" ht="50.1" customHeight="1" spans="1:20">
      <c r="A9" s="449" t="s">
        <v>791</v>
      </c>
      <c r="B9" s="450" t="s">
        <v>1732</v>
      </c>
      <c r="C9" s="451" t="s">
        <v>1907</v>
      </c>
      <c r="D9" s="451" t="s">
        <v>1944</v>
      </c>
      <c r="E9" s="451" t="s">
        <v>1945</v>
      </c>
      <c r="F9" s="450" t="s">
        <v>1908</v>
      </c>
      <c r="G9" s="450" t="s">
        <v>589</v>
      </c>
      <c r="H9" s="450" t="s">
        <v>1946</v>
      </c>
      <c r="I9" s="452" t="s">
        <v>1909</v>
      </c>
      <c r="J9" s="452" t="s">
        <v>1945</v>
      </c>
      <c r="K9" s="452" t="s">
        <v>1947</v>
      </c>
      <c r="L9" s="458" t="s">
        <v>1948</v>
      </c>
      <c r="M9" s="457" t="s">
        <v>1902</v>
      </c>
      <c r="N9" s="453" t="s">
        <v>1949</v>
      </c>
      <c r="O9" s="453" t="s">
        <v>1950</v>
      </c>
      <c r="P9" s="453" t="s">
        <v>1951</v>
      </c>
      <c r="Q9" s="454" t="s">
        <v>1906</v>
      </c>
      <c r="R9" s="455" t="s">
        <v>1949</v>
      </c>
      <c r="S9" s="455" t="s">
        <v>1950</v>
      </c>
      <c r="T9" s="455" t="s">
        <v>1951</v>
      </c>
    </row>
    <row r="10" s="423" customFormat="1" ht="50.1" customHeight="1" spans="1:20">
      <c r="A10" s="449" t="s">
        <v>743</v>
      </c>
      <c r="B10" s="450" t="s">
        <v>1670</v>
      </c>
      <c r="C10" s="451" t="s">
        <v>1893</v>
      </c>
      <c r="D10" s="451" t="s">
        <v>1952</v>
      </c>
      <c r="E10" s="451" t="s">
        <v>1895</v>
      </c>
      <c r="F10" s="450" t="s">
        <v>1896</v>
      </c>
      <c r="G10" s="450" t="s">
        <v>1897</v>
      </c>
      <c r="H10" s="450" t="s">
        <v>1953</v>
      </c>
      <c r="I10" s="452" t="s">
        <v>1899</v>
      </c>
      <c r="J10" s="458" t="s">
        <v>1954</v>
      </c>
      <c r="K10" s="458" t="s">
        <v>1900</v>
      </c>
      <c r="L10" s="458" t="s">
        <v>1948</v>
      </c>
      <c r="M10" s="457" t="s">
        <v>1902</v>
      </c>
      <c r="N10" s="453" t="s">
        <v>1903</v>
      </c>
      <c r="O10" s="453" t="s">
        <v>1955</v>
      </c>
      <c r="P10" s="453" t="s">
        <v>1956</v>
      </c>
      <c r="Q10" s="454" t="s">
        <v>1906</v>
      </c>
      <c r="R10" s="455" t="s">
        <v>1903</v>
      </c>
      <c r="S10" s="455" t="s">
        <v>1955</v>
      </c>
      <c r="T10" s="455" t="s">
        <v>1956</v>
      </c>
    </row>
    <row r="11" s="415" customFormat="1" ht="50.1" customHeight="1" spans="1:20">
      <c r="A11" s="449" t="s">
        <v>704</v>
      </c>
      <c r="B11" s="450" t="s">
        <v>1670</v>
      </c>
      <c r="C11" s="451" t="s">
        <v>1957</v>
      </c>
      <c r="D11" s="451" t="s">
        <v>1958</v>
      </c>
      <c r="E11" s="451" t="s">
        <v>1959</v>
      </c>
      <c r="F11" s="450" t="s">
        <v>1919</v>
      </c>
      <c r="G11" s="450" t="s">
        <v>1960</v>
      </c>
      <c r="H11" s="450" t="s">
        <v>1961</v>
      </c>
      <c r="I11" s="452" t="s">
        <v>1962</v>
      </c>
      <c r="J11" s="458" t="s">
        <v>1959</v>
      </c>
      <c r="K11" s="458" t="s">
        <v>1963</v>
      </c>
      <c r="L11" s="458" t="s">
        <v>1964</v>
      </c>
      <c r="M11" s="457" t="s">
        <v>1902</v>
      </c>
      <c r="N11" s="453" t="s">
        <v>1965</v>
      </c>
      <c r="O11" s="453" t="s">
        <v>1950</v>
      </c>
      <c r="P11" s="453" t="s">
        <v>1956</v>
      </c>
      <c r="Q11" s="454" t="s">
        <v>1906</v>
      </c>
      <c r="R11" s="455" t="s">
        <v>1965</v>
      </c>
      <c r="S11" s="455" t="s">
        <v>1950</v>
      </c>
      <c r="T11" s="455" t="s">
        <v>1956</v>
      </c>
    </row>
    <row r="12" s="423" customFormat="1" ht="50.1" customHeight="1" spans="1:20">
      <c r="A12" s="449" t="s">
        <v>724</v>
      </c>
      <c r="B12" s="450" t="s">
        <v>1732</v>
      </c>
      <c r="C12" s="451" t="s">
        <v>1966</v>
      </c>
      <c r="D12" s="451" t="s">
        <v>1952</v>
      </c>
      <c r="E12" s="451" t="s">
        <v>1895</v>
      </c>
      <c r="F12" s="450" t="s">
        <v>1931</v>
      </c>
      <c r="G12" s="450" t="s">
        <v>1897</v>
      </c>
      <c r="H12" s="450" t="s">
        <v>1953</v>
      </c>
      <c r="I12" s="452" t="s">
        <v>1942</v>
      </c>
      <c r="J12" s="458" t="s">
        <v>1954</v>
      </c>
      <c r="K12" s="458" t="s">
        <v>1900</v>
      </c>
      <c r="L12" s="458" t="s">
        <v>1948</v>
      </c>
      <c r="M12" s="457" t="s">
        <v>1902</v>
      </c>
      <c r="N12" s="453" t="s">
        <v>1903</v>
      </c>
      <c r="O12" s="453" t="s">
        <v>1955</v>
      </c>
      <c r="P12" s="453" t="s">
        <v>1956</v>
      </c>
      <c r="Q12" s="454" t="s">
        <v>1906</v>
      </c>
      <c r="R12" s="455" t="s">
        <v>1903</v>
      </c>
      <c r="S12" s="455" t="s">
        <v>1955</v>
      </c>
      <c r="T12" s="455" t="s">
        <v>1956</v>
      </c>
    </row>
    <row r="13" s="423" customFormat="1" ht="50.1" customHeight="1" spans="1:20">
      <c r="A13" s="449" t="s">
        <v>807</v>
      </c>
      <c r="B13" s="450" t="s">
        <v>1670</v>
      </c>
      <c r="C13" s="451" t="s">
        <v>1967</v>
      </c>
      <c r="D13" s="451" t="s">
        <v>1952</v>
      </c>
      <c r="E13" s="451" t="s">
        <v>1895</v>
      </c>
      <c r="F13" s="450" t="s">
        <v>1968</v>
      </c>
      <c r="G13" s="450" t="s">
        <v>1897</v>
      </c>
      <c r="H13" s="450" t="s">
        <v>1953</v>
      </c>
      <c r="I13" s="452" t="s">
        <v>1969</v>
      </c>
      <c r="J13" s="458" t="s">
        <v>1954</v>
      </c>
      <c r="K13" s="458" t="s">
        <v>1900</v>
      </c>
      <c r="L13" s="458" t="s">
        <v>1948</v>
      </c>
      <c r="M13" s="457" t="s">
        <v>1902</v>
      </c>
      <c r="N13" s="453" t="s">
        <v>1903</v>
      </c>
      <c r="O13" s="453" t="s">
        <v>1955</v>
      </c>
      <c r="P13" s="453" t="s">
        <v>1956</v>
      </c>
      <c r="Q13" s="454" t="s">
        <v>1906</v>
      </c>
      <c r="R13" s="455" t="s">
        <v>1903</v>
      </c>
      <c r="S13" s="455" t="s">
        <v>1955</v>
      </c>
      <c r="T13" s="455" t="s">
        <v>1956</v>
      </c>
    </row>
    <row r="14" s="423" customFormat="1" ht="50.1" customHeight="1" spans="1:20">
      <c r="A14" s="449" t="s">
        <v>701</v>
      </c>
      <c r="B14" s="450" t="s">
        <v>1670</v>
      </c>
      <c r="C14" s="451" t="s">
        <v>1970</v>
      </c>
      <c r="D14" s="451" t="s">
        <v>1971</v>
      </c>
      <c r="E14" s="451" t="s">
        <v>1972</v>
      </c>
      <c r="F14" s="450" t="s">
        <v>1899</v>
      </c>
      <c r="G14" s="450" t="s">
        <v>1973</v>
      </c>
      <c r="H14" s="450" t="s">
        <v>1974</v>
      </c>
      <c r="I14" s="452" t="s">
        <v>1975</v>
      </c>
      <c r="J14" s="458" t="s">
        <v>1972</v>
      </c>
      <c r="K14" s="458" t="s">
        <v>514</v>
      </c>
      <c r="L14" s="458" t="s">
        <v>1948</v>
      </c>
      <c r="M14" s="456" t="s">
        <v>1939</v>
      </c>
      <c r="N14" s="453" t="s">
        <v>1965</v>
      </c>
      <c r="O14" s="453" t="s">
        <v>1976</v>
      </c>
      <c r="P14" s="453" t="s">
        <v>1924</v>
      </c>
      <c r="Q14" s="459" t="s">
        <v>1940</v>
      </c>
      <c r="R14" s="460" t="s">
        <v>1965</v>
      </c>
      <c r="S14" s="460" t="s">
        <v>1976</v>
      </c>
      <c r="T14" s="460" t="s">
        <v>1924</v>
      </c>
    </row>
    <row r="15" s="423" customFormat="1" ht="50.1" customHeight="1" spans="1:20">
      <c r="A15" s="449" t="s">
        <v>713</v>
      </c>
      <c r="B15" s="450" t="s">
        <v>1670</v>
      </c>
      <c r="C15" s="451" t="s">
        <v>1910</v>
      </c>
      <c r="D15" s="451" t="s">
        <v>1971</v>
      </c>
      <c r="E15" s="451" t="s">
        <v>1972</v>
      </c>
      <c r="F15" s="450" t="s">
        <v>1911</v>
      </c>
      <c r="G15" s="450" t="s">
        <v>1973</v>
      </c>
      <c r="H15" s="450" t="s">
        <v>1974</v>
      </c>
      <c r="I15" s="452" t="s">
        <v>1912</v>
      </c>
      <c r="J15" s="458" t="s">
        <v>1972</v>
      </c>
      <c r="K15" s="458" t="s">
        <v>514</v>
      </c>
      <c r="L15" s="458" t="s">
        <v>1948</v>
      </c>
      <c r="M15" s="456" t="s">
        <v>1939</v>
      </c>
      <c r="N15" s="453" t="s">
        <v>1965</v>
      </c>
      <c r="O15" s="453" t="s">
        <v>1976</v>
      </c>
      <c r="P15" s="453" t="s">
        <v>1924</v>
      </c>
      <c r="Q15" s="459" t="s">
        <v>1940</v>
      </c>
      <c r="R15" s="460" t="s">
        <v>1965</v>
      </c>
      <c r="S15" s="460" t="s">
        <v>1976</v>
      </c>
      <c r="T15" s="460" t="s">
        <v>1924</v>
      </c>
    </row>
    <row r="16" s="423" customFormat="1" ht="50.1" customHeight="1" spans="1:20">
      <c r="A16" s="449" t="s">
        <v>813</v>
      </c>
      <c r="B16" s="450" t="s">
        <v>1670</v>
      </c>
      <c r="C16" s="451" t="s">
        <v>1977</v>
      </c>
      <c r="D16" s="451" t="s">
        <v>1971</v>
      </c>
      <c r="E16" s="451" t="s">
        <v>1972</v>
      </c>
      <c r="F16" s="450" t="s">
        <v>1978</v>
      </c>
      <c r="G16" s="450" t="s">
        <v>1973</v>
      </c>
      <c r="H16" s="450" t="s">
        <v>1974</v>
      </c>
      <c r="I16" s="452" t="s">
        <v>1979</v>
      </c>
      <c r="J16" s="458" t="s">
        <v>1972</v>
      </c>
      <c r="K16" s="458" t="s">
        <v>514</v>
      </c>
      <c r="L16" s="458" t="s">
        <v>1948</v>
      </c>
      <c r="M16" s="456" t="s">
        <v>1939</v>
      </c>
      <c r="N16" s="453" t="s">
        <v>1965</v>
      </c>
      <c r="O16" s="453" t="s">
        <v>1976</v>
      </c>
      <c r="P16" s="453" t="s">
        <v>1924</v>
      </c>
      <c r="Q16" s="459" t="s">
        <v>1940</v>
      </c>
      <c r="R16" s="460" t="s">
        <v>1965</v>
      </c>
      <c r="S16" s="460" t="s">
        <v>1976</v>
      </c>
      <c r="T16" s="460" t="s">
        <v>1924</v>
      </c>
    </row>
    <row r="17" s="423" customFormat="1" ht="50.1" customHeight="1" spans="1:20">
      <c r="A17" s="449" t="s">
        <v>1744</v>
      </c>
      <c r="B17" s="450" t="s">
        <v>1670</v>
      </c>
      <c r="C17" s="451" t="s">
        <v>1970</v>
      </c>
      <c r="D17" s="451" t="s">
        <v>1971</v>
      </c>
      <c r="E17" s="451" t="s">
        <v>1972</v>
      </c>
      <c r="F17" s="450" t="s">
        <v>1899</v>
      </c>
      <c r="G17" s="450" t="s">
        <v>1973</v>
      </c>
      <c r="H17" s="450" t="s">
        <v>1974</v>
      </c>
      <c r="I17" s="452" t="s">
        <v>1975</v>
      </c>
      <c r="J17" s="458" t="s">
        <v>1972</v>
      </c>
      <c r="K17" s="458" t="s">
        <v>514</v>
      </c>
      <c r="L17" s="458" t="s">
        <v>1948</v>
      </c>
      <c r="M17" s="456" t="s">
        <v>1939</v>
      </c>
      <c r="N17" s="453" t="s">
        <v>1965</v>
      </c>
      <c r="O17" s="453" t="s">
        <v>1976</v>
      </c>
      <c r="P17" s="453" t="s">
        <v>1924</v>
      </c>
      <c r="Q17" s="459" t="s">
        <v>1940</v>
      </c>
      <c r="R17" s="460" t="s">
        <v>1965</v>
      </c>
      <c r="S17" s="460" t="s">
        <v>1976</v>
      </c>
      <c r="T17" s="460" t="s">
        <v>1924</v>
      </c>
    </row>
    <row r="18" s="423" customFormat="1" ht="50.1" customHeight="1" spans="1:20">
      <c r="A18" s="449" t="s">
        <v>742</v>
      </c>
      <c r="B18" s="450" t="s">
        <v>1663</v>
      </c>
      <c r="C18" s="451" t="s">
        <v>1941</v>
      </c>
      <c r="D18" s="451" t="s">
        <v>1952</v>
      </c>
      <c r="E18" s="451" t="s">
        <v>1954</v>
      </c>
      <c r="F18" s="450" t="s">
        <v>1942</v>
      </c>
      <c r="G18" s="450" t="s">
        <v>1980</v>
      </c>
      <c r="H18" s="450" t="s">
        <v>1953</v>
      </c>
      <c r="I18" s="452" t="s">
        <v>1943</v>
      </c>
      <c r="J18" s="458" t="s">
        <v>1954</v>
      </c>
      <c r="K18" s="458" t="s">
        <v>505</v>
      </c>
      <c r="L18" s="458" t="s">
        <v>1948</v>
      </c>
      <c r="M18" s="457" t="s">
        <v>1902</v>
      </c>
      <c r="N18" s="453" t="s">
        <v>1949</v>
      </c>
      <c r="O18" s="453" t="s">
        <v>1955</v>
      </c>
      <c r="P18" s="453" t="s">
        <v>1956</v>
      </c>
      <c r="Q18" s="459" t="s">
        <v>1906</v>
      </c>
      <c r="R18" s="460" t="s">
        <v>1949</v>
      </c>
      <c r="S18" s="460" t="s">
        <v>1955</v>
      </c>
      <c r="T18" s="460" t="s">
        <v>1956</v>
      </c>
    </row>
    <row r="19" s="423" customFormat="1" ht="50.1" customHeight="1" spans="1:20">
      <c r="A19" s="449" t="s">
        <v>132</v>
      </c>
      <c r="B19" s="450" t="s">
        <v>1670</v>
      </c>
      <c r="C19" s="451" t="s">
        <v>1981</v>
      </c>
      <c r="D19" s="451" t="s">
        <v>1971</v>
      </c>
      <c r="E19" s="451" t="s">
        <v>1972</v>
      </c>
      <c r="F19" s="450" t="s">
        <v>1982</v>
      </c>
      <c r="G19" s="450" t="s">
        <v>1973</v>
      </c>
      <c r="H19" s="450" t="s">
        <v>1974</v>
      </c>
      <c r="I19" s="452" t="s">
        <v>1983</v>
      </c>
      <c r="J19" s="458" t="s">
        <v>1972</v>
      </c>
      <c r="K19" s="458" t="s">
        <v>514</v>
      </c>
      <c r="L19" s="458" t="s">
        <v>1948</v>
      </c>
      <c r="M19" s="456" t="s">
        <v>1939</v>
      </c>
      <c r="N19" s="453" t="s">
        <v>1965</v>
      </c>
      <c r="O19" s="453" t="s">
        <v>1976</v>
      </c>
      <c r="P19" s="453" t="s">
        <v>1924</v>
      </c>
      <c r="Q19" s="459" t="s">
        <v>1940</v>
      </c>
      <c r="R19" s="460" t="s">
        <v>1965</v>
      </c>
      <c r="S19" s="460" t="s">
        <v>1976</v>
      </c>
      <c r="T19" s="460" t="s">
        <v>1924</v>
      </c>
    </row>
    <row r="20" s="423" customFormat="1" ht="50.1" customHeight="1" spans="1:20">
      <c r="A20" s="461" t="s">
        <v>715</v>
      </c>
      <c r="B20" s="462" t="s">
        <v>1670</v>
      </c>
      <c r="C20" s="434" t="s">
        <v>1553</v>
      </c>
      <c r="D20" s="434" t="s">
        <v>1553</v>
      </c>
      <c r="E20" s="434" t="s">
        <v>1553</v>
      </c>
      <c r="F20" s="462" t="s">
        <v>1979</v>
      </c>
      <c r="G20" s="462" t="s">
        <v>1973</v>
      </c>
      <c r="H20" s="462" t="s">
        <v>1974</v>
      </c>
      <c r="I20" s="458" t="s">
        <v>1984</v>
      </c>
      <c r="J20" s="458" t="s">
        <v>1972</v>
      </c>
      <c r="K20" s="458" t="s">
        <v>514</v>
      </c>
      <c r="L20" s="458" t="s">
        <v>1948</v>
      </c>
      <c r="M20" s="457" t="s">
        <v>1985</v>
      </c>
      <c r="N20" s="453" t="s">
        <v>1965</v>
      </c>
      <c r="O20" s="453" t="s">
        <v>1976</v>
      </c>
      <c r="P20" s="453" t="s">
        <v>1924</v>
      </c>
      <c r="Q20" s="463" t="s">
        <v>1986</v>
      </c>
      <c r="R20" s="460" t="s">
        <v>1965</v>
      </c>
      <c r="S20" s="460" t="s">
        <v>1976</v>
      </c>
      <c r="T20" s="460" t="s">
        <v>1924</v>
      </c>
    </row>
    <row r="21" s="423" customFormat="1" ht="50.1" customHeight="1" spans="1:20">
      <c r="A21" s="461" t="s">
        <v>71</v>
      </c>
      <c r="B21" s="462" t="s">
        <v>1670</v>
      </c>
      <c r="C21" s="434" t="s">
        <v>1553</v>
      </c>
      <c r="D21" s="434" t="s">
        <v>1553</v>
      </c>
      <c r="E21" s="434" t="s">
        <v>1553</v>
      </c>
      <c r="F21" s="462" t="s">
        <v>1987</v>
      </c>
      <c r="G21" s="464" t="s">
        <v>1980</v>
      </c>
      <c r="H21" s="464" t="s">
        <v>1988</v>
      </c>
      <c r="I21" s="458" t="s">
        <v>1989</v>
      </c>
      <c r="J21" s="465" t="s">
        <v>1990</v>
      </c>
      <c r="K21" s="465" t="s">
        <v>505</v>
      </c>
      <c r="L21" s="465" t="s">
        <v>1991</v>
      </c>
      <c r="M21" s="457" t="s">
        <v>1992</v>
      </c>
      <c r="N21" s="453" t="s">
        <v>1949</v>
      </c>
      <c r="O21" s="453" t="s">
        <v>1976</v>
      </c>
      <c r="P21" s="453" t="s">
        <v>1951</v>
      </c>
      <c r="Q21" s="459" t="s">
        <v>1993</v>
      </c>
      <c r="R21" s="460" t="s">
        <v>1949</v>
      </c>
      <c r="S21" s="460" t="s">
        <v>1976</v>
      </c>
      <c r="T21" s="460" t="s">
        <v>1951</v>
      </c>
    </row>
    <row r="22" s="423" customFormat="1" ht="50.1" customHeight="1" spans="1:20">
      <c r="A22" s="461" t="s">
        <v>719</v>
      </c>
      <c r="B22" s="462" t="s">
        <v>1670</v>
      </c>
      <c r="C22" s="434" t="s">
        <v>1553</v>
      </c>
      <c r="D22" s="434" t="s">
        <v>1553</v>
      </c>
      <c r="E22" s="434" t="s">
        <v>1553</v>
      </c>
      <c r="F22" s="462" t="s">
        <v>1983</v>
      </c>
      <c r="G22" s="464" t="s">
        <v>1980</v>
      </c>
      <c r="H22" s="464" t="s">
        <v>1974</v>
      </c>
      <c r="I22" s="458" t="s">
        <v>1994</v>
      </c>
      <c r="J22" s="465" t="s">
        <v>1972</v>
      </c>
      <c r="K22" s="465" t="s">
        <v>505</v>
      </c>
      <c r="L22" s="458" t="s">
        <v>1948</v>
      </c>
      <c r="M22" s="457" t="s">
        <v>1985</v>
      </c>
      <c r="N22" s="453" t="s">
        <v>1965</v>
      </c>
      <c r="O22" s="453" t="s">
        <v>1955</v>
      </c>
      <c r="P22" s="453" t="s">
        <v>1905</v>
      </c>
      <c r="Q22" s="463" t="s">
        <v>1986</v>
      </c>
      <c r="R22" s="460" t="s">
        <v>1965</v>
      </c>
      <c r="S22" s="460" t="s">
        <v>1955</v>
      </c>
      <c r="T22" s="460" t="s">
        <v>1905</v>
      </c>
    </row>
    <row r="23" s="423" customFormat="1" ht="50.1" customHeight="1" spans="1:20">
      <c r="A23" s="461" t="s">
        <v>705</v>
      </c>
      <c r="B23" s="450" t="s">
        <v>1732</v>
      </c>
      <c r="C23" s="434" t="s">
        <v>1553</v>
      </c>
      <c r="D23" s="434" t="s">
        <v>1553</v>
      </c>
      <c r="E23" s="434" t="s">
        <v>1553</v>
      </c>
      <c r="F23" s="462" t="s">
        <v>1995</v>
      </c>
      <c r="G23" s="464" t="s">
        <v>589</v>
      </c>
      <c r="H23" s="464" t="s">
        <v>1946</v>
      </c>
      <c r="I23" s="458" t="s">
        <v>1996</v>
      </c>
      <c r="J23" s="465" t="s">
        <v>1945</v>
      </c>
      <c r="K23" s="465" t="s">
        <v>1947</v>
      </c>
      <c r="L23" s="458" t="s">
        <v>1948</v>
      </c>
      <c r="M23" s="457" t="s">
        <v>1992</v>
      </c>
      <c r="N23" s="453" t="s">
        <v>1949</v>
      </c>
      <c r="O23" s="453" t="s">
        <v>1950</v>
      </c>
      <c r="P23" s="453" t="s">
        <v>1951</v>
      </c>
      <c r="Q23" s="459" t="s">
        <v>1993</v>
      </c>
      <c r="R23" s="460" t="s">
        <v>1949</v>
      </c>
      <c r="S23" s="460" t="s">
        <v>1950</v>
      </c>
      <c r="T23" s="460" t="s">
        <v>1951</v>
      </c>
    </row>
    <row r="24" s="423" customFormat="1" ht="50.1" customHeight="1" spans="1:20">
      <c r="A24" s="461" t="s">
        <v>44</v>
      </c>
      <c r="B24" s="450" t="s">
        <v>1663</v>
      </c>
      <c r="C24" s="434" t="s">
        <v>1553</v>
      </c>
      <c r="D24" s="434" t="s">
        <v>1553</v>
      </c>
      <c r="E24" s="434" t="s">
        <v>1553</v>
      </c>
      <c r="F24" s="462" t="s">
        <v>1996</v>
      </c>
      <c r="G24" s="464" t="s">
        <v>1897</v>
      </c>
      <c r="H24" s="464" t="s">
        <v>1953</v>
      </c>
      <c r="I24" s="458" t="s">
        <v>1997</v>
      </c>
      <c r="J24" s="465" t="s">
        <v>1954</v>
      </c>
      <c r="K24" s="465" t="s">
        <v>1900</v>
      </c>
      <c r="L24" s="458" t="s">
        <v>1948</v>
      </c>
      <c r="M24" s="457" t="s">
        <v>1992</v>
      </c>
      <c r="N24" s="453" t="s">
        <v>1903</v>
      </c>
      <c r="O24" s="453" t="s">
        <v>1955</v>
      </c>
      <c r="P24" s="453" t="s">
        <v>1956</v>
      </c>
      <c r="Q24" s="459" t="s">
        <v>1993</v>
      </c>
      <c r="R24" s="460" t="s">
        <v>1903</v>
      </c>
      <c r="S24" s="460" t="s">
        <v>1955</v>
      </c>
      <c r="T24" s="460" t="s">
        <v>1956</v>
      </c>
    </row>
    <row r="25" s="423" customFormat="1" ht="50.1" customHeight="1" spans="1:20">
      <c r="A25" s="461" t="s">
        <v>29</v>
      </c>
      <c r="B25" s="462" t="s">
        <v>1670</v>
      </c>
      <c r="C25" s="434" t="s">
        <v>1553</v>
      </c>
      <c r="D25" s="434" t="s">
        <v>1553</v>
      </c>
      <c r="E25" s="434" t="s">
        <v>1553</v>
      </c>
      <c r="F25" s="462" t="s">
        <v>1998</v>
      </c>
      <c r="G25" s="464" t="s">
        <v>589</v>
      </c>
      <c r="H25" s="464" t="s">
        <v>1946</v>
      </c>
      <c r="I25" s="458" t="s">
        <v>1987</v>
      </c>
      <c r="J25" s="465" t="s">
        <v>1945</v>
      </c>
      <c r="K25" s="465" t="s">
        <v>1947</v>
      </c>
      <c r="L25" s="458" t="s">
        <v>1948</v>
      </c>
      <c r="M25" s="457" t="s">
        <v>1992</v>
      </c>
      <c r="N25" s="453" t="s">
        <v>1949</v>
      </c>
      <c r="O25" s="453" t="s">
        <v>1950</v>
      </c>
      <c r="P25" s="453" t="s">
        <v>1951</v>
      </c>
      <c r="Q25" s="459" t="s">
        <v>1993</v>
      </c>
      <c r="R25" s="460" t="s">
        <v>1949</v>
      </c>
      <c r="S25" s="460" t="s">
        <v>1950</v>
      </c>
      <c r="T25" s="460" t="s">
        <v>1951</v>
      </c>
    </row>
    <row r="26" s="423" customFormat="1" ht="50.1" customHeight="1" spans="1:20">
      <c r="A26" s="461" t="s">
        <v>15</v>
      </c>
      <c r="B26" s="450" t="s">
        <v>1663</v>
      </c>
      <c r="C26" s="434" t="s">
        <v>1553</v>
      </c>
      <c r="D26" s="434" t="s">
        <v>1553</v>
      </c>
      <c r="E26" s="434" t="s">
        <v>1553</v>
      </c>
      <c r="F26" s="462" t="s">
        <v>1987</v>
      </c>
      <c r="G26" s="464" t="s">
        <v>579</v>
      </c>
      <c r="H26" s="464" t="s">
        <v>1953</v>
      </c>
      <c r="I26" s="458" t="s">
        <v>1989</v>
      </c>
      <c r="J26" s="465" t="s">
        <v>1954</v>
      </c>
      <c r="K26" s="465" t="s">
        <v>1999</v>
      </c>
      <c r="L26" s="465" t="s">
        <v>1991</v>
      </c>
      <c r="M26" s="456" t="s">
        <v>2000</v>
      </c>
      <c r="N26" s="453" t="s">
        <v>1949</v>
      </c>
      <c r="O26" s="453" t="s">
        <v>2001</v>
      </c>
      <c r="P26" s="453" t="s">
        <v>1956</v>
      </c>
      <c r="Q26" s="459" t="s">
        <v>1993</v>
      </c>
      <c r="R26" s="460" t="s">
        <v>1949</v>
      </c>
      <c r="S26" s="460" t="s">
        <v>2001</v>
      </c>
      <c r="T26" s="460" t="s">
        <v>1956</v>
      </c>
    </row>
    <row r="27" s="423" customFormat="1" ht="50.1" customHeight="1" spans="1:20">
      <c r="A27" s="461" t="s">
        <v>356</v>
      </c>
      <c r="B27" s="462" t="s">
        <v>1670</v>
      </c>
      <c r="C27" s="434" t="s">
        <v>1553</v>
      </c>
      <c r="D27" s="434" t="s">
        <v>1553</v>
      </c>
      <c r="E27" s="434" t="s">
        <v>1553</v>
      </c>
      <c r="F27" s="462" t="s">
        <v>1983</v>
      </c>
      <c r="G27" s="464" t="s">
        <v>579</v>
      </c>
      <c r="H27" s="464" t="s">
        <v>1988</v>
      </c>
      <c r="I27" s="458" t="s">
        <v>1994</v>
      </c>
      <c r="J27" s="465" t="s">
        <v>1990</v>
      </c>
      <c r="K27" s="465" t="s">
        <v>1999</v>
      </c>
      <c r="L27" s="458" t="s">
        <v>2002</v>
      </c>
      <c r="M27" s="457" t="s">
        <v>2003</v>
      </c>
      <c r="N27" s="453" t="s">
        <v>2004</v>
      </c>
      <c r="O27" s="453" t="s">
        <v>1976</v>
      </c>
      <c r="P27" s="453" t="s">
        <v>1924</v>
      </c>
      <c r="Q27" s="463" t="s">
        <v>1986</v>
      </c>
      <c r="R27" s="460" t="s">
        <v>2004</v>
      </c>
      <c r="S27" s="460" t="s">
        <v>1976</v>
      </c>
      <c r="T27" s="460" t="s">
        <v>1924</v>
      </c>
    </row>
    <row r="28" s="423" customFormat="1" ht="50.1" customHeight="1" spans="1:20">
      <c r="A28" s="461" t="s">
        <v>738</v>
      </c>
      <c r="B28" s="462" t="s">
        <v>1670</v>
      </c>
      <c r="C28" s="434" t="s">
        <v>1553</v>
      </c>
      <c r="D28" s="434" t="s">
        <v>1553</v>
      </c>
      <c r="E28" s="434" t="s">
        <v>1553</v>
      </c>
      <c r="F28" s="462" t="s">
        <v>1987</v>
      </c>
      <c r="G28" s="464" t="s">
        <v>2005</v>
      </c>
      <c r="H28" s="464" t="s">
        <v>2006</v>
      </c>
      <c r="I28" s="458" t="s">
        <v>1902</v>
      </c>
      <c r="J28" s="465" t="s">
        <v>2007</v>
      </c>
      <c r="K28" s="465" t="s">
        <v>2008</v>
      </c>
      <c r="L28" s="465" t="s">
        <v>2009</v>
      </c>
      <c r="M28" s="453" t="s">
        <v>1906</v>
      </c>
      <c r="N28" s="453" t="s">
        <v>2004</v>
      </c>
      <c r="O28" s="453" t="s">
        <v>2010</v>
      </c>
      <c r="P28" s="453" t="s">
        <v>1956</v>
      </c>
      <c r="Q28" s="460" t="s">
        <v>2011</v>
      </c>
      <c r="R28" s="460" t="s">
        <v>2004</v>
      </c>
      <c r="S28" s="460" t="s">
        <v>2010</v>
      </c>
      <c r="T28" s="460" t="s">
        <v>1956</v>
      </c>
    </row>
    <row r="29" s="423" customFormat="1" ht="50.1" customHeight="1" spans="1:20">
      <c r="A29" s="461" t="s">
        <v>758</v>
      </c>
      <c r="B29" s="450" t="s">
        <v>1663</v>
      </c>
      <c r="C29" s="434" t="s">
        <v>1553</v>
      </c>
      <c r="D29" s="434" t="s">
        <v>1553</v>
      </c>
      <c r="E29" s="434" t="s">
        <v>1553</v>
      </c>
      <c r="F29" s="462" t="s">
        <v>1984</v>
      </c>
      <c r="G29" s="464" t="s">
        <v>2012</v>
      </c>
      <c r="H29" s="464" t="s">
        <v>2013</v>
      </c>
      <c r="I29" s="458" t="s">
        <v>2014</v>
      </c>
      <c r="J29" s="465" t="s">
        <v>2015</v>
      </c>
      <c r="K29" s="465" t="s">
        <v>2016</v>
      </c>
      <c r="L29" s="465" t="s">
        <v>2017</v>
      </c>
      <c r="M29" s="457" t="s">
        <v>2018</v>
      </c>
      <c r="N29" s="453" t="s">
        <v>2004</v>
      </c>
      <c r="O29" s="453" t="s">
        <v>2010</v>
      </c>
      <c r="P29" s="453" t="s">
        <v>1905</v>
      </c>
      <c r="Q29" s="463" t="s">
        <v>2019</v>
      </c>
      <c r="R29" s="460" t="s">
        <v>2004</v>
      </c>
      <c r="S29" s="460" t="s">
        <v>2010</v>
      </c>
      <c r="T29" s="460" t="s">
        <v>1905</v>
      </c>
    </row>
    <row r="30" s="423" customFormat="1" ht="50.1" customHeight="1" spans="1:20">
      <c r="A30" s="461" t="s">
        <v>756</v>
      </c>
      <c r="B30" s="450" t="s">
        <v>1663</v>
      </c>
      <c r="C30" s="434" t="s">
        <v>1553</v>
      </c>
      <c r="D30" s="434" t="s">
        <v>1553</v>
      </c>
      <c r="E30" s="434" t="s">
        <v>1553</v>
      </c>
      <c r="F30" s="462" t="s">
        <v>1984</v>
      </c>
      <c r="G30" s="464" t="s">
        <v>2005</v>
      </c>
      <c r="H30" s="464" t="s">
        <v>2006</v>
      </c>
      <c r="I30" s="458" t="s">
        <v>2014</v>
      </c>
      <c r="J30" s="465" t="s">
        <v>2007</v>
      </c>
      <c r="K30" s="465" t="s">
        <v>2008</v>
      </c>
      <c r="L30" s="465" t="s">
        <v>2009</v>
      </c>
      <c r="M30" s="457" t="s">
        <v>2018</v>
      </c>
      <c r="N30" s="453" t="s">
        <v>2020</v>
      </c>
      <c r="O30" s="453" t="s">
        <v>2001</v>
      </c>
      <c r="P30" s="453" t="s">
        <v>1924</v>
      </c>
      <c r="Q30" s="463" t="s">
        <v>2019</v>
      </c>
      <c r="R30" s="460" t="s">
        <v>2020</v>
      </c>
      <c r="S30" s="460" t="s">
        <v>2001</v>
      </c>
      <c r="T30" s="460" t="s">
        <v>1924</v>
      </c>
    </row>
    <row r="31" s="423" customFormat="1" ht="50.1" customHeight="1" spans="1:20">
      <c r="A31" s="461" t="s">
        <v>822</v>
      </c>
      <c r="B31" s="462" t="s">
        <v>1670</v>
      </c>
      <c r="C31" s="434" t="s">
        <v>1553</v>
      </c>
      <c r="D31" s="434" t="s">
        <v>1553</v>
      </c>
      <c r="E31" s="434" t="s">
        <v>1553</v>
      </c>
      <c r="F31" s="462" t="s">
        <v>1984</v>
      </c>
      <c r="G31" s="464" t="s">
        <v>2021</v>
      </c>
      <c r="H31" s="464" t="s">
        <v>2022</v>
      </c>
      <c r="I31" s="458" t="s">
        <v>2014</v>
      </c>
      <c r="J31" s="465" t="s">
        <v>2023</v>
      </c>
      <c r="K31" s="465" t="s">
        <v>2024</v>
      </c>
      <c r="L31" s="465" t="s">
        <v>2025</v>
      </c>
      <c r="M31" s="457" t="s">
        <v>2018</v>
      </c>
      <c r="N31" s="453" t="s">
        <v>2026</v>
      </c>
      <c r="O31" s="453" t="s">
        <v>2027</v>
      </c>
      <c r="P31" s="453" t="s">
        <v>2028</v>
      </c>
      <c r="Q31" s="463" t="s">
        <v>2019</v>
      </c>
      <c r="R31" s="460" t="s">
        <v>2026</v>
      </c>
      <c r="S31" s="460" t="s">
        <v>2027</v>
      </c>
      <c r="T31" s="460" t="s">
        <v>2028</v>
      </c>
    </row>
    <row r="32" s="423" customFormat="1" ht="50.1" customHeight="1" spans="1:20">
      <c r="A32" s="461" t="s">
        <v>803</v>
      </c>
      <c r="B32" s="462" t="s">
        <v>1670</v>
      </c>
      <c r="C32" s="434" t="s">
        <v>1553</v>
      </c>
      <c r="D32" s="434" t="s">
        <v>1553</v>
      </c>
      <c r="E32" s="434" t="s">
        <v>1553</v>
      </c>
      <c r="F32" s="462" t="s">
        <v>1984</v>
      </c>
      <c r="G32" s="464" t="s">
        <v>2021</v>
      </c>
      <c r="H32" s="464" t="s">
        <v>2022</v>
      </c>
      <c r="I32" s="458" t="s">
        <v>2014</v>
      </c>
      <c r="J32" s="465" t="s">
        <v>2023</v>
      </c>
      <c r="K32" s="465" t="s">
        <v>2024</v>
      </c>
      <c r="L32" s="465" t="s">
        <v>2029</v>
      </c>
      <c r="M32" s="457" t="s">
        <v>2018</v>
      </c>
      <c r="N32" s="453" t="s">
        <v>2026</v>
      </c>
      <c r="O32" s="453" t="s">
        <v>2027</v>
      </c>
      <c r="P32" s="453" t="s">
        <v>2030</v>
      </c>
      <c r="Q32" s="463" t="s">
        <v>2019</v>
      </c>
      <c r="R32" s="460" t="s">
        <v>2026</v>
      </c>
      <c r="S32" s="460" t="s">
        <v>2027</v>
      </c>
      <c r="T32" s="460" t="s">
        <v>2030</v>
      </c>
    </row>
    <row r="33" s="423" customFormat="1" ht="50.1" customHeight="1" spans="1:20">
      <c r="A33" s="461" t="s">
        <v>1576</v>
      </c>
      <c r="B33" s="450" t="s">
        <v>1663</v>
      </c>
      <c r="C33" s="434" t="s">
        <v>1553</v>
      </c>
      <c r="D33" s="434" t="s">
        <v>1553</v>
      </c>
      <c r="E33" s="434" t="s">
        <v>1553</v>
      </c>
      <c r="F33" s="462" t="s">
        <v>1984</v>
      </c>
      <c r="G33" s="464" t="s">
        <v>2021</v>
      </c>
      <c r="H33" s="464" t="s">
        <v>2022</v>
      </c>
      <c r="I33" s="458" t="s">
        <v>2014</v>
      </c>
      <c r="J33" s="465" t="s">
        <v>2023</v>
      </c>
      <c r="K33" s="465" t="s">
        <v>2024</v>
      </c>
      <c r="L33" s="465" t="s">
        <v>2029</v>
      </c>
      <c r="M33" s="457" t="s">
        <v>2018</v>
      </c>
      <c r="N33" s="453" t="s">
        <v>2026</v>
      </c>
      <c r="O33" s="453" t="s">
        <v>2027</v>
      </c>
      <c r="P33" s="453" t="s">
        <v>2031</v>
      </c>
      <c r="Q33" s="463" t="s">
        <v>2019</v>
      </c>
      <c r="R33" s="460" t="s">
        <v>2026</v>
      </c>
      <c r="S33" s="460" t="s">
        <v>2027</v>
      </c>
      <c r="T33" s="460" t="s">
        <v>2031</v>
      </c>
    </row>
    <row r="34" s="423" customFormat="1" ht="50.1" customHeight="1" spans="1:20">
      <c r="A34" s="461" t="s">
        <v>1577</v>
      </c>
      <c r="B34" s="450" t="s">
        <v>1663</v>
      </c>
      <c r="C34" s="434" t="s">
        <v>1553</v>
      </c>
      <c r="D34" s="434" t="s">
        <v>1553</v>
      </c>
      <c r="E34" s="434" t="s">
        <v>1553</v>
      </c>
      <c r="F34" s="462" t="s">
        <v>1984</v>
      </c>
      <c r="G34" s="464" t="s">
        <v>2032</v>
      </c>
      <c r="H34" s="464" t="s">
        <v>2033</v>
      </c>
      <c r="I34" s="458" t="s">
        <v>2014</v>
      </c>
      <c r="J34" s="465" t="s">
        <v>2034</v>
      </c>
      <c r="K34" s="465" t="s">
        <v>2035</v>
      </c>
      <c r="L34" s="465" t="s">
        <v>2036</v>
      </c>
      <c r="M34" s="457" t="s">
        <v>2018</v>
      </c>
      <c r="N34" s="453" t="s">
        <v>2037</v>
      </c>
      <c r="O34" s="453" t="s">
        <v>2038</v>
      </c>
      <c r="P34" s="453" t="s">
        <v>2039</v>
      </c>
      <c r="Q34" s="463" t="s">
        <v>2019</v>
      </c>
      <c r="R34" s="460" t="s">
        <v>2037</v>
      </c>
      <c r="S34" s="460" t="s">
        <v>2038</v>
      </c>
      <c r="T34" s="460" t="s">
        <v>2039</v>
      </c>
    </row>
    <row r="35" s="423" customFormat="1" ht="50.1" customHeight="1" spans="1:20">
      <c r="A35" s="461" t="s">
        <v>1578</v>
      </c>
      <c r="B35" s="450" t="s">
        <v>1663</v>
      </c>
      <c r="C35" s="434" t="s">
        <v>1553</v>
      </c>
      <c r="D35" s="434" t="s">
        <v>1553</v>
      </c>
      <c r="E35" s="434" t="s">
        <v>1553</v>
      </c>
      <c r="F35" s="462" t="s">
        <v>1984</v>
      </c>
      <c r="G35" s="464" t="s">
        <v>2021</v>
      </c>
      <c r="H35" s="464" t="s">
        <v>2022</v>
      </c>
      <c r="I35" s="458" t="s">
        <v>2014</v>
      </c>
      <c r="J35" s="465" t="s">
        <v>2023</v>
      </c>
      <c r="K35" s="465" t="s">
        <v>2024</v>
      </c>
      <c r="L35" s="465" t="s">
        <v>2029</v>
      </c>
      <c r="M35" s="457" t="s">
        <v>2018</v>
      </c>
      <c r="N35" s="453" t="s">
        <v>2026</v>
      </c>
      <c r="O35" s="453" t="s">
        <v>2027</v>
      </c>
      <c r="P35" s="453" t="s">
        <v>2040</v>
      </c>
      <c r="Q35" s="463" t="s">
        <v>2019</v>
      </c>
      <c r="R35" s="460" t="s">
        <v>2026</v>
      </c>
      <c r="S35" s="460" t="s">
        <v>2027</v>
      </c>
      <c r="T35" s="460" t="s">
        <v>2040</v>
      </c>
    </row>
    <row r="36" s="423" customFormat="1" ht="50.1" customHeight="1" spans="1:20">
      <c r="A36" s="461" t="s">
        <v>891</v>
      </c>
      <c r="B36" s="462" t="s">
        <v>1670</v>
      </c>
      <c r="C36" s="434" t="s">
        <v>1553</v>
      </c>
      <c r="D36" s="434" t="s">
        <v>1553</v>
      </c>
      <c r="E36" s="434" t="s">
        <v>1553</v>
      </c>
      <c r="F36" s="462" t="s">
        <v>1984</v>
      </c>
      <c r="G36" s="464" t="s">
        <v>2021</v>
      </c>
      <c r="H36" s="464" t="s">
        <v>2022</v>
      </c>
      <c r="I36" s="458" t="s">
        <v>2014</v>
      </c>
      <c r="J36" s="465" t="s">
        <v>2023</v>
      </c>
      <c r="K36" s="465" t="s">
        <v>2024</v>
      </c>
      <c r="L36" s="465" t="s">
        <v>2029</v>
      </c>
      <c r="M36" s="457" t="s">
        <v>2018</v>
      </c>
      <c r="N36" s="453" t="s">
        <v>2026</v>
      </c>
      <c r="O36" s="453" t="s">
        <v>2027</v>
      </c>
      <c r="P36" s="453" t="s">
        <v>2041</v>
      </c>
      <c r="Q36" s="463" t="s">
        <v>2019</v>
      </c>
      <c r="R36" s="460" t="s">
        <v>2026</v>
      </c>
      <c r="S36" s="460" t="s">
        <v>2027</v>
      </c>
      <c r="T36" s="460" t="s">
        <v>2041</v>
      </c>
    </row>
    <row r="37" s="423" customFormat="1" ht="50.1" customHeight="1" spans="1:20">
      <c r="A37" s="461" t="s">
        <v>1579</v>
      </c>
      <c r="B37" s="450" t="s">
        <v>1663</v>
      </c>
      <c r="C37" s="434" t="s">
        <v>1553</v>
      </c>
      <c r="D37" s="434" t="s">
        <v>1553</v>
      </c>
      <c r="E37" s="434" t="s">
        <v>1553</v>
      </c>
      <c r="F37" s="462" t="s">
        <v>1984</v>
      </c>
      <c r="G37" s="464" t="s">
        <v>2021</v>
      </c>
      <c r="H37" s="464" t="s">
        <v>2022</v>
      </c>
      <c r="I37" s="458" t="s">
        <v>2014</v>
      </c>
      <c r="J37" s="465" t="s">
        <v>2023</v>
      </c>
      <c r="K37" s="465" t="s">
        <v>2024</v>
      </c>
      <c r="L37" s="465" t="s">
        <v>2029</v>
      </c>
      <c r="M37" s="457" t="s">
        <v>2018</v>
      </c>
      <c r="N37" s="453" t="s">
        <v>2026</v>
      </c>
      <c r="O37" s="453" t="s">
        <v>2027</v>
      </c>
      <c r="P37" s="453" t="s">
        <v>2042</v>
      </c>
      <c r="Q37" s="463" t="s">
        <v>2019</v>
      </c>
      <c r="R37" s="460" t="s">
        <v>2026</v>
      </c>
      <c r="S37" s="460" t="s">
        <v>2027</v>
      </c>
      <c r="T37" s="460" t="s">
        <v>2042</v>
      </c>
    </row>
    <row r="38" s="423" customFormat="1" ht="50.1" customHeight="1" spans="1:20">
      <c r="A38" s="461" t="s">
        <v>1580</v>
      </c>
      <c r="B38" s="450" t="s">
        <v>1663</v>
      </c>
      <c r="C38" s="434" t="s">
        <v>1553</v>
      </c>
      <c r="D38" s="434" t="s">
        <v>1553</v>
      </c>
      <c r="E38" s="434" t="s">
        <v>1553</v>
      </c>
      <c r="F38" s="462" t="s">
        <v>1984</v>
      </c>
      <c r="G38" s="464" t="s">
        <v>2021</v>
      </c>
      <c r="H38" s="464" t="s">
        <v>2022</v>
      </c>
      <c r="I38" s="458" t="s">
        <v>2014</v>
      </c>
      <c r="J38" s="465" t="s">
        <v>2023</v>
      </c>
      <c r="K38" s="465" t="s">
        <v>2024</v>
      </c>
      <c r="L38" s="465" t="s">
        <v>2029</v>
      </c>
      <c r="M38" s="457" t="s">
        <v>2018</v>
      </c>
      <c r="N38" s="453" t="s">
        <v>2026</v>
      </c>
      <c r="O38" s="453" t="s">
        <v>2027</v>
      </c>
      <c r="P38" s="453" t="s">
        <v>2043</v>
      </c>
      <c r="Q38" s="463" t="s">
        <v>2019</v>
      </c>
      <c r="R38" s="460" t="s">
        <v>2026</v>
      </c>
      <c r="S38" s="460" t="s">
        <v>2027</v>
      </c>
      <c r="T38" s="460" t="s">
        <v>2043</v>
      </c>
    </row>
    <row r="39" s="423" customFormat="1" ht="50.1" customHeight="1" spans="1:20">
      <c r="A39" s="461" t="s">
        <v>1581</v>
      </c>
      <c r="B39" s="450" t="s">
        <v>1663</v>
      </c>
      <c r="C39" s="434" t="s">
        <v>1553</v>
      </c>
      <c r="D39" s="434" t="s">
        <v>1553</v>
      </c>
      <c r="E39" s="434" t="s">
        <v>1553</v>
      </c>
      <c r="F39" s="462" t="s">
        <v>1984</v>
      </c>
      <c r="G39" s="464" t="s">
        <v>2021</v>
      </c>
      <c r="H39" s="464" t="s">
        <v>2022</v>
      </c>
      <c r="I39" s="458" t="s">
        <v>2014</v>
      </c>
      <c r="J39" s="465" t="s">
        <v>2023</v>
      </c>
      <c r="K39" s="465" t="s">
        <v>2024</v>
      </c>
      <c r="L39" s="465" t="s">
        <v>2029</v>
      </c>
      <c r="M39" s="457" t="s">
        <v>2018</v>
      </c>
      <c r="N39" s="453" t="s">
        <v>2026</v>
      </c>
      <c r="O39" s="453" t="s">
        <v>2027</v>
      </c>
      <c r="P39" s="453" t="s">
        <v>2043</v>
      </c>
      <c r="Q39" s="463" t="s">
        <v>2019</v>
      </c>
      <c r="R39" s="460" t="s">
        <v>2026</v>
      </c>
      <c r="S39" s="460" t="s">
        <v>2027</v>
      </c>
      <c r="T39" s="460" t="s">
        <v>2043</v>
      </c>
    </row>
    <row r="40" s="423" customFormat="1" ht="50.1" customHeight="1" spans="1:20">
      <c r="A40" s="461" t="s">
        <v>1582</v>
      </c>
      <c r="B40" s="462" t="s">
        <v>1670</v>
      </c>
      <c r="C40" s="434" t="s">
        <v>1553</v>
      </c>
      <c r="D40" s="434" t="s">
        <v>1553</v>
      </c>
      <c r="E40" s="434" t="s">
        <v>1553</v>
      </c>
      <c r="F40" s="462" t="s">
        <v>1984</v>
      </c>
      <c r="G40" s="464" t="s">
        <v>2021</v>
      </c>
      <c r="H40" s="464" t="s">
        <v>2022</v>
      </c>
      <c r="I40" s="458" t="s">
        <v>2014</v>
      </c>
      <c r="J40" s="465" t="s">
        <v>2023</v>
      </c>
      <c r="K40" s="465" t="s">
        <v>2024</v>
      </c>
      <c r="L40" s="465" t="s">
        <v>2029</v>
      </c>
      <c r="M40" s="457" t="s">
        <v>2018</v>
      </c>
      <c r="N40" s="453" t="s">
        <v>2026</v>
      </c>
      <c r="O40" s="453" t="s">
        <v>2027</v>
      </c>
      <c r="P40" s="453" t="s">
        <v>2044</v>
      </c>
      <c r="Q40" s="463" t="s">
        <v>2019</v>
      </c>
      <c r="R40" s="460" t="s">
        <v>2026</v>
      </c>
      <c r="S40" s="460" t="s">
        <v>2027</v>
      </c>
      <c r="T40" s="460" t="s">
        <v>2044</v>
      </c>
    </row>
    <row r="41" s="423" customFormat="1" ht="50.1" customHeight="1" spans="1:20">
      <c r="A41" s="466" t="s">
        <v>1662</v>
      </c>
      <c r="B41" s="450" t="s">
        <v>1663</v>
      </c>
      <c r="C41" s="434" t="s">
        <v>1553</v>
      </c>
      <c r="D41" s="434" t="s">
        <v>1553</v>
      </c>
      <c r="E41" s="434" t="s">
        <v>1553</v>
      </c>
      <c r="F41" s="462" t="s">
        <v>1984</v>
      </c>
      <c r="G41" s="464" t="s">
        <v>2045</v>
      </c>
      <c r="H41" s="464" t="s">
        <v>2046</v>
      </c>
      <c r="I41" s="458" t="s">
        <v>2014</v>
      </c>
      <c r="J41" s="465" t="s">
        <v>2047</v>
      </c>
      <c r="K41" s="465" t="s">
        <v>2048</v>
      </c>
      <c r="L41" s="465" t="s">
        <v>2049</v>
      </c>
      <c r="M41" s="457" t="s">
        <v>2018</v>
      </c>
      <c r="N41" s="453" t="s">
        <v>2050</v>
      </c>
      <c r="O41" s="453" t="s">
        <v>2051</v>
      </c>
      <c r="P41" s="453" t="s">
        <v>2052</v>
      </c>
      <c r="Q41" s="463" t="s">
        <v>2053</v>
      </c>
      <c r="R41" s="460" t="s">
        <v>2050</v>
      </c>
      <c r="S41" s="460" t="s">
        <v>2051</v>
      </c>
      <c r="T41" s="460" t="s">
        <v>2052</v>
      </c>
    </row>
    <row r="42" s="423" customFormat="1" ht="50.1" customHeight="1" spans="1:20">
      <c r="A42" s="466" t="s">
        <v>1669</v>
      </c>
      <c r="B42" s="462" t="s">
        <v>1670</v>
      </c>
      <c r="C42" s="434" t="s">
        <v>1553</v>
      </c>
      <c r="D42" s="434" t="s">
        <v>1553</v>
      </c>
      <c r="E42" s="434" t="s">
        <v>1553</v>
      </c>
      <c r="F42" s="462" t="s">
        <v>1984</v>
      </c>
      <c r="G42" s="464" t="s">
        <v>2054</v>
      </c>
      <c r="H42" s="464" t="s">
        <v>2033</v>
      </c>
      <c r="I42" s="458" t="s">
        <v>2014</v>
      </c>
      <c r="J42" s="465" t="s">
        <v>2055</v>
      </c>
      <c r="K42" s="465" t="s">
        <v>2056</v>
      </c>
      <c r="L42" s="465" t="s">
        <v>2057</v>
      </c>
      <c r="M42" s="457" t="s">
        <v>2018</v>
      </c>
      <c r="N42" s="453" t="s">
        <v>2058</v>
      </c>
      <c r="O42" s="453" t="s">
        <v>2059</v>
      </c>
      <c r="P42" s="453" t="s">
        <v>2060</v>
      </c>
      <c r="Q42" s="463" t="s">
        <v>2053</v>
      </c>
      <c r="R42" s="460" t="s">
        <v>2058</v>
      </c>
      <c r="S42" s="460" t="s">
        <v>2059</v>
      </c>
      <c r="T42" s="460" t="s">
        <v>2060</v>
      </c>
    </row>
    <row r="43" s="423" customFormat="1" ht="50.1" customHeight="1" spans="1:20">
      <c r="A43" s="466" t="s">
        <v>1676</v>
      </c>
      <c r="B43" s="450" t="s">
        <v>1663</v>
      </c>
      <c r="C43" s="434" t="s">
        <v>1553</v>
      </c>
      <c r="D43" s="434" t="s">
        <v>1553</v>
      </c>
      <c r="E43" s="434" t="s">
        <v>1553</v>
      </c>
      <c r="F43" s="462" t="s">
        <v>1984</v>
      </c>
      <c r="G43" s="464" t="s">
        <v>2061</v>
      </c>
      <c r="H43" s="464" t="s">
        <v>2062</v>
      </c>
      <c r="I43" s="458" t="s">
        <v>2014</v>
      </c>
      <c r="J43" s="465" t="s">
        <v>2063</v>
      </c>
      <c r="K43" s="465" t="s">
        <v>2064</v>
      </c>
      <c r="L43" s="465" t="s">
        <v>2065</v>
      </c>
      <c r="M43" s="457" t="s">
        <v>2018</v>
      </c>
      <c r="N43" s="453" t="s">
        <v>2066</v>
      </c>
      <c r="O43" s="453" t="s">
        <v>2067</v>
      </c>
      <c r="P43" s="453" t="s">
        <v>2068</v>
      </c>
      <c r="Q43" s="463" t="s">
        <v>2053</v>
      </c>
      <c r="R43" s="460" t="s">
        <v>2066</v>
      </c>
      <c r="S43" s="460" t="s">
        <v>2067</v>
      </c>
      <c r="T43" s="460" t="s">
        <v>2068</v>
      </c>
    </row>
    <row r="44" s="423" customFormat="1" ht="50.1" customHeight="1" spans="1:20">
      <c r="A44" s="466" t="s">
        <v>1682</v>
      </c>
      <c r="B44" s="450" t="s">
        <v>1663</v>
      </c>
      <c r="C44" s="434" t="s">
        <v>1553</v>
      </c>
      <c r="D44" s="434" t="s">
        <v>1553</v>
      </c>
      <c r="E44" s="434" t="s">
        <v>1553</v>
      </c>
      <c r="F44" s="462" t="s">
        <v>1984</v>
      </c>
      <c r="G44" s="464" t="s">
        <v>2069</v>
      </c>
      <c r="H44" s="464" t="s">
        <v>2070</v>
      </c>
      <c r="I44" s="458" t="s">
        <v>2014</v>
      </c>
      <c r="J44" s="465" t="s">
        <v>2071</v>
      </c>
      <c r="K44" s="465" t="s">
        <v>2072</v>
      </c>
      <c r="L44" s="465" t="s">
        <v>2073</v>
      </c>
      <c r="M44" s="457" t="s">
        <v>2018</v>
      </c>
      <c r="N44" s="453" t="s">
        <v>2074</v>
      </c>
      <c r="O44" s="453" t="s">
        <v>2075</v>
      </c>
      <c r="P44" s="453" t="s">
        <v>2076</v>
      </c>
      <c r="Q44" s="463" t="s">
        <v>2053</v>
      </c>
      <c r="R44" s="460" t="s">
        <v>2074</v>
      </c>
      <c r="S44" s="460" t="s">
        <v>2075</v>
      </c>
      <c r="T44" s="460" t="s">
        <v>2077</v>
      </c>
    </row>
    <row r="45" s="423" customFormat="1" ht="50.1" customHeight="1" spans="1:20">
      <c r="A45" s="466" t="s">
        <v>1688</v>
      </c>
      <c r="B45" s="450" t="s">
        <v>1670</v>
      </c>
      <c r="C45" s="434" t="s">
        <v>1553</v>
      </c>
      <c r="D45" s="434" t="s">
        <v>1553</v>
      </c>
      <c r="E45" s="434" t="s">
        <v>1553</v>
      </c>
      <c r="F45" s="462" t="s">
        <v>1984</v>
      </c>
      <c r="G45" s="464" t="s">
        <v>2069</v>
      </c>
      <c r="H45" s="464" t="s">
        <v>2078</v>
      </c>
      <c r="I45" s="458" t="s">
        <v>2014</v>
      </c>
      <c r="J45" s="465" t="s">
        <v>2071</v>
      </c>
      <c r="K45" s="465" t="s">
        <v>2079</v>
      </c>
      <c r="L45" s="465" t="s">
        <v>2073</v>
      </c>
      <c r="M45" s="457" t="s">
        <v>2018</v>
      </c>
      <c r="N45" s="453" t="s">
        <v>2074</v>
      </c>
      <c r="O45" s="453" t="s">
        <v>2080</v>
      </c>
      <c r="P45" s="453" t="s">
        <v>2077</v>
      </c>
      <c r="Q45" s="463" t="s">
        <v>2053</v>
      </c>
      <c r="R45" s="460" t="s">
        <v>2074</v>
      </c>
      <c r="S45" s="460" t="s">
        <v>2080</v>
      </c>
      <c r="T45" s="460" t="s">
        <v>2077</v>
      </c>
    </row>
    <row r="46" s="423" customFormat="1" ht="50.1" customHeight="1" spans="1:20">
      <c r="A46" s="466" t="s">
        <v>1694</v>
      </c>
      <c r="B46" s="450" t="s">
        <v>1663</v>
      </c>
      <c r="C46" s="434" t="s">
        <v>1553</v>
      </c>
      <c r="D46" s="434" t="s">
        <v>1553</v>
      </c>
      <c r="E46" s="434" t="s">
        <v>1553</v>
      </c>
      <c r="F46" s="462" t="s">
        <v>1984</v>
      </c>
      <c r="G46" s="464" t="s">
        <v>2069</v>
      </c>
      <c r="H46" s="464" t="s">
        <v>2070</v>
      </c>
      <c r="I46" s="458" t="s">
        <v>2014</v>
      </c>
      <c r="J46" s="465" t="s">
        <v>2071</v>
      </c>
      <c r="K46" s="465" t="s">
        <v>2072</v>
      </c>
      <c r="L46" s="465" t="s">
        <v>2073</v>
      </c>
      <c r="M46" s="457" t="s">
        <v>2018</v>
      </c>
      <c r="N46" s="453" t="s">
        <v>2081</v>
      </c>
      <c r="O46" s="453" t="s">
        <v>2075</v>
      </c>
      <c r="P46" s="453" t="s">
        <v>2077</v>
      </c>
      <c r="Q46" s="463" t="s">
        <v>2053</v>
      </c>
      <c r="R46" s="460" t="s">
        <v>2081</v>
      </c>
      <c r="S46" s="460" t="s">
        <v>2075</v>
      </c>
      <c r="T46" s="460" t="s">
        <v>2077</v>
      </c>
    </row>
    <row r="47" s="423" customFormat="1" ht="60" customHeight="1" spans="1:20">
      <c r="A47" s="466" t="s">
        <v>1698</v>
      </c>
      <c r="B47" s="450" t="s">
        <v>1670</v>
      </c>
      <c r="C47" s="434" t="s">
        <v>1553</v>
      </c>
      <c r="D47" s="434" t="s">
        <v>1553</v>
      </c>
      <c r="E47" s="434" t="s">
        <v>1553</v>
      </c>
      <c r="F47" s="462" t="s">
        <v>1984</v>
      </c>
      <c r="G47" s="464" t="s">
        <v>2069</v>
      </c>
      <c r="H47" s="464" t="s">
        <v>2082</v>
      </c>
      <c r="I47" s="458" t="s">
        <v>2014</v>
      </c>
      <c r="J47" s="465" t="s">
        <v>2071</v>
      </c>
      <c r="K47" s="465" t="s">
        <v>2024</v>
      </c>
      <c r="L47" s="465" t="s">
        <v>2083</v>
      </c>
      <c r="M47" s="457" t="s">
        <v>2018</v>
      </c>
      <c r="N47" s="453" t="s">
        <v>2084</v>
      </c>
      <c r="O47" s="453" t="s">
        <v>2085</v>
      </c>
      <c r="P47" s="453" t="s">
        <v>2086</v>
      </c>
      <c r="Q47" s="463" t="s">
        <v>2053</v>
      </c>
      <c r="R47" s="460" t="s">
        <v>2084</v>
      </c>
      <c r="S47" s="460" t="s">
        <v>2085</v>
      </c>
      <c r="T47" s="460" t="s">
        <v>2086</v>
      </c>
    </row>
    <row r="48" s="423" customFormat="1" ht="60" customHeight="1" spans="1:20">
      <c r="A48" s="466" t="s">
        <v>1704</v>
      </c>
      <c r="B48" s="450" t="s">
        <v>1663</v>
      </c>
      <c r="C48" s="434" t="s">
        <v>1553</v>
      </c>
      <c r="D48" s="434" t="s">
        <v>1553</v>
      </c>
      <c r="E48" s="434" t="s">
        <v>1553</v>
      </c>
      <c r="F48" s="462" t="s">
        <v>1984</v>
      </c>
      <c r="G48" s="464" t="s">
        <v>2069</v>
      </c>
      <c r="H48" s="464" t="s">
        <v>2082</v>
      </c>
      <c r="I48" s="458" t="s">
        <v>2014</v>
      </c>
      <c r="J48" s="465" t="s">
        <v>2071</v>
      </c>
      <c r="K48" s="465" t="s">
        <v>2024</v>
      </c>
      <c r="L48" s="465" t="s">
        <v>2083</v>
      </c>
      <c r="M48" s="457" t="s">
        <v>2018</v>
      </c>
      <c r="N48" s="453" t="s">
        <v>2084</v>
      </c>
      <c r="O48" s="453" t="s">
        <v>2087</v>
      </c>
      <c r="P48" s="453" t="s">
        <v>2088</v>
      </c>
      <c r="Q48" s="463" t="s">
        <v>2053</v>
      </c>
      <c r="R48" s="460" t="s">
        <v>2084</v>
      </c>
      <c r="S48" s="460" t="s">
        <v>2087</v>
      </c>
      <c r="T48" s="460" t="s">
        <v>2089</v>
      </c>
    </row>
    <row r="49" s="423" customFormat="1" ht="60" customHeight="1" spans="1:20">
      <c r="A49" s="466" t="s">
        <v>1708</v>
      </c>
      <c r="B49" s="450" t="s">
        <v>1663</v>
      </c>
      <c r="C49" s="434" t="s">
        <v>1553</v>
      </c>
      <c r="D49" s="434" t="s">
        <v>1553</v>
      </c>
      <c r="E49" s="434" t="s">
        <v>1553</v>
      </c>
      <c r="F49" s="462" t="s">
        <v>2090</v>
      </c>
      <c r="G49" s="464" t="s">
        <v>2069</v>
      </c>
      <c r="H49" s="464" t="s">
        <v>2082</v>
      </c>
      <c r="I49" s="458" t="s">
        <v>1939</v>
      </c>
      <c r="J49" s="465" t="s">
        <v>2071</v>
      </c>
      <c r="K49" s="465" t="s">
        <v>2024</v>
      </c>
      <c r="L49" s="465" t="s">
        <v>2083</v>
      </c>
      <c r="M49" s="457" t="s">
        <v>1940</v>
      </c>
      <c r="N49" s="453" t="s">
        <v>2084</v>
      </c>
      <c r="O49" s="453" t="s">
        <v>2091</v>
      </c>
      <c r="P49" s="453" t="s">
        <v>2092</v>
      </c>
      <c r="Q49" s="463" t="s">
        <v>2093</v>
      </c>
      <c r="R49" s="460" t="s">
        <v>2084</v>
      </c>
      <c r="S49" s="460" t="s">
        <v>2091</v>
      </c>
      <c r="T49" s="460" t="s">
        <v>2092</v>
      </c>
    </row>
    <row r="50" s="423" customFormat="1" ht="60" customHeight="1" spans="1:20">
      <c r="A50" s="466" t="s">
        <v>1714</v>
      </c>
      <c r="B50" s="450" t="s">
        <v>1663</v>
      </c>
      <c r="C50" s="434" t="s">
        <v>1553</v>
      </c>
      <c r="D50" s="434" t="s">
        <v>1553</v>
      </c>
      <c r="E50" s="434" t="s">
        <v>1553</v>
      </c>
      <c r="F50" s="462" t="s">
        <v>2090</v>
      </c>
      <c r="G50" s="464" t="s">
        <v>2069</v>
      </c>
      <c r="H50" s="464" t="s">
        <v>2082</v>
      </c>
      <c r="I50" s="458" t="s">
        <v>1939</v>
      </c>
      <c r="J50" s="465" t="s">
        <v>2071</v>
      </c>
      <c r="K50" s="465" t="s">
        <v>2024</v>
      </c>
      <c r="L50" s="465" t="s">
        <v>2083</v>
      </c>
      <c r="M50" s="457" t="s">
        <v>1940</v>
      </c>
      <c r="N50" s="453" t="s">
        <v>2084</v>
      </c>
      <c r="O50" s="453" t="s">
        <v>2091</v>
      </c>
      <c r="P50" s="453" t="s">
        <v>2092</v>
      </c>
      <c r="Q50" s="463" t="s">
        <v>2093</v>
      </c>
      <c r="R50" s="460" t="s">
        <v>2084</v>
      </c>
      <c r="S50" s="460" t="s">
        <v>2091</v>
      </c>
      <c r="T50" s="460" t="s">
        <v>2092</v>
      </c>
    </row>
    <row r="51" s="423" customFormat="1" ht="60" customHeight="1" spans="1:20">
      <c r="A51" s="466" t="s">
        <v>1716</v>
      </c>
      <c r="B51" s="450" t="s">
        <v>1663</v>
      </c>
      <c r="C51" s="434" t="s">
        <v>1553</v>
      </c>
      <c r="D51" s="434" t="s">
        <v>1553</v>
      </c>
      <c r="E51" s="434" t="s">
        <v>1553</v>
      </c>
      <c r="F51" s="462" t="s">
        <v>1984</v>
      </c>
      <c r="G51" s="464" t="s">
        <v>2069</v>
      </c>
      <c r="H51" s="464" t="s">
        <v>2082</v>
      </c>
      <c r="I51" s="458" t="s">
        <v>2014</v>
      </c>
      <c r="J51" s="465" t="s">
        <v>2071</v>
      </c>
      <c r="K51" s="465" t="s">
        <v>2024</v>
      </c>
      <c r="L51" s="465" t="s">
        <v>2083</v>
      </c>
      <c r="M51" s="457" t="s">
        <v>2018</v>
      </c>
      <c r="N51" s="453" t="s">
        <v>2094</v>
      </c>
      <c r="O51" s="453" t="s">
        <v>2087</v>
      </c>
      <c r="P51" s="453" t="s">
        <v>2095</v>
      </c>
      <c r="Q51" s="463" t="s">
        <v>2053</v>
      </c>
      <c r="R51" s="460" t="s">
        <v>2094</v>
      </c>
      <c r="S51" s="460" t="s">
        <v>2087</v>
      </c>
      <c r="T51" s="460" t="s">
        <v>2095</v>
      </c>
    </row>
    <row r="52" s="423" customFormat="1" ht="60" customHeight="1" spans="1:20">
      <c r="A52" s="466" t="s">
        <v>1720</v>
      </c>
      <c r="B52" s="450" t="s">
        <v>1670</v>
      </c>
      <c r="C52" s="434" t="s">
        <v>1553</v>
      </c>
      <c r="D52" s="434" t="s">
        <v>1553</v>
      </c>
      <c r="E52" s="434" t="s">
        <v>1553</v>
      </c>
      <c r="F52" s="462" t="s">
        <v>1984</v>
      </c>
      <c r="G52" s="464" t="s">
        <v>2069</v>
      </c>
      <c r="H52" s="464" t="s">
        <v>2082</v>
      </c>
      <c r="I52" s="458" t="s">
        <v>2014</v>
      </c>
      <c r="J52" s="465" t="s">
        <v>2071</v>
      </c>
      <c r="K52" s="465" t="s">
        <v>2024</v>
      </c>
      <c r="L52" s="465" t="s">
        <v>2083</v>
      </c>
      <c r="M52" s="457" t="s">
        <v>2018</v>
      </c>
      <c r="N52" s="453" t="s">
        <v>2084</v>
      </c>
      <c r="O52" s="453" t="s">
        <v>2087</v>
      </c>
      <c r="P52" s="453" t="s">
        <v>2096</v>
      </c>
      <c r="Q52" s="463" t="s">
        <v>2053</v>
      </c>
      <c r="R52" s="460" t="s">
        <v>2084</v>
      </c>
      <c r="S52" s="460" t="s">
        <v>2087</v>
      </c>
      <c r="T52" s="460" t="s">
        <v>2096</v>
      </c>
    </row>
    <row r="53" s="423" customFormat="1" ht="60" customHeight="1" spans="1:20">
      <c r="A53" s="466" t="s">
        <v>1583</v>
      </c>
      <c r="B53" s="450" t="s">
        <v>1670</v>
      </c>
      <c r="C53" s="434" t="s">
        <v>1553</v>
      </c>
      <c r="D53" s="434" t="s">
        <v>1553</v>
      </c>
      <c r="E53" s="434" t="s">
        <v>1553</v>
      </c>
      <c r="F53" s="462" t="s">
        <v>1984</v>
      </c>
      <c r="G53" s="464" t="s">
        <v>2069</v>
      </c>
      <c r="H53" s="464" t="s">
        <v>2082</v>
      </c>
      <c r="I53" s="458" t="s">
        <v>2014</v>
      </c>
      <c r="J53" s="465" t="s">
        <v>2071</v>
      </c>
      <c r="K53" s="465" t="s">
        <v>2024</v>
      </c>
      <c r="L53" s="465" t="s">
        <v>2083</v>
      </c>
      <c r="M53" s="457" t="s">
        <v>2018</v>
      </c>
      <c r="N53" s="453" t="s">
        <v>2084</v>
      </c>
      <c r="O53" s="453" t="s">
        <v>2091</v>
      </c>
      <c r="P53" s="453" t="s">
        <v>2097</v>
      </c>
      <c r="Q53" s="463" t="s">
        <v>2053</v>
      </c>
      <c r="R53" s="460" t="s">
        <v>2084</v>
      </c>
      <c r="S53" s="460" t="s">
        <v>2091</v>
      </c>
      <c r="T53" s="460" t="s">
        <v>2097</v>
      </c>
    </row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zoomScale="85" zoomScaleNormal="85" workbookViewId="0">
      <pane ySplit="1" topLeftCell="A29" activePane="bottomLeft" state="frozen"/>
      <selection/>
      <selection pane="bottomLeft" activeCell="F5" sqref="F5"/>
    </sheetView>
  </sheetViews>
  <sheetFormatPr defaultColWidth="9" defaultRowHeight="12"/>
  <cols>
    <col min="1" max="2" width="8.625" style="416" customWidth="1"/>
    <col min="3" max="4" width="10.625" style="418" customWidth="1"/>
    <col min="5" max="6" width="10.625" style="419" customWidth="1"/>
    <col min="7" max="8" width="10.625" style="420" customWidth="1"/>
    <col min="9" max="9" width="12.625" style="420" customWidth="1"/>
    <col min="10" max="12" width="10.625" style="421" customWidth="1"/>
    <col min="13" max="13" width="10.625" style="422" customWidth="1"/>
    <col min="14" max="14" width="12.625" style="422" customWidth="1"/>
    <col min="15" max="15" width="10.625" style="422" customWidth="1"/>
    <col min="16" max="16" width="8.625" style="416" customWidth="1"/>
    <col min="17" max="17" width="9" style="416"/>
    <col min="18" max="18" width="11.625" style="416" customWidth="1"/>
    <col min="19" max="23" width="9" style="416"/>
    <col min="24" max="16384" width="9" style="423"/>
  </cols>
  <sheetData>
    <row r="1" ht="30" customHeight="1" spans="1:23">
      <c r="A1" s="424"/>
      <c r="B1" s="424" t="s">
        <v>2098</v>
      </c>
      <c r="C1" s="418" t="s">
        <v>1880</v>
      </c>
      <c r="D1" s="418" t="s">
        <v>1881</v>
      </c>
      <c r="E1" s="419" t="s">
        <v>1883</v>
      </c>
      <c r="F1" s="419" t="s">
        <v>1653</v>
      </c>
      <c r="G1" s="420" t="s">
        <v>1885</v>
      </c>
      <c r="H1" s="420" t="s">
        <v>1886</v>
      </c>
      <c r="I1" s="420" t="s">
        <v>1655</v>
      </c>
      <c r="J1" s="421" t="s">
        <v>1888</v>
      </c>
      <c r="K1" s="421" t="s">
        <v>1889</v>
      </c>
      <c r="L1" s="421" t="s">
        <v>1657</v>
      </c>
      <c r="M1" s="422" t="s">
        <v>1891</v>
      </c>
      <c r="N1" s="422" t="s">
        <v>1892</v>
      </c>
      <c r="O1" s="422" t="s">
        <v>1659</v>
      </c>
      <c r="P1" s="424" t="s">
        <v>2098</v>
      </c>
      <c r="Q1" s="424" t="s">
        <v>2099</v>
      </c>
      <c r="R1" s="416" t="s">
        <v>1550</v>
      </c>
    </row>
    <row r="2" ht="30" customHeight="1" spans="1:23">
      <c r="B2" s="416" t="s">
        <v>1735</v>
      </c>
      <c r="C2" s="418" t="s">
        <v>1926</v>
      </c>
      <c r="D2" s="418" t="s">
        <v>1927</v>
      </c>
      <c r="E2" s="419" t="s">
        <v>1929</v>
      </c>
      <c r="F2" s="419" t="s">
        <v>1930</v>
      </c>
      <c r="G2" s="420" t="s">
        <v>1927</v>
      </c>
      <c r="H2" s="420" t="s">
        <v>1932</v>
      </c>
      <c r="I2" s="425" t="s">
        <v>1933</v>
      </c>
      <c r="J2" s="426" t="s">
        <v>1934</v>
      </c>
      <c r="K2" s="426" t="s">
        <v>1935</v>
      </c>
      <c r="L2" s="427" t="s">
        <v>2100</v>
      </c>
      <c r="M2" s="428" t="s">
        <v>1934</v>
      </c>
      <c r="N2" s="428" t="s">
        <v>1935</v>
      </c>
      <c r="O2" s="429" t="s">
        <v>2100</v>
      </c>
      <c r="P2" s="416" t="s">
        <v>1735</v>
      </c>
      <c r="Q2" s="416">
        <v>2</v>
      </c>
      <c r="R2" s="430" t="s">
        <v>124</v>
      </c>
      <c r="S2" s="430" t="s">
        <v>753</v>
      </c>
    </row>
    <row r="3" ht="30" customHeight="1" spans="1:23">
      <c r="B3" s="416" t="s">
        <v>1729</v>
      </c>
      <c r="C3" s="418" t="s">
        <v>1914</v>
      </c>
      <c r="D3" s="418" t="s">
        <v>1915</v>
      </c>
      <c r="E3" s="419" t="s">
        <v>1917</v>
      </c>
      <c r="F3" s="419" t="s">
        <v>1918</v>
      </c>
      <c r="G3" s="425" t="s">
        <v>1915</v>
      </c>
      <c r="H3" s="425" t="s">
        <v>1920</v>
      </c>
      <c r="I3" s="425" t="s">
        <v>1921</v>
      </c>
      <c r="J3" s="426" t="s">
        <v>1922</v>
      </c>
      <c r="K3" s="426" t="s">
        <v>1923</v>
      </c>
      <c r="L3" s="427" t="s">
        <v>2100</v>
      </c>
      <c r="M3" s="428" t="s">
        <v>1922</v>
      </c>
      <c r="N3" s="428" t="s">
        <v>1923</v>
      </c>
      <c r="O3" s="429" t="s">
        <v>2100</v>
      </c>
      <c r="P3" s="416" t="s">
        <v>1729</v>
      </c>
      <c r="Q3" s="416">
        <v>2</v>
      </c>
      <c r="R3" s="430" t="s">
        <v>734</v>
      </c>
      <c r="S3" s="430" t="s">
        <v>794</v>
      </c>
    </row>
    <row r="4" s="415" customFormat="1" ht="39.95" customHeight="1" spans="1:23">
      <c r="A4" s="431"/>
      <c r="B4" s="431" t="s">
        <v>1747</v>
      </c>
      <c r="C4" s="418" t="s">
        <v>1958</v>
      </c>
      <c r="D4" s="418" t="s">
        <v>1959</v>
      </c>
      <c r="E4" s="419" t="s">
        <v>1960</v>
      </c>
      <c r="F4" s="419" t="s">
        <v>1961</v>
      </c>
      <c r="G4" s="425" t="s">
        <v>1959</v>
      </c>
      <c r="H4" s="425" t="s">
        <v>1963</v>
      </c>
      <c r="I4" s="425" t="s">
        <v>1964</v>
      </c>
      <c r="J4" s="426" t="s">
        <v>1965</v>
      </c>
      <c r="K4" s="426" t="s">
        <v>2101</v>
      </c>
      <c r="L4" s="427" t="s">
        <v>1956</v>
      </c>
      <c r="M4" s="428" t="s">
        <v>1965</v>
      </c>
      <c r="N4" s="428" t="s">
        <v>2101</v>
      </c>
      <c r="O4" s="429" t="s">
        <v>1956</v>
      </c>
      <c r="P4" s="431" t="s">
        <v>1747</v>
      </c>
      <c r="Q4" s="431">
        <v>1</v>
      </c>
      <c r="R4" s="430" t="s">
        <v>704</v>
      </c>
      <c r="S4" s="431"/>
      <c r="T4" s="431"/>
      <c r="U4" s="431"/>
      <c r="V4" s="431"/>
      <c r="W4" s="431"/>
    </row>
    <row r="5" ht="30" customHeight="1" spans="1:23">
      <c r="B5" s="416" t="s">
        <v>1741</v>
      </c>
      <c r="C5" s="418" t="s">
        <v>1971</v>
      </c>
      <c r="D5" s="418" t="s">
        <v>1972</v>
      </c>
      <c r="E5" s="419" t="s">
        <v>1973</v>
      </c>
      <c r="F5" s="419" t="s">
        <v>1974</v>
      </c>
      <c r="G5" s="425" t="s">
        <v>1972</v>
      </c>
      <c r="H5" s="425" t="s">
        <v>514</v>
      </c>
      <c r="I5" s="425" t="s">
        <v>1948</v>
      </c>
      <c r="J5" s="426" t="s">
        <v>1965</v>
      </c>
      <c r="K5" s="426" t="s">
        <v>1976</v>
      </c>
      <c r="L5" s="426" t="s">
        <v>2100</v>
      </c>
      <c r="M5" s="428" t="s">
        <v>1965</v>
      </c>
      <c r="N5" s="428" t="s">
        <v>1976</v>
      </c>
      <c r="O5" s="428" t="s">
        <v>2100</v>
      </c>
      <c r="P5" s="416" t="s">
        <v>1741</v>
      </c>
      <c r="Q5" s="416">
        <v>6</v>
      </c>
      <c r="R5" s="430" t="s">
        <v>701</v>
      </c>
      <c r="S5" s="430" t="s">
        <v>713</v>
      </c>
      <c r="T5" s="430" t="s">
        <v>813</v>
      </c>
      <c r="U5" s="430" t="s">
        <v>1744</v>
      </c>
      <c r="V5" s="430" t="s">
        <v>132</v>
      </c>
      <c r="W5" s="432" t="s">
        <v>715</v>
      </c>
    </row>
    <row r="6" ht="30" customHeight="1" spans="1:23">
      <c r="B6" s="416" t="s">
        <v>1726</v>
      </c>
      <c r="C6" s="418" t="s">
        <v>1894</v>
      </c>
      <c r="D6" s="418" t="s">
        <v>1895</v>
      </c>
      <c r="E6" s="419" t="s">
        <v>1897</v>
      </c>
      <c r="F6" s="419" t="s">
        <v>1898</v>
      </c>
      <c r="G6" s="420" t="s">
        <v>1895</v>
      </c>
      <c r="H6" s="420" t="s">
        <v>1900</v>
      </c>
      <c r="I6" s="420" t="s">
        <v>1901</v>
      </c>
      <c r="J6" s="426" t="s">
        <v>1903</v>
      </c>
      <c r="K6" s="426" t="s">
        <v>1904</v>
      </c>
      <c r="L6" s="426" t="s">
        <v>1905</v>
      </c>
      <c r="M6" s="428" t="s">
        <v>1903</v>
      </c>
      <c r="N6" s="428" t="s">
        <v>1904</v>
      </c>
      <c r="O6" s="428" t="s">
        <v>1905</v>
      </c>
      <c r="P6" s="416" t="s">
        <v>1726</v>
      </c>
      <c r="Q6" s="416">
        <v>3</v>
      </c>
      <c r="R6" s="430" t="s">
        <v>747</v>
      </c>
      <c r="S6" s="430" t="s">
        <v>106</v>
      </c>
      <c r="T6" s="430" t="s">
        <v>117</v>
      </c>
    </row>
    <row r="7" ht="30" customHeight="1" spans="1:23">
      <c r="B7" s="416" t="s">
        <v>1738</v>
      </c>
      <c r="C7" s="418" t="s">
        <v>1952</v>
      </c>
      <c r="D7" s="418" t="s">
        <v>1895</v>
      </c>
      <c r="E7" s="419" t="s">
        <v>1897</v>
      </c>
      <c r="F7" s="419" t="s">
        <v>1953</v>
      </c>
      <c r="G7" s="425" t="s">
        <v>1954</v>
      </c>
      <c r="H7" s="425" t="s">
        <v>1900</v>
      </c>
      <c r="I7" s="425" t="s">
        <v>1948</v>
      </c>
      <c r="J7" s="426" t="s">
        <v>1903</v>
      </c>
      <c r="K7" s="426" t="s">
        <v>1955</v>
      </c>
      <c r="L7" s="427" t="s">
        <v>1956</v>
      </c>
      <c r="M7" s="428" t="s">
        <v>1903</v>
      </c>
      <c r="N7" s="428" t="s">
        <v>1955</v>
      </c>
      <c r="O7" s="429" t="s">
        <v>1956</v>
      </c>
      <c r="P7" s="416" t="s">
        <v>1738</v>
      </c>
      <c r="Q7" s="416">
        <v>4</v>
      </c>
      <c r="R7" s="430" t="s">
        <v>743</v>
      </c>
      <c r="S7" s="430" t="s">
        <v>724</v>
      </c>
      <c r="T7" s="430" t="s">
        <v>807</v>
      </c>
      <c r="U7" s="432" t="s">
        <v>44</v>
      </c>
    </row>
    <row r="8" ht="30" customHeight="1" spans="1:23">
      <c r="B8" s="416" t="s">
        <v>1750</v>
      </c>
      <c r="C8" s="418" t="s">
        <v>1952</v>
      </c>
      <c r="D8" s="418" t="s">
        <v>1954</v>
      </c>
      <c r="E8" s="419" t="s">
        <v>1980</v>
      </c>
      <c r="F8" s="419" t="s">
        <v>1953</v>
      </c>
      <c r="G8" s="425" t="s">
        <v>1954</v>
      </c>
      <c r="H8" s="425" t="s">
        <v>505</v>
      </c>
      <c r="I8" s="425" t="s">
        <v>1948</v>
      </c>
      <c r="J8" s="426" t="s">
        <v>1949</v>
      </c>
      <c r="K8" s="426" t="s">
        <v>1955</v>
      </c>
      <c r="L8" s="427" t="s">
        <v>1956</v>
      </c>
      <c r="M8" s="428" t="s">
        <v>1949</v>
      </c>
      <c r="N8" s="428" t="s">
        <v>1955</v>
      </c>
      <c r="O8" s="429" t="s">
        <v>1956</v>
      </c>
      <c r="P8" s="416" t="s">
        <v>1750</v>
      </c>
      <c r="Q8" s="416">
        <v>1</v>
      </c>
      <c r="R8" s="430" t="s">
        <v>742</v>
      </c>
    </row>
    <row r="9" ht="30" customHeight="1" spans="1:23">
      <c r="B9" s="416" t="s">
        <v>328</v>
      </c>
      <c r="C9" s="433" t="s">
        <v>2102</v>
      </c>
      <c r="D9" s="433" t="s">
        <v>2103</v>
      </c>
      <c r="E9" s="419" t="s">
        <v>2104</v>
      </c>
      <c r="F9" s="419" t="s">
        <v>2105</v>
      </c>
      <c r="G9" s="420" t="s">
        <v>2103</v>
      </c>
      <c r="H9" s="420" t="s">
        <v>2106</v>
      </c>
      <c r="I9" s="425" t="s">
        <v>1948</v>
      </c>
      <c r="J9" s="426" t="s">
        <v>1949</v>
      </c>
      <c r="K9" s="426" t="s">
        <v>2101</v>
      </c>
      <c r="L9" s="427" t="s">
        <v>2107</v>
      </c>
      <c r="M9" s="428" t="s">
        <v>1949</v>
      </c>
      <c r="N9" s="428" t="s">
        <v>2101</v>
      </c>
      <c r="O9" s="429" t="s">
        <v>2107</v>
      </c>
      <c r="P9" s="416" t="s">
        <v>328</v>
      </c>
      <c r="Q9" s="416">
        <v>3</v>
      </c>
      <c r="R9" s="430" t="s">
        <v>791</v>
      </c>
      <c r="S9" s="432" t="s">
        <v>705</v>
      </c>
      <c r="T9" s="432" t="s">
        <v>29</v>
      </c>
    </row>
    <row r="10" ht="30" customHeight="1" spans="1:23">
      <c r="B10" s="416" t="s">
        <v>1755</v>
      </c>
      <c r="C10" s="434" t="s">
        <v>1553</v>
      </c>
      <c r="D10" s="434" t="s">
        <v>1553</v>
      </c>
      <c r="E10" s="435" t="s">
        <v>1980</v>
      </c>
      <c r="F10" s="435" t="s">
        <v>1988</v>
      </c>
      <c r="G10" s="425" t="s">
        <v>1990</v>
      </c>
      <c r="H10" s="425" t="s">
        <v>505</v>
      </c>
      <c r="I10" s="436" t="s">
        <v>1991</v>
      </c>
      <c r="J10" s="426" t="s">
        <v>1949</v>
      </c>
      <c r="K10" s="426" t="s">
        <v>1976</v>
      </c>
      <c r="L10" s="427" t="s">
        <v>2107</v>
      </c>
      <c r="M10" s="428" t="s">
        <v>1949</v>
      </c>
      <c r="N10" s="428" t="s">
        <v>1976</v>
      </c>
      <c r="O10" s="429" t="s">
        <v>2107</v>
      </c>
      <c r="P10" s="416" t="s">
        <v>1755</v>
      </c>
      <c r="Q10" s="416">
        <v>1</v>
      </c>
      <c r="R10" s="432" t="s">
        <v>71</v>
      </c>
    </row>
    <row r="11" ht="30" customHeight="1" spans="1:23">
      <c r="B11" s="416" t="s">
        <v>1758</v>
      </c>
      <c r="C11" s="434" t="s">
        <v>1553</v>
      </c>
      <c r="D11" s="434" t="s">
        <v>1553</v>
      </c>
      <c r="E11" s="435" t="s">
        <v>1980</v>
      </c>
      <c r="F11" s="435" t="s">
        <v>1974</v>
      </c>
      <c r="G11" s="425" t="s">
        <v>1972</v>
      </c>
      <c r="H11" s="425" t="s">
        <v>505</v>
      </c>
      <c r="I11" s="425" t="s">
        <v>1948</v>
      </c>
      <c r="J11" s="426" t="s">
        <v>1965</v>
      </c>
      <c r="K11" s="426" t="s">
        <v>1976</v>
      </c>
      <c r="L11" s="426" t="s">
        <v>1905</v>
      </c>
      <c r="M11" s="428" t="s">
        <v>1965</v>
      </c>
      <c r="N11" s="428" t="s">
        <v>1976</v>
      </c>
      <c r="O11" s="428" t="s">
        <v>1905</v>
      </c>
      <c r="P11" s="416" t="s">
        <v>1758</v>
      </c>
      <c r="Q11" s="416">
        <v>1</v>
      </c>
      <c r="R11" s="432" t="s">
        <v>719</v>
      </c>
    </row>
    <row r="12" ht="30" customHeight="1" spans="1:23">
      <c r="B12" s="416" t="s">
        <v>1766</v>
      </c>
      <c r="C12" s="434" t="s">
        <v>1553</v>
      </c>
      <c r="D12" s="434" t="s">
        <v>1553</v>
      </c>
      <c r="E12" s="435" t="s">
        <v>579</v>
      </c>
      <c r="F12" s="419" t="s">
        <v>1953</v>
      </c>
      <c r="G12" s="425" t="s">
        <v>1954</v>
      </c>
      <c r="H12" s="425" t="s">
        <v>1999</v>
      </c>
      <c r="I12" s="436" t="s">
        <v>1991</v>
      </c>
      <c r="J12" s="426" t="s">
        <v>1949</v>
      </c>
      <c r="K12" s="426" t="s">
        <v>2001</v>
      </c>
      <c r="L12" s="427" t="s">
        <v>1956</v>
      </c>
      <c r="M12" s="428" t="s">
        <v>1949</v>
      </c>
      <c r="N12" s="428" t="s">
        <v>2001</v>
      </c>
      <c r="O12" s="429" t="s">
        <v>1956</v>
      </c>
      <c r="P12" s="416" t="s">
        <v>1766</v>
      </c>
      <c r="Q12" s="416">
        <v>1</v>
      </c>
      <c r="R12" s="432" t="s">
        <v>15</v>
      </c>
    </row>
    <row r="13" ht="39.95" customHeight="1" spans="1:23">
      <c r="B13" s="416" t="s">
        <v>1723</v>
      </c>
      <c r="C13" s="434" t="s">
        <v>1553</v>
      </c>
      <c r="D13" s="434" t="s">
        <v>1553</v>
      </c>
      <c r="E13" s="435" t="s">
        <v>579</v>
      </c>
      <c r="F13" s="435" t="s">
        <v>1988</v>
      </c>
      <c r="G13" s="425" t="s">
        <v>1990</v>
      </c>
      <c r="H13" s="425" t="s">
        <v>1999</v>
      </c>
      <c r="I13" s="425" t="s">
        <v>2002</v>
      </c>
      <c r="J13" s="426" t="s">
        <v>2004</v>
      </c>
      <c r="K13" s="426" t="s">
        <v>1976</v>
      </c>
      <c r="L13" s="426" t="s">
        <v>2100</v>
      </c>
      <c r="M13" s="428" t="s">
        <v>2004</v>
      </c>
      <c r="N13" s="428" t="s">
        <v>1976</v>
      </c>
      <c r="O13" s="428" t="s">
        <v>2100</v>
      </c>
      <c r="P13" s="416" t="s">
        <v>1723</v>
      </c>
      <c r="Q13" s="416">
        <v>1</v>
      </c>
      <c r="R13" s="432" t="s">
        <v>356</v>
      </c>
    </row>
    <row r="14" ht="39.95" customHeight="1" spans="1:23">
      <c r="B14" s="416" t="s">
        <v>1771</v>
      </c>
      <c r="C14" s="434" t="s">
        <v>2108</v>
      </c>
      <c r="D14" s="434" t="s">
        <v>2109</v>
      </c>
      <c r="E14" s="437" t="s">
        <v>2005</v>
      </c>
      <c r="F14" s="437" t="s">
        <v>2006</v>
      </c>
      <c r="G14" s="436" t="s">
        <v>2007</v>
      </c>
      <c r="H14" s="436" t="s">
        <v>2008</v>
      </c>
      <c r="I14" s="436" t="s">
        <v>2009</v>
      </c>
      <c r="J14" s="426" t="s">
        <v>2004</v>
      </c>
      <c r="K14" s="426" t="s">
        <v>2010</v>
      </c>
      <c r="L14" s="426" t="s">
        <v>1956</v>
      </c>
      <c r="M14" s="428" t="s">
        <v>2004</v>
      </c>
      <c r="N14" s="428" t="s">
        <v>2010</v>
      </c>
      <c r="O14" s="428" t="s">
        <v>1956</v>
      </c>
      <c r="P14" s="416" t="s">
        <v>1771</v>
      </c>
      <c r="Q14" s="416">
        <v>1</v>
      </c>
      <c r="R14" s="432" t="s">
        <v>738</v>
      </c>
    </row>
    <row r="15" ht="39.95" customHeight="1" spans="1:23">
      <c r="B15" s="416" t="s">
        <v>1675</v>
      </c>
      <c r="C15" s="434" t="s">
        <v>1553</v>
      </c>
      <c r="D15" s="434" t="s">
        <v>1553</v>
      </c>
      <c r="E15" s="437" t="s">
        <v>2012</v>
      </c>
      <c r="F15" s="437" t="s">
        <v>2013</v>
      </c>
      <c r="G15" s="436" t="s">
        <v>2015</v>
      </c>
      <c r="H15" s="436" t="s">
        <v>2016</v>
      </c>
      <c r="I15" s="436" t="s">
        <v>2017</v>
      </c>
      <c r="J15" s="426" t="s">
        <v>2004</v>
      </c>
      <c r="K15" s="426" t="s">
        <v>2010</v>
      </c>
      <c r="L15" s="426" t="s">
        <v>1905</v>
      </c>
      <c r="M15" s="428" t="s">
        <v>2004</v>
      </c>
      <c r="N15" s="428" t="s">
        <v>2010</v>
      </c>
      <c r="O15" s="428" t="s">
        <v>1905</v>
      </c>
      <c r="P15" s="416" t="s">
        <v>1675</v>
      </c>
      <c r="Q15" s="416">
        <v>1</v>
      </c>
      <c r="R15" s="432" t="s">
        <v>758</v>
      </c>
    </row>
    <row r="16" ht="39.95" customHeight="1" spans="1:23">
      <c r="B16" s="416" t="s">
        <v>1661</v>
      </c>
      <c r="C16" s="434" t="s">
        <v>1553</v>
      </c>
      <c r="D16" s="434" t="s">
        <v>1553</v>
      </c>
      <c r="E16" s="437" t="s">
        <v>2005</v>
      </c>
      <c r="F16" s="437" t="s">
        <v>2006</v>
      </c>
      <c r="G16" s="436" t="s">
        <v>2007</v>
      </c>
      <c r="H16" s="436" t="s">
        <v>2008</v>
      </c>
      <c r="I16" s="436" t="s">
        <v>2009</v>
      </c>
      <c r="J16" s="426" t="s">
        <v>2020</v>
      </c>
      <c r="K16" s="426" t="s">
        <v>2001</v>
      </c>
      <c r="L16" s="426" t="s">
        <v>2100</v>
      </c>
      <c r="M16" s="428" t="s">
        <v>2020</v>
      </c>
      <c r="N16" s="428" t="s">
        <v>2001</v>
      </c>
      <c r="O16" s="428" t="s">
        <v>2100</v>
      </c>
      <c r="P16" s="416" t="s">
        <v>1661</v>
      </c>
      <c r="Q16" s="416">
        <v>1</v>
      </c>
      <c r="R16" s="432" t="s">
        <v>756</v>
      </c>
    </row>
    <row r="17" ht="39.95" customHeight="1" spans="2:18">
      <c r="B17" s="416" t="s">
        <v>1668</v>
      </c>
      <c r="C17" s="434" t="s">
        <v>1553</v>
      </c>
      <c r="D17" s="434" t="s">
        <v>1553</v>
      </c>
      <c r="E17" s="437" t="s">
        <v>2021</v>
      </c>
      <c r="F17" s="437" t="s">
        <v>2022</v>
      </c>
      <c r="G17" s="436" t="s">
        <v>2023</v>
      </c>
      <c r="H17" s="436" t="s">
        <v>2024</v>
      </c>
      <c r="I17" s="436" t="s">
        <v>2025</v>
      </c>
      <c r="J17" s="426" t="s">
        <v>2026</v>
      </c>
      <c r="K17" s="426" t="s">
        <v>2027</v>
      </c>
      <c r="L17" s="426" t="s">
        <v>2110</v>
      </c>
      <c r="M17" s="428" t="s">
        <v>2026</v>
      </c>
      <c r="N17" s="428" t="s">
        <v>2027</v>
      </c>
      <c r="O17" s="428" t="s">
        <v>2110</v>
      </c>
      <c r="P17" s="416" t="s">
        <v>1668</v>
      </c>
      <c r="Q17" s="416">
        <v>1</v>
      </c>
      <c r="R17" s="432" t="s">
        <v>822</v>
      </c>
    </row>
    <row r="18" ht="39.95" customHeight="1" spans="2:18">
      <c r="B18" s="416" t="s">
        <v>1687</v>
      </c>
      <c r="C18" s="434" t="s">
        <v>1553</v>
      </c>
      <c r="D18" s="434" t="s">
        <v>1553</v>
      </c>
      <c r="E18" s="437" t="s">
        <v>2021</v>
      </c>
      <c r="F18" s="437" t="s">
        <v>2022</v>
      </c>
      <c r="G18" s="436" t="s">
        <v>2023</v>
      </c>
      <c r="H18" s="436" t="s">
        <v>2024</v>
      </c>
      <c r="I18" s="436" t="s">
        <v>2029</v>
      </c>
      <c r="J18" s="426" t="s">
        <v>2026</v>
      </c>
      <c r="K18" s="426" t="s">
        <v>2027</v>
      </c>
      <c r="L18" s="426" t="s">
        <v>2030</v>
      </c>
      <c r="M18" s="428" t="s">
        <v>2026</v>
      </c>
      <c r="N18" s="428" t="s">
        <v>2027</v>
      </c>
      <c r="O18" s="428" t="s">
        <v>2030</v>
      </c>
      <c r="P18" s="416" t="s">
        <v>1687</v>
      </c>
      <c r="Q18" s="416">
        <v>1</v>
      </c>
      <c r="R18" s="432" t="s">
        <v>803</v>
      </c>
    </row>
    <row r="19" ht="39.95" customHeight="1" spans="2:18">
      <c r="B19" s="416" t="s">
        <v>1681</v>
      </c>
      <c r="C19" s="434" t="s">
        <v>1553</v>
      </c>
      <c r="D19" s="434" t="s">
        <v>1553</v>
      </c>
      <c r="E19" s="437" t="s">
        <v>2021</v>
      </c>
      <c r="F19" s="437" t="s">
        <v>2022</v>
      </c>
      <c r="G19" s="436" t="s">
        <v>2023</v>
      </c>
      <c r="H19" s="436" t="s">
        <v>2024</v>
      </c>
      <c r="I19" s="436" t="s">
        <v>2029</v>
      </c>
      <c r="J19" s="426" t="s">
        <v>2026</v>
      </c>
      <c r="K19" s="426" t="s">
        <v>2027</v>
      </c>
      <c r="L19" s="426" t="s">
        <v>2031</v>
      </c>
      <c r="M19" s="428" t="s">
        <v>2026</v>
      </c>
      <c r="N19" s="428" t="s">
        <v>2027</v>
      </c>
      <c r="O19" s="428" t="s">
        <v>2031</v>
      </c>
      <c r="P19" s="416" t="s">
        <v>1681</v>
      </c>
      <c r="Q19" s="416">
        <v>1</v>
      </c>
      <c r="R19" s="432" t="s">
        <v>1576</v>
      </c>
    </row>
    <row r="20" ht="39.95" customHeight="1" spans="2:18">
      <c r="B20" s="416" t="s">
        <v>1577</v>
      </c>
      <c r="C20" s="434" t="s">
        <v>1553</v>
      </c>
      <c r="D20" s="434" t="s">
        <v>1553</v>
      </c>
      <c r="E20" s="437" t="s">
        <v>2032</v>
      </c>
      <c r="F20" s="437" t="s">
        <v>2111</v>
      </c>
      <c r="G20" s="436" t="s">
        <v>2034</v>
      </c>
      <c r="H20" s="436" t="s">
        <v>2112</v>
      </c>
      <c r="I20" s="436" t="s">
        <v>2036</v>
      </c>
      <c r="J20" s="426" t="s">
        <v>2037</v>
      </c>
      <c r="K20" s="426" t="s">
        <v>2113</v>
      </c>
      <c r="L20" s="426" t="s">
        <v>2039</v>
      </c>
      <c r="M20" s="428" t="s">
        <v>2037</v>
      </c>
      <c r="N20" s="428" t="s">
        <v>2113</v>
      </c>
      <c r="O20" s="428" t="s">
        <v>2039</v>
      </c>
      <c r="P20" s="416" t="s">
        <v>1577</v>
      </c>
      <c r="Q20" s="416">
        <v>1</v>
      </c>
      <c r="R20" s="432" t="s">
        <v>1577</v>
      </c>
    </row>
    <row r="21" ht="39.95" customHeight="1" spans="2:18">
      <c r="B21" s="416" t="s">
        <v>1693</v>
      </c>
      <c r="C21" s="434" t="s">
        <v>1553</v>
      </c>
      <c r="D21" s="434" t="s">
        <v>1553</v>
      </c>
      <c r="E21" s="437" t="s">
        <v>2021</v>
      </c>
      <c r="F21" s="437" t="s">
        <v>2022</v>
      </c>
      <c r="G21" s="436" t="s">
        <v>2023</v>
      </c>
      <c r="H21" s="436" t="s">
        <v>2024</v>
      </c>
      <c r="I21" s="436" t="s">
        <v>2029</v>
      </c>
      <c r="J21" s="426" t="s">
        <v>2026</v>
      </c>
      <c r="K21" s="426" t="s">
        <v>2027</v>
      </c>
      <c r="L21" s="426" t="s">
        <v>2040</v>
      </c>
      <c r="M21" s="428" t="s">
        <v>2026</v>
      </c>
      <c r="N21" s="428" t="s">
        <v>2027</v>
      </c>
      <c r="O21" s="428" t="s">
        <v>2040</v>
      </c>
      <c r="P21" s="416" t="s">
        <v>1693</v>
      </c>
      <c r="Q21" s="416">
        <v>1</v>
      </c>
      <c r="R21" s="432" t="s">
        <v>1578</v>
      </c>
    </row>
    <row r="22" s="416" customFormat="1" ht="39.95" customHeight="1" spans="2:18">
      <c r="B22" s="416" t="s">
        <v>1697</v>
      </c>
      <c r="C22" s="434" t="s">
        <v>1553</v>
      </c>
      <c r="D22" s="434" t="s">
        <v>1553</v>
      </c>
      <c r="E22" s="437" t="s">
        <v>2021</v>
      </c>
      <c r="F22" s="437" t="s">
        <v>2022</v>
      </c>
      <c r="G22" s="436" t="s">
        <v>2023</v>
      </c>
      <c r="H22" s="436" t="s">
        <v>2024</v>
      </c>
      <c r="I22" s="436" t="s">
        <v>2029</v>
      </c>
      <c r="J22" s="426" t="s">
        <v>2026</v>
      </c>
      <c r="K22" s="426" t="s">
        <v>2027</v>
      </c>
      <c r="L22" s="426" t="s">
        <v>2114</v>
      </c>
      <c r="M22" s="428" t="s">
        <v>2026</v>
      </c>
      <c r="N22" s="428" t="s">
        <v>2027</v>
      </c>
      <c r="O22" s="428" t="s">
        <v>2114</v>
      </c>
      <c r="P22" s="416" t="s">
        <v>1697</v>
      </c>
      <c r="Q22" s="416">
        <v>1</v>
      </c>
      <c r="R22" s="432" t="s">
        <v>891</v>
      </c>
    </row>
    <row r="23" s="416" customFormat="1" ht="39.95" customHeight="1" spans="2:18">
      <c r="B23" s="416" t="s">
        <v>1703</v>
      </c>
      <c r="C23" s="434" t="s">
        <v>1553</v>
      </c>
      <c r="D23" s="434" t="s">
        <v>1553</v>
      </c>
      <c r="E23" s="437" t="s">
        <v>2021</v>
      </c>
      <c r="F23" s="437" t="s">
        <v>2022</v>
      </c>
      <c r="G23" s="436" t="s">
        <v>2023</v>
      </c>
      <c r="H23" s="436" t="s">
        <v>2024</v>
      </c>
      <c r="I23" s="436" t="s">
        <v>2029</v>
      </c>
      <c r="J23" s="426" t="s">
        <v>2026</v>
      </c>
      <c r="K23" s="426" t="s">
        <v>2027</v>
      </c>
      <c r="L23" s="426" t="s">
        <v>2042</v>
      </c>
      <c r="M23" s="428" t="s">
        <v>2026</v>
      </c>
      <c r="N23" s="428" t="s">
        <v>2027</v>
      </c>
      <c r="O23" s="428" t="s">
        <v>2042</v>
      </c>
      <c r="P23" s="416" t="s">
        <v>1703</v>
      </c>
      <c r="Q23" s="416">
        <v>1</v>
      </c>
      <c r="R23" s="432" t="s">
        <v>1579</v>
      </c>
    </row>
    <row r="24" s="416" customFormat="1" ht="50.1" customHeight="1" spans="2:18">
      <c r="B24" s="416" t="s">
        <v>1707</v>
      </c>
      <c r="C24" s="434"/>
      <c r="D24" s="434"/>
      <c r="E24" s="437" t="s">
        <v>2021</v>
      </c>
      <c r="F24" s="437" t="s">
        <v>2022</v>
      </c>
      <c r="G24" s="436" t="s">
        <v>2023</v>
      </c>
      <c r="H24" s="436" t="s">
        <v>2024</v>
      </c>
      <c r="I24" s="436" t="s">
        <v>2029</v>
      </c>
      <c r="J24" s="426" t="s">
        <v>2026</v>
      </c>
      <c r="K24" s="426" t="s">
        <v>2027</v>
      </c>
      <c r="L24" s="426" t="s">
        <v>2043</v>
      </c>
      <c r="M24" s="428" t="s">
        <v>2026</v>
      </c>
      <c r="N24" s="428" t="s">
        <v>2027</v>
      </c>
      <c r="O24" s="428" t="s">
        <v>2043</v>
      </c>
      <c r="P24" s="416" t="s">
        <v>1707</v>
      </c>
      <c r="Q24" s="416">
        <v>1</v>
      </c>
      <c r="R24" s="432" t="s">
        <v>1580</v>
      </c>
    </row>
    <row r="25" s="416" customFormat="1" ht="50.1" customHeight="1" spans="2:18">
      <c r="B25" s="416" t="s">
        <v>1713</v>
      </c>
      <c r="C25" s="434"/>
      <c r="D25" s="434"/>
      <c r="E25" s="437" t="s">
        <v>2021</v>
      </c>
      <c r="F25" s="437" t="s">
        <v>2022</v>
      </c>
      <c r="G25" s="436" t="s">
        <v>2023</v>
      </c>
      <c r="H25" s="436" t="s">
        <v>2024</v>
      </c>
      <c r="I25" s="436" t="s">
        <v>2029</v>
      </c>
      <c r="J25" s="426" t="s">
        <v>2026</v>
      </c>
      <c r="K25" s="426" t="s">
        <v>2027</v>
      </c>
      <c r="L25" s="426" t="s">
        <v>2043</v>
      </c>
      <c r="M25" s="428" t="s">
        <v>2026</v>
      </c>
      <c r="N25" s="428" t="s">
        <v>2027</v>
      </c>
      <c r="O25" s="428" t="s">
        <v>2043</v>
      </c>
      <c r="P25" s="416" t="s">
        <v>1713</v>
      </c>
      <c r="Q25" s="416">
        <v>1</v>
      </c>
      <c r="R25" s="432" t="s">
        <v>1581</v>
      </c>
    </row>
    <row r="26" s="416" customFormat="1" ht="50.1" customHeight="1" spans="2:18">
      <c r="B26" s="416" t="s">
        <v>1719</v>
      </c>
      <c r="C26" s="434"/>
      <c r="D26" s="434"/>
      <c r="E26" s="437" t="s">
        <v>2021</v>
      </c>
      <c r="F26" s="437" t="s">
        <v>2022</v>
      </c>
      <c r="G26" s="436" t="s">
        <v>2023</v>
      </c>
      <c r="H26" s="436" t="s">
        <v>2024</v>
      </c>
      <c r="I26" s="436" t="s">
        <v>2029</v>
      </c>
      <c r="J26" s="426" t="s">
        <v>2026</v>
      </c>
      <c r="K26" s="426" t="s">
        <v>2027</v>
      </c>
      <c r="L26" s="426" t="s">
        <v>2115</v>
      </c>
      <c r="M26" s="428" t="s">
        <v>2026</v>
      </c>
      <c r="N26" s="428" t="s">
        <v>2027</v>
      </c>
      <c r="O26" s="428" t="s">
        <v>2115</v>
      </c>
      <c r="P26" s="416" t="s">
        <v>1719</v>
      </c>
      <c r="Q26" s="416">
        <v>1</v>
      </c>
      <c r="R26" s="432" t="s">
        <v>1582</v>
      </c>
    </row>
    <row r="27" s="416" customFormat="1" ht="50.1" customHeight="1" spans="2:18">
      <c r="C27" s="434"/>
      <c r="D27" s="434"/>
      <c r="E27" s="437"/>
      <c r="F27" s="437"/>
      <c r="G27" s="436"/>
      <c r="H27" s="436"/>
      <c r="I27" s="436"/>
      <c r="J27" s="426"/>
      <c r="K27" s="426"/>
      <c r="L27" s="426"/>
      <c r="M27" s="428"/>
      <c r="N27" s="428"/>
      <c r="O27" s="428"/>
      <c r="R27" s="432"/>
    </row>
    <row r="28" s="417" customFormat="1" ht="57" customHeight="1" spans="2:18">
      <c r="E28" s="438"/>
      <c r="F28" s="438"/>
      <c r="G28" s="439"/>
      <c r="H28" s="439"/>
      <c r="I28" s="439"/>
      <c r="J28" s="438"/>
      <c r="K28" s="438"/>
      <c r="L28" s="438"/>
      <c r="M28" s="439"/>
      <c r="N28" s="439"/>
      <c r="O28" s="439"/>
    </row>
    <row r="29" s="416" customFormat="1" ht="39.95" customHeight="1" spans="2:18">
      <c r="B29" s="416" t="s">
        <v>1661</v>
      </c>
      <c r="C29" s="434" t="s">
        <v>1553</v>
      </c>
      <c r="D29" s="434" t="s">
        <v>1553</v>
      </c>
      <c r="E29" s="437" t="s">
        <v>2116</v>
      </c>
      <c r="F29" s="437" t="s">
        <v>2046</v>
      </c>
      <c r="G29" s="436" t="s">
        <v>2117</v>
      </c>
      <c r="H29" s="436" t="s">
        <v>2048</v>
      </c>
      <c r="I29" s="436" t="s">
        <v>2118</v>
      </c>
      <c r="J29" s="426" t="s">
        <v>2119</v>
      </c>
      <c r="K29" s="426" t="s">
        <v>2051</v>
      </c>
      <c r="L29" s="426" t="s">
        <v>2120</v>
      </c>
      <c r="M29" s="428" t="s">
        <v>2119</v>
      </c>
      <c r="N29" s="428" t="s">
        <v>2051</v>
      </c>
      <c r="O29" s="428" t="s">
        <v>2120</v>
      </c>
      <c r="P29" s="416" t="s">
        <v>1661</v>
      </c>
      <c r="Q29" s="416">
        <v>1</v>
      </c>
      <c r="R29" s="432" t="s">
        <v>1662</v>
      </c>
    </row>
    <row r="30" s="416" customFormat="1" ht="39.95" customHeight="1" spans="2:18">
      <c r="B30" s="416" t="s">
        <v>1668</v>
      </c>
      <c r="C30" s="434" t="s">
        <v>1553</v>
      </c>
      <c r="D30" s="434" t="s">
        <v>1553</v>
      </c>
      <c r="E30" s="437" t="s">
        <v>2054</v>
      </c>
      <c r="F30" s="437" t="s">
        <v>2111</v>
      </c>
      <c r="G30" s="436" t="s">
        <v>2055</v>
      </c>
      <c r="H30" s="436" t="s">
        <v>2121</v>
      </c>
      <c r="I30" s="436" t="s">
        <v>2122</v>
      </c>
      <c r="J30" s="426" t="s">
        <v>2058</v>
      </c>
      <c r="K30" s="426" t="s">
        <v>2123</v>
      </c>
      <c r="L30" s="426" t="s">
        <v>2124</v>
      </c>
      <c r="M30" s="428" t="s">
        <v>2058</v>
      </c>
      <c r="N30" s="428" t="s">
        <v>2123</v>
      </c>
      <c r="O30" s="428" t="s">
        <v>2124</v>
      </c>
      <c r="P30" s="416" t="s">
        <v>1668</v>
      </c>
      <c r="Q30" s="416">
        <v>1</v>
      </c>
      <c r="R30" s="432" t="s">
        <v>2125</v>
      </c>
    </row>
    <row r="31" s="416" customFormat="1" ht="39.95" customHeight="1" spans="2:18">
      <c r="B31" s="416" t="s">
        <v>1675</v>
      </c>
      <c r="C31" s="434" t="s">
        <v>1553</v>
      </c>
      <c r="D31" s="434" t="s">
        <v>1553</v>
      </c>
      <c r="E31" s="437" t="s">
        <v>2126</v>
      </c>
      <c r="F31" s="437" t="s">
        <v>2127</v>
      </c>
      <c r="G31" s="436" t="s">
        <v>2128</v>
      </c>
      <c r="H31" s="436" t="s">
        <v>2129</v>
      </c>
      <c r="I31" s="436" t="s">
        <v>2065</v>
      </c>
      <c r="J31" s="426" t="s">
        <v>2130</v>
      </c>
      <c r="K31" s="426" t="s">
        <v>2131</v>
      </c>
      <c r="L31" s="426" t="s">
        <v>2068</v>
      </c>
      <c r="M31" s="428" t="s">
        <v>2130</v>
      </c>
      <c r="N31" s="428" t="s">
        <v>2131</v>
      </c>
      <c r="O31" s="428" t="s">
        <v>2068</v>
      </c>
      <c r="P31" s="416" t="s">
        <v>1675</v>
      </c>
      <c r="Q31" s="416">
        <v>1</v>
      </c>
      <c r="R31" s="432" t="s">
        <v>2132</v>
      </c>
    </row>
    <row r="32" s="416" customFormat="1" ht="39.95" customHeight="1" spans="2:18">
      <c r="B32" s="416" t="s">
        <v>1681</v>
      </c>
      <c r="C32" s="434" t="s">
        <v>1553</v>
      </c>
      <c r="D32" s="434" t="s">
        <v>1553</v>
      </c>
      <c r="E32" s="437" t="s">
        <v>2069</v>
      </c>
      <c r="F32" s="437" t="s">
        <v>2070</v>
      </c>
      <c r="G32" s="436" t="s">
        <v>2071</v>
      </c>
      <c r="H32" s="436" t="s">
        <v>2072</v>
      </c>
      <c r="I32" s="436" t="s">
        <v>2073</v>
      </c>
      <c r="J32" s="426" t="s">
        <v>2133</v>
      </c>
      <c r="K32" s="426" t="s">
        <v>2075</v>
      </c>
      <c r="L32" s="426" t="s">
        <v>2076</v>
      </c>
      <c r="M32" s="428" t="s">
        <v>2133</v>
      </c>
      <c r="N32" s="428" t="s">
        <v>2075</v>
      </c>
      <c r="O32" s="428" t="s">
        <v>2077</v>
      </c>
      <c r="P32" s="416" t="s">
        <v>1681</v>
      </c>
      <c r="Q32" s="416">
        <v>1</v>
      </c>
      <c r="R32" s="432" t="s">
        <v>1682</v>
      </c>
    </row>
    <row r="33" s="416" customFormat="1" ht="39.95" customHeight="1" spans="1:18">
      <c r="B33" s="416" t="s">
        <v>1687</v>
      </c>
      <c r="C33" s="434" t="s">
        <v>1553</v>
      </c>
      <c r="D33" s="434" t="s">
        <v>1553</v>
      </c>
      <c r="E33" s="437" t="s">
        <v>2069</v>
      </c>
      <c r="F33" s="437" t="s">
        <v>2078</v>
      </c>
      <c r="G33" s="436" t="s">
        <v>2071</v>
      </c>
      <c r="H33" s="436" t="s">
        <v>2079</v>
      </c>
      <c r="I33" s="436" t="s">
        <v>2073</v>
      </c>
      <c r="J33" s="426" t="s">
        <v>2133</v>
      </c>
      <c r="K33" s="426" t="s">
        <v>2080</v>
      </c>
      <c r="L33" s="426" t="s">
        <v>2077</v>
      </c>
      <c r="M33" s="428" t="s">
        <v>2133</v>
      </c>
      <c r="N33" s="428" t="s">
        <v>2080</v>
      </c>
      <c r="O33" s="428" t="s">
        <v>2077</v>
      </c>
      <c r="P33" s="416" t="s">
        <v>1687</v>
      </c>
      <c r="Q33" s="416">
        <v>1</v>
      </c>
      <c r="R33" s="432" t="s">
        <v>1688</v>
      </c>
    </row>
    <row r="34" s="416" customFormat="1" ht="39.95" customHeight="1" spans="1:18">
      <c r="B34" s="416" t="s">
        <v>1693</v>
      </c>
      <c r="C34" s="434" t="s">
        <v>1553</v>
      </c>
      <c r="D34" s="434" t="s">
        <v>1553</v>
      </c>
      <c r="E34" s="437" t="s">
        <v>2069</v>
      </c>
      <c r="F34" s="437" t="s">
        <v>2070</v>
      </c>
      <c r="G34" s="436" t="s">
        <v>2071</v>
      </c>
      <c r="H34" s="436" t="s">
        <v>2072</v>
      </c>
      <c r="I34" s="436" t="s">
        <v>2073</v>
      </c>
      <c r="J34" s="426" t="s">
        <v>2081</v>
      </c>
      <c r="K34" s="426" t="s">
        <v>2075</v>
      </c>
      <c r="L34" s="426" t="s">
        <v>2077</v>
      </c>
      <c r="M34" s="428" t="s">
        <v>2081</v>
      </c>
      <c r="N34" s="428" t="s">
        <v>2075</v>
      </c>
      <c r="O34" s="428" t="s">
        <v>2077</v>
      </c>
      <c r="P34" s="416" t="s">
        <v>1693</v>
      </c>
      <c r="Q34" s="416">
        <v>1</v>
      </c>
      <c r="R34" s="432" t="s">
        <v>1694</v>
      </c>
    </row>
    <row r="35" s="416" customFormat="1" ht="50.1" customHeight="1" spans="1:18">
      <c r="B35" s="416" t="s">
        <v>1697</v>
      </c>
      <c r="C35" s="434" t="s">
        <v>1553</v>
      </c>
      <c r="D35" s="434" t="s">
        <v>1553</v>
      </c>
      <c r="E35" s="437" t="s">
        <v>2069</v>
      </c>
      <c r="F35" s="437" t="s">
        <v>2082</v>
      </c>
      <c r="G35" s="436" t="s">
        <v>2071</v>
      </c>
      <c r="H35" s="436" t="s">
        <v>2024</v>
      </c>
      <c r="I35" s="436" t="s">
        <v>2083</v>
      </c>
      <c r="J35" s="426" t="s">
        <v>2134</v>
      </c>
      <c r="K35" s="426" t="s">
        <v>2135</v>
      </c>
      <c r="L35" s="426" t="s">
        <v>2136</v>
      </c>
      <c r="M35" s="428" t="s">
        <v>2134</v>
      </c>
      <c r="N35" s="428" t="s">
        <v>2135</v>
      </c>
      <c r="O35" s="428" t="s">
        <v>2136</v>
      </c>
      <c r="P35" s="416" t="s">
        <v>1697</v>
      </c>
      <c r="Q35" s="416">
        <v>1</v>
      </c>
      <c r="R35" s="432" t="s">
        <v>1698</v>
      </c>
    </row>
    <row r="36" s="416" customFormat="1" ht="50.1" customHeight="1" spans="1:18">
      <c r="B36" s="416" t="s">
        <v>1703</v>
      </c>
      <c r="C36" s="434" t="s">
        <v>1553</v>
      </c>
      <c r="D36" s="434" t="s">
        <v>1553</v>
      </c>
      <c r="E36" s="437" t="s">
        <v>2069</v>
      </c>
      <c r="F36" s="437" t="s">
        <v>2082</v>
      </c>
      <c r="G36" s="436" t="s">
        <v>2071</v>
      </c>
      <c r="H36" s="436" t="s">
        <v>2024</v>
      </c>
      <c r="I36" s="436" t="s">
        <v>2083</v>
      </c>
      <c r="J36" s="426" t="s">
        <v>2134</v>
      </c>
      <c r="K36" s="426" t="s">
        <v>2087</v>
      </c>
      <c r="L36" s="426" t="s">
        <v>2137</v>
      </c>
      <c r="M36" s="428" t="s">
        <v>2134</v>
      </c>
      <c r="N36" s="428" t="s">
        <v>2087</v>
      </c>
      <c r="O36" s="428" t="s">
        <v>2138</v>
      </c>
      <c r="P36" s="416" t="s">
        <v>1703</v>
      </c>
      <c r="Q36" s="416">
        <v>1</v>
      </c>
      <c r="R36" s="432" t="s">
        <v>1704</v>
      </c>
    </row>
    <row r="37" s="416" customFormat="1" ht="50.1" customHeight="1" spans="1:18">
      <c r="A37" s="423"/>
      <c r="B37" s="423" t="s">
        <v>1707</v>
      </c>
      <c r="C37" s="434" t="s">
        <v>1553</v>
      </c>
      <c r="D37" s="434" t="s">
        <v>1553</v>
      </c>
      <c r="E37" s="437" t="s">
        <v>2069</v>
      </c>
      <c r="F37" s="437" t="s">
        <v>2082</v>
      </c>
      <c r="G37" s="436" t="s">
        <v>2071</v>
      </c>
      <c r="H37" s="436" t="s">
        <v>2024</v>
      </c>
      <c r="I37" s="436" t="s">
        <v>2083</v>
      </c>
      <c r="J37" s="426" t="s">
        <v>2134</v>
      </c>
      <c r="K37" s="426" t="s">
        <v>2091</v>
      </c>
      <c r="L37" s="426" t="s">
        <v>2139</v>
      </c>
      <c r="M37" s="428" t="s">
        <v>2134</v>
      </c>
      <c r="N37" s="428" t="s">
        <v>2091</v>
      </c>
      <c r="O37" s="428" t="s">
        <v>2139</v>
      </c>
      <c r="P37" s="423" t="s">
        <v>1707</v>
      </c>
      <c r="Q37" s="416">
        <v>1</v>
      </c>
      <c r="R37" s="432" t="s">
        <v>1708</v>
      </c>
    </row>
    <row r="38" s="416" customFormat="1" ht="50.1" customHeight="1" spans="1:18">
      <c r="A38" s="423"/>
      <c r="B38" s="423" t="s">
        <v>1713</v>
      </c>
      <c r="C38" s="434" t="s">
        <v>1553</v>
      </c>
      <c r="D38" s="434" t="s">
        <v>1553</v>
      </c>
      <c r="E38" s="437" t="s">
        <v>2069</v>
      </c>
      <c r="F38" s="437" t="s">
        <v>2082</v>
      </c>
      <c r="G38" s="436" t="s">
        <v>2071</v>
      </c>
      <c r="H38" s="436" t="s">
        <v>2024</v>
      </c>
      <c r="I38" s="436" t="s">
        <v>2083</v>
      </c>
      <c r="J38" s="426" t="s">
        <v>2134</v>
      </c>
      <c r="K38" s="426" t="s">
        <v>2091</v>
      </c>
      <c r="L38" s="426" t="s">
        <v>2139</v>
      </c>
      <c r="M38" s="428" t="s">
        <v>2134</v>
      </c>
      <c r="N38" s="428" t="s">
        <v>2091</v>
      </c>
      <c r="O38" s="428" t="s">
        <v>2139</v>
      </c>
      <c r="P38" s="423" t="s">
        <v>1713</v>
      </c>
      <c r="Q38" s="416">
        <v>1</v>
      </c>
      <c r="R38" s="432" t="s">
        <v>1714</v>
      </c>
    </row>
    <row r="39" s="416" customFormat="1" ht="50.1" customHeight="1" spans="1:18">
      <c r="A39" s="423"/>
      <c r="B39" s="423" t="s">
        <v>1715</v>
      </c>
      <c r="C39" s="434"/>
      <c r="D39" s="434"/>
      <c r="E39" s="437" t="s">
        <v>2069</v>
      </c>
      <c r="F39" s="437" t="s">
        <v>2082</v>
      </c>
      <c r="G39" s="436" t="s">
        <v>2071</v>
      </c>
      <c r="H39" s="436" t="s">
        <v>2024</v>
      </c>
      <c r="I39" s="436" t="s">
        <v>2083</v>
      </c>
      <c r="J39" s="426" t="s">
        <v>2094</v>
      </c>
      <c r="K39" s="426" t="s">
        <v>2087</v>
      </c>
      <c r="L39" s="426" t="s">
        <v>2095</v>
      </c>
      <c r="M39" s="428" t="s">
        <v>2094</v>
      </c>
      <c r="N39" s="428" t="s">
        <v>2087</v>
      </c>
      <c r="O39" s="428" t="s">
        <v>2095</v>
      </c>
      <c r="P39" s="423" t="s">
        <v>1715</v>
      </c>
      <c r="Q39" s="416">
        <v>1</v>
      </c>
      <c r="R39" s="432" t="s">
        <v>1716</v>
      </c>
    </row>
    <row r="40" s="416" customFormat="1" ht="50.1" customHeight="1" spans="1:18">
      <c r="A40" s="423"/>
      <c r="B40" s="423" t="s">
        <v>1719</v>
      </c>
      <c r="C40" s="434"/>
      <c r="D40" s="434"/>
      <c r="E40" s="437" t="s">
        <v>2069</v>
      </c>
      <c r="F40" s="437" t="s">
        <v>2082</v>
      </c>
      <c r="G40" s="436" t="s">
        <v>2071</v>
      </c>
      <c r="H40" s="436" t="s">
        <v>2024</v>
      </c>
      <c r="I40" s="436" t="s">
        <v>2083</v>
      </c>
      <c r="J40" s="426" t="s">
        <v>2084</v>
      </c>
      <c r="K40" s="426" t="s">
        <v>2087</v>
      </c>
      <c r="L40" s="426" t="s">
        <v>2096</v>
      </c>
      <c r="M40" s="428" t="s">
        <v>2084</v>
      </c>
      <c r="N40" s="428" t="s">
        <v>2087</v>
      </c>
      <c r="O40" s="428" t="s">
        <v>2096</v>
      </c>
      <c r="P40" s="423" t="s">
        <v>1719</v>
      </c>
      <c r="Q40" s="416">
        <v>1</v>
      </c>
      <c r="R40" s="432" t="s">
        <v>1720</v>
      </c>
    </row>
    <row r="41" s="416" customFormat="1" ht="50.1" customHeight="1" spans="1:18">
      <c r="A41" s="423"/>
      <c r="B41" s="423" t="s">
        <v>1723</v>
      </c>
      <c r="C41" s="434"/>
      <c r="D41" s="434"/>
      <c r="E41" s="437" t="s">
        <v>2069</v>
      </c>
      <c r="F41" s="437" t="s">
        <v>2082</v>
      </c>
      <c r="G41" s="436" t="s">
        <v>2071</v>
      </c>
      <c r="H41" s="436" t="s">
        <v>2024</v>
      </c>
      <c r="I41" s="436" t="s">
        <v>2083</v>
      </c>
      <c r="J41" s="426" t="s">
        <v>2084</v>
      </c>
      <c r="K41" s="426" t="s">
        <v>2091</v>
      </c>
      <c r="L41" s="426" t="s">
        <v>2097</v>
      </c>
      <c r="M41" s="428" t="s">
        <v>2084</v>
      </c>
      <c r="N41" s="428" t="s">
        <v>2091</v>
      </c>
      <c r="O41" s="428" t="s">
        <v>2097</v>
      </c>
      <c r="P41" s="423" t="s">
        <v>1723</v>
      </c>
      <c r="Q41" s="416">
        <v>1</v>
      </c>
      <c r="R41" s="432" t="s">
        <v>1583</v>
      </c>
    </row>
    <row r="42" s="416" customFormat="1" ht="50.1" customHeight="1" spans="1:18">
      <c r="A42" s="423"/>
      <c r="B42" s="423"/>
      <c r="C42" s="434"/>
      <c r="D42" s="434"/>
      <c r="E42" s="437"/>
      <c r="F42" s="437"/>
      <c r="G42" s="436"/>
      <c r="H42" s="436"/>
      <c r="I42" s="436"/>
      <c r="J42" s="426"/>
      <c r="K42" s="426"/>
      <c r="L42" s="426"/>
      <c r="M42" s="428"/>
      <c r="N42" s="428"/>
      <c r="O42" s="428"/>
      <c r="P42" s="423"/>
      <c r="R42" s="432"/>
    </row>
    <row r="43" s="416" customFormat="1" ht="50.1" customHeight="1" spans="1:18">
      <c r="A43" s="423"/>
      <c r="B43" s="423"/>
      <c r="C43" s="434"/>
      <c r="D43" s="434"/>
      <c r="E43" s="437"/>
      <c r="F43" s="437"/>
      <c r="G43" s="436"/>
      <c r="H43" s="436"/>
      <c r="I43" s="436"/>
      <c r="J43" s="426"/>
      <c r="K43" s="426"/>
      <c r="L43" s="426"/>
      <c r="M43" s="428"/>
      <c r="N43" s="428"/>
      <c r="O43" s="428"/>
      <c r="P43" s="423"/>
      <c r="R43" s="432"/>
    </row>
    <row r="44" s="416" customFormat="1" ht="50.1" customHeight="1" spans="1:18">
      <c r="A44" s="423"/>
      <c r="B44" s="423"/>
      <c r="C44" s="434"/>
      <c r="D44" s="434"/>
      <c r="E44" s="437"/>
      <c r="F44" s="437"/>
      <c r="G44" s="436"/>
      <c r="H44" s="436"/>
      <c r="I44" s="436"/>
      <c r="J44" s="426"/>
      <c r="K44" s="426"/>
      <c r="L44" s="426"/>
      <c r="M44" s="428"/>
      <c r="N44" s="428"/>
      <c r="O44" s="428"/>
      <c r="P44" s="423"/>
      <c r="R44" s="432"/>
    </row>
    <row r="45" s="416" customFormat="1" ht="50.1" customHeight="1" spans="1:18">
      <c r="A45" s="423"/>
      <c r="B45" s="423"/>
      <c r="C45" s="434"/>
      <c r="D45" s="434"/>
      <c r="E45" s="437"/>
      <c r="F45" s="437"/>
      <c r="G45" s="436"/>
      <c r="H45" s="436"/>
      <c r="I45" s="436"/>
      <c r="J45" s="426"/>
      <c r="K45" s="426"/>
      <c r="L45" s="426"/>
      <c r="M45" s="428"/>
      <c r="N45" s="428"/>
      <c r="O45" s="428"/>
      <c r="P45" s="423"/>
      <c r="R45" s="432"/>
    </row>
    <row r="46" s="416" customFormat="1" ht="50.1" customHeight="1" spans="1:18">
      <c r="A46" s="423"/>
      <c r="B46" s="423"/>
      <c r="C46" s="434"/>
      <c r="D46" s="434"/>
      <c r="E46" s="437"/>
      <c r="F46" s="437"/>
      <c r="G46" s="436"/>
      <c r="H46" s="436"/>
      <c r="I46" s="436"/>
      <c r="J46" s="426"/>
      <c r="K46" s="426"/>
      <c r="L46" s="426"/>
      <c r="M46" s="428"/>
      <c r="N46" s="428"/>
      <c r="O46" s="428"/>
      <c r="P46" s="423"/>
      <c r="R46" s="432"/>
    </row>
    <row r="47" s="416" customFormat="1" ht="50.1" customHeight="1" spans="1:18">
      <c r="A47" s="423"/>
      <c r="B47" s="423"/>
      <c r="C47" s="434"/>
      <c r="D47" s="434"/>
      <c r="E47" s="437"/>
      <c r="F47" s="437"/>
      <c r="G47" s="436"/>
      <c r="H47" s="436"/>
      <c r="I47" s="436"/>
      <c r="J47" s="426"/>
      <c r="K47" s="426"/>
      <c r="L47" s="426"/>
      <c r="M47" s="428"/>
      <c r="N47" s="428"/>
      <c r="O47" s="428"/>
      <c r="P47" s="423"/>
      <c r="R47" s="432"/>
    </row>
    <row r="48" s="416" customFormat="1" ht="50.1" customHeight="1" spans="1:18">
      <c r="A48" s="423"/>
      <c r="B48" s="423"/>
      <c r="C48" s="434"/>
      <c r="D48" s="434"/>
      <c r="E48" s="437"/>
      <c r="F48" s="437"/>
      <c r="G48" s="436"/>
      <c r="H48" s="436"/>
      <c r="I48" s="436"/>
      <c r="J48" s="426"/>
      <c r="K48" s="426"/>
      <c r="L48" s="426"/>
      <c r="M48" s="428"/>
      <c r="N48" s="428"/>
      <c r="O48" s="428"/>
      <c r="P48" s="423"/>
      <c r="R48" s="432"/>
    </row>
    <row r="49" s="416" customFormat="1" ht="50.1" customHeight="1" spans="1:18">
      <c r="A49" s="423"/>
      <c r="B49" s="423"/>
      <c r="C49" s="434"/>
      <c r="D49" s="434"/>
      <c r="E49" s="437"/>
      <c r="F49" s="437"/>
      <c r="G49" s="436"/>
      <c r="H49" s="436"/>
      <c r="I49" s="436"/>
      <c r="J49" s="426"/>
      <c r="K49" s="426"/>
      <c r="L49" s="426"/>
      <c r="M49" s="428"/>
      <c r="N49" s="428"/>
      <c r="O49" s="428"/>
      <c r="P49" s="423"/>
      <c r="R49" s="432"/>
    </row>
    <row r="50" s="416" customFormat="1" ht="24.95" customHeight="1" spans="1:18">
      <c r="C50" s="418"/>
      <c r="D50" s="418"/>
      <c r="E50" s="419"/>
      <c r="F50" s="419"/>
      <c r="G50" s="420"/>
      <c r="H50" s="420"/>
      <c r="I50" s="420"/>
      <c r="J50" s="421"/>
      <c r="K50" s="421"/>
      <c r="L50" s="421"/>
      <c r="M50" s="422"/>
      <c r="N50" s="422"/>
      <c r="O50" s="422"/>
    </row>
    <row r="51" s="416" customFormat="1" ht="24.95" customHeight="1" spans="1:18">
      <c r="C51" s="418"/>
      <c r="D51" s="418"/>
      <c r="E51" s="419"/>
      <c r="F51" s="419"/>
      <c r="G51" s="420"/>
      <c r="H51" s="420"/>
      <c r="I51" s="420"/>
      <c r="J51" s="421"/>
      <c r="K51" s="421"/>
      <c r="L51" s="421"/>
      <c r="M51" s="422"/>
      <c r="N51" s="422"/>
      <c r="O51" s="422"/>
    </row>
    <row r="52" s="416" customFormat="1" ht="24.95" customHeight="1" spans="1:18">
      <c r="C52" s="418"/>
      <c r="D52" s="418"/>
      <c r="E52" s="419"/>
      <c r="F52" s="419"/>
      <c r="G52" s="420"/>
      <c r="H52" s="420"/>
      <c r="I52" s="420"/>
      <c r="J52" s="421"/>
      <c r="K52" s="421"/>
      <c r="L52" s="421"/>
      <c r="M52" s="422"/>
      <c r="N52" s="422"/>
      <c r="O52" s="422"/>
    </row>
    <row r="53" s="416" customFormat="1" ht="24.95" customHeight="1" spans="1:18">
      <c r="C53" s="418"/>
      <c r="D53" s="418"/>
      <c r="E53" s="419"/>
      <c r="F53" s="419"/>
      <c r="G53" s="420"/>
      <c r="H53" s="420"/>
      <c r="I53" s="420"/>
      <c r="J53" s="421"/>
      <c r="K53" s="421"/>
      <c r="L53" s="421"/>
      <c r="M53" s="422"/>
      <c r="N53" s="422"/>
      <c r="O53" s="422"/>
    </row>
    <row r="54" s="416" customFormat="1" ht="24.95" customHeight="1" spans="1:18">
      <c r="C54" s="418"/>
      <c r="D54" s="418"/>
      <c r="E54" s="419"/>
      <c r="F54" s="419"/>
      <c r="G54" s="420"/>
      <c r="H54" s="420"/>
      <c r="I54" s="420"/>
      <c r="J54" s="421"/>
      <c r="K54" s="421"/>
      <c r="L54" s="421"/>
      <c r="M54" s="422"/>
      <c r="N54" s="422"/>
      <c r="O54" s="422"/>
    </row>
    <row r="55" s="416" customFormat="1" ht="24.95" customHeight="1" spans="1:18">
      <c r="C55" s="418"/>
      <c r="D55" s="418"/>
      <c r="E55" s="419"/>
      <c r="F55" s="419"/>
      <c r="G55" s="420"/>
      <c r="H55" s="420"/>
      <c r="I55" s="420"/>
      <c r="J55" s="421"/>
      <c r="K55" s="421"/>
      <c r="L55" s="421"/>
      <c r="M55" s="422"/>
      <c r="N55" s="422"/>
      <c r="O55" s="422"/>
    </row>
    <row r="56" s="416" customFormat="1" ht="24.95" customHeight="1" spans="1:18">
      <c r="C56" s="418"/>
      <c r="D56" s="418"/>
      <c r="E56" s="419"/>
      <c r="F56" s="419"/>
      <c r="G56" s="420"/>
      <c r="H56" s="420"/>
      <c r="I56" s="420"/>
      <c r="J56" s="421"/>
      <c r="K56" s="421"/>
      <c r="L56" s="421"/>
      <c r="M56" s="422"/>
      <c r="N56" s="422"/>
      <c r="O56" s="422"/>
    </row>
    <row r="57" s="416" customFormat="1" ht="24.95" customHeight="1" spans="1:18">
      <c r="C57" s="418"/>
      <c r="D57" s="418"/>
      <c r="E57" s="419"/>
      <c r="F57" s="419"/>
      <c r="G57" s="420"/>
      <c r="H57" s="420"/>
      <c r="I57" s="420"/>
      <c r="J57" s="421"/>
      <c r="K57" s="421"/>
      <c r="L57" s="421"/>
      <c r="M57" s="422"/>
      <c r="N57" s="422"/>
      <c r="O57" s="422"/>
    </row>
    <row r="58" s="416" customFormat="1" ht="24.95" customHeight="1" spans="1:18">
      <c r="C58" s="418"/>
      <c r="D58" s="418"/>
      <c r="E58" s="419"/>
      <c r="F58" s="419"/>
      <c r="G58" s="420"/>
      <c r="H58" s="420"/>
      <c r="I58" s="420"/>
      <c r="J58" s="421"/>
      <c r="K58" s="421"/>
      <c r="L58" s="421"/>
      <c r="M58" s="422"/>
      <c r="N58" s="422"/>
      <c r="O58" s="422"/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8"/>
  <sheetViews>
    <sheetView zoomScale="85" zoomScaleNormal="85" topLeftCell="H14" workbookViewId="0">
      <selection activeCell="AD13" sqref="AD13"/>
    </sheetView>
  </sheetViews>
  <sheetFormatPr defaultColWidth="9" defaultRowHeight="13.5"/>
  <cols>
    <col min="1" max="1" width="4.5" style="41" customWidth="1"/>
    <col min="2" max="2" width="12.625" style="41" customWidth="1"/>
    <col min="3" max="6" width="25.625" customWidth="1"/>
    <col min="7" max="7" width="5.625" customWidth="1"/>
    <col min="8" max="8" width="5.625" style="41" customWidth="1"/>
    <col min="9" max="9" width="9.625" style="41" customWidth="1"/>
    <col min="10" max="11" width="30.625" style="41" customWidth="1"/>
    <col min="12" max="12" width="5.875" style="41" customWidth="1"/>
    <col min="13" max="14" width="12.625" style="41" customWidth="1"/>
    <col min="15" max="15" width="50.625" style="351" customWidth="1"/>
    <col min="17" max="17" width="6.625" customWidth="1"/>
    <col min="18" max="18" width="9.625" customWidth="1"/>
    <col min="19" max="19" width="24.625" customWidth="1"/>
    <col min="20" max="23" width="9.625" style="41" customWidth="1"/>
    <col min="24" max="24" width="35.625" customWidth="1"/>
    <col min="25" max="26" width="9.625" style="41" customWidth="1"/>
    <col min="27" max="27" width="9.625" customWidth="1"/>
    <col min="28" max="29" width="9.625" style="41" customWidth="1"/>
    <col min="30" max="30" width="36.625" customWidth="1"/>
    <col min="31" max="32" width="9.625" style="41" customWidth="1"/>
  </cols>
  <sheetData>
    <row r="1" ht="27" customHeight="1"/>
    <row r="2" ht="24" customHeight="1" spans="2:32">
      <c r="B2" s="178" t="s">
        <v>2140</v>
      </c>
      <c r="C2" s="178" t="s">
        <v>2141</v>
      </c>
      <c r="D2" s="178" t="s">
        <v>2142</v>
      </c>
      <c r="E2" s="178" t="s">
        <v>2143</v>
      </c>
      <c r="F2" s="178" t="s">
        <v>2144</v>
      </c>
      <c r="J2" s="178" t="s">
        <v>2145</v>
      </c>
      <c r="K2" s="178"/>
      <c r="L2" s="178"/>
      <c r="M2" s="178" t="s">
        <v>2146</v>
      </c>
      <c r="N2" s="178" t="s">
        <v>2140</v>
      </c>
      <c r="O2" s="352" t="s">
        <v>2147</v>
      </c>
      <c r="Q2" s="353" t="s">
        <v>2148</v>
      </c>
      <c r="R2" s="354" t="s">
        <v>2149</v>
      </c>
      <c r="S2" s="354" t="s">
        <v>2150</v>
      </c>
      <c r="T2" s="354" t="s">
        <v>2151</v>
      </c>
      <c r="U2" s="355" t="s">
        <v>2152</v>
      </c>
      <c r="V2" s="354" t="s">
        <v>2153</v>
      </c>
      <c r="W2" s="355" t="s">
        <v>2154</v>
      </c>
      <c r="X2" s="353" t="s">
        <v>2155</v>
      </c>
      <c r="Y2" s="354" t="s">
        <v>2153</v>
      </c>
      <c r="Z2" s="355" t="s">
        <v>2154</v>
      </c>
      <c r="AA2" s="353" t="s">
        <v>2156</v>
      </c>
      <c r="AB2" s="354" t="s">
        <v>2153</v>
      </c>
      <c r="AC2" s="355" t="s">
        <v>2154</v>
      </c>
      <c r="AD2" s="353" t="s">
        <v>2157</v>
      </c>
      <c r="AE2" s="354" t="s">
        <v>2153</v>
      </c>
      <c r="AF2" s="355" t="s">
        <v>2154</v>
      </c>
    </row>
    <row r="3" ht="39.95" customHeight="1" spans="2:32">
      <c r="B3" s="356" t="s">
        <v>144</v>
      </c>
      <c r="C3" s="357" t="s">
        <v>2158</v>
      </c>
      <c r="D3" s="358"/>
      <c r="E3" s="358"/>
      <c r="F3" s="358"/>
      <c r="I3" s="41" t="s">
        <v>2159</v>
      </c>
      <c r="J3" s="41" t="s">
        <v>2160</v>
      </c>
      <c r="K3" s="41" t="s">
        <v>2161</v>
      </c>
      <c r="M3" s="356">
        <v>10</v>
      </c>
      <c r="N3" s="356" t="s">
        <v>144</v>
      </c>
      <c r="O3" s="359" t="s">
        <v>2158</v>
      </c>
      <c r="Q3" s="360" t="s">
        <v>2162</v>
      </c>
      <c r="R3" s="361" t="s">
        <v>2163</v>
      </c>
      <c r="S3" s="362" t="s">
        <v>2164</v>
      </c>
      <c r="T3" s="361">
        <v>10</v>
      </c>
      <c r="U3" s="363">
        <v>317700</v>
      </c>
      <c r="V3" s="364">
        <f>ROUNDUP(U3/500,0)</f>
        <v>636</v>
      </c>
      <c r="W3" s="364">
        <f>ROUNDUP(U3/100,0)</f>
        <v>3177</v>
      </c>
      <c r="X3" s="365" t="s">
        <v>2165</v>
      </c>
      <c r="Y3" s="364">
        <v>636</v>
      </c>
      <c r="Z3" s="363">
        <v>3178</v>
      </c>
      <c r="AA3" s="366">
        <v>318</v>
      </c>
      <c r="AB3" s="364">
        <v>636</v>
      </c>
      <c r="AC3" s="367">
        <v>3180</v>
      </c>
      <c r="AD3" s="365" t="s">
        <v>2163</v>
      </c>
      <c r="AE3" s="364" t="s">
        <v>2163</v>
      </c>
      <c r="AF3" s="367" t="s">
        <v>2163</v>
      </c>
    </row>
    <row r="4" ht="39.95" customHeight="1" spans="2:32">
      <c r="B4" s="368" t="s">
        <v>172</v>
      </c>
      <c r="C4" s="369" t="s">
        <v>2166</v>
      </c>
      <c r="D4" s="369" t="s">
        <v>2167</v>
      </c>
      <c r="E4" s="358"/>
      <c r="F4" s="358"/>
      <c r="H4" s="178" t="s">
        <v>2168</v>
      </c>
      <c r="I4" s="178" t="s">
        <v>2169</v>
      </c>
      <c r="J4" s="370" t="s">
        <v>2170</v>
      </c>
      <c r="K4" s="371" t="s">
        <v>2171</v>
      </c>
      <c r="L4" s="143"/>
      <c r="M4" s="368">
        <v>15</v>
      </c>
      <c r="N4" s="368" t="s">
        <v>172</v>
      </c>
      <c r="O4" s="372" t="s">
        <v>2167</v>
      </c>
      <c r="Q4" s="373" t="s">
        <v>944</v>
      </c>
      <c r="R4" s="374" t="s">
        <v>2163</v>
      </c>
      <c r="S4" s="375" t="s">
        <v>2172</v>
      </c>
      <c r="T4" s="374">
        <v>15</v>
      </c>
      <c r="U4" s="376">
        <v>551000</v>
      </c>
      <c r="V4" s="377">
        <f t="shared" ref="V4:V9" si="0">ROUNDUP(U4/500,0)</f>
        <v>1102</v>
      </c>
      <c r="W4" s="377">
        <f t="shared" ref="W4:W9" si="1">ROUNDUP(U4/100,0)</f>
        <v>5510</v>
      </c>
      <c r="X4" s="378" t="s">
        <v>2173</v>
      </c>
      <c r="Y4" s="377">
        <v>1103</v>
      </c>
      <c r="Z4" s="376">
        <v>5511</v>
      </c>
      <c r="AA4" s="379">
        <v>46</v>
      </c>
      <c r="AB4" s="377">
        <v>1104</v>
      </c>
      <c r="AC4" s="380">
        <v>5520</v>
      </c>
      <c r="AD4" s="378" t="s">
        <v>2163</v>
      </c>
      <c r="AE4" s="377" t="s">
        <v>2163</v>
      </c>
      <c r="AF4" s="380" t="s">
        <v>2163</v>
      </c>
    </row>
    <row r="5" ht="39.95" customHeight="1" spans="2:32">
      <c r="B5" s="368" t="s">
        <v>2174</v>
      </c>
      <c r="C5" s="369" t="s">
        <v>2175</v>
      </c>
      <c r="D5" s="369" t="s">
        <v>2176</v>
      </c>
      <c r="E5" s="358"/>
      <c r="F5" s="358"/>
      <c r="H5" s="178" t="s">
        <v>2177</v>
      </c>
      <c r="I5" s="178" t="s">
        <v>2178</v>
      </c>
      <c r="J5" s="371" t="s">
        <v>2179</v>
      </c>
      <c r="K5" s="371" t="s">
        <v>2180</v>
      </c>
      <c r="L5" s="143"/>
      <c r="M5" s="368">
        <v>15</v>
      </c>
      <c r="N5" s="368" t="s">
        <v>2174</v>
      </c>
      <c r="O5" s="372" t="s">
        <v>2176</v>
      </c>
      <c r="Q5" s="381" t="s">
        <v>2181</v>
      </c>
      <c r="R5" s="382" t="s">
        <v>2163</v>
      </c>
      <c r="S5" s="383" t="s">
        <v>2182</v>
      </c>
      <c r="T5" s="382">
        <v>15</v>
      </c>
      <c r="U5" s="384">
        <v>551000</v>
      </c>
      <c r="V5" s="385">
        <f t="shared" si="0"/>
        <v>1102</v>
      </c>
      <c r="W5" s="385">
        <f t="shared" si="1"/>
        <v>5510</v>
      </c>
      <c r="X5" s="386" t="s">
        <v>2183</v>
      </c>
      <c r="Y5" s="385">
        <v>1103</v>
      </c>
      <c r="Z5" s="384">
        <v>5511</v>
      </c>
      <c r="AA5" s="387">
        <v>12</v>
      </c>
      <c r="AB5" s="385">
        <v>1152</v>
      </c>
      <c r="AC5" s="388">
        <v>5760</v>
      </c>
      <c r="AD5" s="389" t="s">
        <v>2184</v>
      </c>
      <c r="AE5" s="385">
        <v>1105</v>
      </c>
      <c r="AF5" s="388">
        <v>5528</v>
      </c>
    </row>
    <row r="6" ht="39.95" customHeight="1" spans="2:32">
      <c r="B6" s="368" t="s">
        <v>2185</v>
      </c>
      <c r="C6" s="369" t="s">
        <v>2186</v>
      </c>
      <c r="D6" s="369" t="s">
        <v>2187</v>
      </c>
      <c r="E6" s="358"/>
      <c r="F6" s="358"/>
      <c r="H6" s="178" t="s">
        <v>2188</v>
      </c>
      <c r="I6" s="178" t="s">
        <v>2189</v>
      </c>
      <c r="J6" s="371" t="s">
        <v>2190</v>
      </c>
      <c r="K6" s="371" t="s">
        <v>2191</v>
      </c>
      <c r="L6" s="143"/>
      <c r="M6" s="368">
        <v>15</v>
      </c>
      <c r="N6" s="368" t="s">
        <v>2185</v>
      </c>
      <c r="O6" s="372" t="s">
        <v>2187</v>
      </c>
      <c r="Q6" s="381" t="s">
        <v>2192</v>
      </c>
      <c r="R6" s="382">
        <v>600</v>
      </c>
      <c r="S6" s="383" t="s">
        <v>2193</v>
      </c>
      <c r="T6" s="382">
        <v>20</v>
      </c>
      <c r="U6" s="384">
        <v>834000</v>
      </c>
      <c r="V6" s="385">
        <f t="shared" si="0"/>
        <v>1668</v>
      </c>
      <c r="W6" s="385">
        <f t="shared" si="1"/>
        <v>8340</v>
      </c>
      <c r="X6" s="386" t="s">
        <v>2194</v>
      </c>
      <c r="Y6" s="385">
        <v>1670</v>
      </c>
      <c r="Z6" s="384">
        <v>8346</v>
      </c>
      <c r="AA6" s="387">
        <v>18</v>
      </c>
      <c r="AB6" s="385">
        <v>1728</v>
      </c>
      <c r="AC6" s="388">
        <v>8640</v>
      </c>
      <c r="AD6" s="389" t="s">
        <v>2195</v>
      </c>
      <c r="AE6" s="385">
        <v>1669</v>
      </c>
      <c r="AF6" s="388">
        <v>8342</v>
      </c>
    </row>
    <row r="7" ht="39.95" customHeight="1" spans="2:32">
      <c r="B7" s="390" t="s">
        <v>2196</v>
      </c>
      <c r="C7" s="391" t="s">
        <v>2197</v>
      </c>
      <c r="D7" s="391" t="s">
        <v>2198</v>
      </c>
      <c r="E7" s="358"/>
      <c r="F7" s="358"/>
      <c r="H7" s="178" t="s">
        <v>2199</v>
      </c>
      <c r="I7" s="178" t="s">
        <v>2200</v>
      </c>
      <c r="J7" s="371" t="s">
        <v>2201</v>
      </c>
      <c r="K7" s="371" t="s">
        <v>2202</v>
      </c>
      <c r="L7" s="143"/>
      <c r="M7" s="390">
        <v>15</v>
      </c>
      <c r="N7" s="390" t="s">
        <v>2196</v>
      </c>
      <c r="O7" s="392" t="s">
        <v>2198</v>
      </c>
      <c r="Q7" s="381" t="s">
        <v>2203</v>
      </c>
      <c r="R7" s="382">
        <v>800</v>
      </c>
      <c r="S7" s="383" t="s">
        <v>2204</v>
      </c>
      <c r="T7" s="382">
        <v>20</v>
      </c>
      <c r="U7" s="384">
        <v>834000</v>
      </c>
      <c r="V7" s="385">
        <f t="shared" si="0"/>
        <v>1668</v>
      </c>
      <c r="W7" s="385">
        <f t="shared" si="1"/>
        <v>8340</v>
      </c>
      <c r="X7" s="386" t="s">
        <v>2194</v>
      </c>
      <c r="Y7" s="385">
        <v>1670</v>
      </c>
      <c r="Z7" s="384">
        <v>8346</v>
      </c>
      <c r="AA7" s="387">
        <v>18</v>
      </c>
      <c r="AB7" s="385">
        <v>1728</v>
      </c>
      <c r="AC7" s="388">
        <v>8640</v>
      </c>
      <c r="AD7" s="389" t="s">
        <v>2195</v>
      </c>
      <c r="AE7" s="385">
        <v>1669</v>
      </c>
      <c r="AF7" s="388">
        <v>8342</v>
      </c>
    </row>
    <row r="8" ht="39.95" customHeight="1" spans="2:32">
      <c r="B8" s="390" t="s">
        <v>2205</v>
      </c>
      <c r="C8" s="391" t="s">
        <v>2206</v>
      </c>
      <c r="D8" s="391" t="s">
        <v>2207</v>
      </c>
      <c r="E8" s="391" t="s">
        <v>2208</v>
      </c>
      <c r="F8" s="358"/>
      <c r="H8" s="178" t="s">
        <v>2209</v>
      </c>
      <c r="I8" s="178" t="s">
        <v>2210</v>
      </c>
      <c r="J8" s="371" t="s">
        <v>2211</v>
      </c>
      <c r="K8" s="371" t="s">
        <v>2212</v>
      </c>
      <c r="L8" s="143"/>
      <c r="M8" s="390">
        <v>20</v>
      </c>
      <c r="N8" s="390" t="s">
        <v>2205</v>
      </c>
      <c r="O8" s="392" t="s">
        <v>2208</v>
      </c>
      <c r="Q8" s="381" t="s">
        <v>2213</v>
      </c>
      <c r="R8" s="382">
        <v>1000</v>
      </c>
      <c r="S8" s="393" t="s">
        <v>2214</v>
      </c>
      <c r="T8" s="382">
        <v>20</v>
      </c>
      <c r="U8" s="384">
        <v>834000</v>
      </c>
      <c r="V8" s="385">
        <f t="shared" si="0"/>
        <v>1668</v>
      </c>
      <c r="W8" s="385">
        <f t="shared" si="1"/>
        <v>8340</v>
      </c>
      <c r="X8" s="386" t="s">
        <v>2194</v>
      </c>
      <c r="Y8" s="385">
        <v>1670</v>
      </c>
      <c r="Z8" s="384">
        <v>8346</v>
      </c>
      <c r="AA8" s="387">
        <v>18</v>
      </c>
      <c r="AB8" s="385">
        <v>1728</v>
      </c>
      <c r="AC8" s="388">
        <v>8640</v>
      </c>
      <c r="AD8" s="389" t="s">
        <v>2195</v>
      </c>
      <c r="AE8" s="385">
        <v>1669</v>
      </c>
      <c r="AF8" s="388">
        <v>8342</v>
      </c>
    </row>
    <row r="9" ht="39.95" customHeight="1" spans="2:32">
      <c r="B9" s="390" t="s">
        <v>2215</v>
      </c>
      <c r="C9" s="391" t="s">
        <v>2216</v>
      </c>
      <c r="D9" s="391" t="s">
        <v>2217</v>
      </c>
      <c r="E9" s="391" t="s">
        <v>2218</v>
      </c>
      <c r="F9" s="358"/>
      <c r="M9" s="390">
        <v>20</v>
      </c>
      <c r="N9" s="390" t="s">
        <v>2215</v>
      </c>
      <c r="O9" s="392" t="s">
        <v>2218</v>
      </c>
      <c r="Q9" s="394" t="s">
        <v>2219</v>
      </c>
      <c r="R9" s="395" t="s">
        <v>2163</v>
      </c>
      <c r="S9" s="396" t="s">
        <v>2220</v>
      </c>
      <c r="T9" s="395">
        <v>25</v>
      </c>
      <c r="U9" s="397">
        <v>1136800</v>
      </c>
      <c r="V9" s="385">
        <f t="shared" si="0"/>
        <v>2274</v>
      </c>
      <c r="W9" s="385">
        <f t="shared" si="1"/>
        <v>11368</v>
      </c>
      <c r="X9" s="398" t="s">
        <v>2221</v>
      </c>
      <c r="Y9" s="399">
        <v>2274</v>
      </c>
      <c r="Z9" s="397">
        <v>11371</v>
      </c>
      <c r="AA9" s="400">
        <v>24</v>
      </c>
      <c r="AB9" s="399">
        <v>2304</v>
      </c>
      <c r="AC9" s="401">
        <v>11520</v>
      </c>
      <c r="AD9" s="402" t="s">
        <v>2222</v>
      </c>
      <c r="AE9" s="399">
        <v>2276</v>
      </c>
      <c r="AF9" s="401">
        <v>11382</v>
      </c>
    </row>
    <row r="10" ht="39.95" customHeight="1" spans="2:32">
      <c r="B10" s="390" t="s">
        <v>2223</v>
      </c>
      <c r="C10" s="391" t="s">
        <v>2224</v>
      </c>
      <c r="D10" s="391" t="s">
        <v>2225</v>
      </c>
      <c r="E10" s="391" t="s">
        <v>2226</v>
      </c>
      <c r="F10" s="358"/>
      <c r="M10" s="390">
        <v>20</v>
      </c>
      <c r="N10" s="390" t="s">
        <v>2223</v>
      </c>
      <c r="O10" s="392" t="s">
        <v>2226</v>
      </c>
      <c r="V10" s="403" t="s">
        <v>2227</v>
      </c>
      <c r="W10" s="403"/>
    </row>
    <row r="11" ht="39.95" customHeight="1" spans="2:32">
      <c r="B11" s="390" t="s">
        <v>730</v>
      </c>
      <c r="C11" s="391" t="s">
        <v>2228</v>
      </c>
      <c r="D11" s="391" t="s">
        <v>2229</v>
      </c>
      <c r="E11" s="391" t="s">
        <v>2230</v>
      </c>
      <c r="F11" s="358"/>
      <c r="M11" s="390">
        <v>20</v>
      </c>
      <c r="N11" s="390" t="s">
        <v>730</v>
      </c>
      <c r="O11" s="392" t="s">
        <v>2230</v>
      </c>
    </row>
    <row r="12" ht="39.95" customHeight="1" spans="2:32">
      <c r="B12" s="390" t="s">
        <v>2231</v>
      </c>
      <c r="C12" s="391" t="s">
        <v>2232</v>
      </c>
      <c r="D12" s="391" t="s">
        <v>2233</v>
      </c>
      <c r="E12" s="391" t="s">
        <v>2234</v>
      </c>
      <c r="F12" s="358"/>
      <c r="M12" s="390">
        <v>20</v>
      </c>
      <c r="N12" s="390" t="s">
        <v>2231</v>
      </c>
      <c r="O12" s="392" t="s">
        <v>2234</v>
      </c>
    </row>
    <row r="13" ht="39.95" customHeight="1" spans="2:32">
      <c r="B13" s="390" t="s">
        <v>2235</v>
      </c>
      <c r="C13" s="391" t="s">
        <v>2236</v>
      </c>
      <c r="D13" s="391" t="s">
        <v>2237</v>
      </c>
      <c r="E13" s="391" t="s">
        <v>2238</v>
      </c>
      <c r="F13" s="358"/>
      <c r="M13" s="390">
        <v>20</v>
      </c>
      <c r="N13" s="390" t="s">
        <v>2235</v>
      </c>
      <c r="O13" s="392" t="s">
        <v>2238</v>
      </c>
    </row>
    <row r="14" ht="39.95" customHeight="1" spans="2:32">
      <c r="B14" s="390" t="s">
        <v>2239</v>
      </c>
      <c r="C14" s="391" t="s">
        <v>2240</v>
      </c>
      <c r="D14" s="391" t="s">
        <v>2241</v>
      </c>
      <c r="E14" s="391" t="s">
        <v>2242</v>
      </c>
      <c r="F14" s="391" t="s">
        <v>2243</v>
      </c>
      <c r="M14" s="390">
        <v>25</v>
      </c>
      <c r="N14" s="390" t="s">
        <v>2239</v>
      </c>
      <c r="O14" s="392" t="s">
        <v>2243</v>
      </c>
    </row>
    <row r="15" ht="39.95" customHeight="1" spans="2:32">
      <c r="B15" s="390" t="s">
        <v>2244</v>
      </c>
      <c r="C15" s="391" t="s">
        <v>2245</v>
      </c>
      <c r="D15" s="391" t="s">
        <v>2246</v>
      </c>
      <c r="E15" s="391" t="s">
        <v>2247</v>
      </c>
      <c r="F15" s="391" t="s">
        <v>2248</v>
      </c>
      <c r="M15" s="390">
        <v>25</v>
      </c>
      <c r="N15" s="390" t="s">
        <v>2244</v>
      </c>
      <c r="O15" s="392" t="s">
        <v>2248</v>
      </c>
    </row>
    <row r="16" ht="39.95" customHeight="1" spans="2:32">
      <c r="B16" s="390" t="s">
        <v>2249</v>
      </c>
      <c r="C16" s="391" t="s">
        <v>2250</v>
      </c>
      <c r="D16" s="391" t="s">
        <v>2251</v>
      </c>
      <c r="E16" s="391" t="s">
        <v>2252</v>
      </c>
      <c r="F16" s="391" t="s">
        <v>2253</v>
      </c>
      <c r="M16" s="390">
        <v>25</v>
      </c>
      <c r="N16" s="390" t="s">
        <v>2249</v>
      </c>
      <c r="O16" s="392" t="s">
        <v>2253</v>
      </c>
    </row>
    <row r="17" ht="20.1" customHeight="1" spans="2:15">
      <c r="B17"/>
      <c r="C17" s="351"/>
      <c r="D17" s="351"/>
      <c r="E17" s="351"/>
      <c r="F17" s="351"/>
      <c r="M17"/>
      <c r="N17"/>
    </row>
    <row r="18" ht="20.1" customHeight="1" spans="2:15">
      <c r="C18" s="351"/>
      <c r="D18" s="351"/>
      <c r="E18" s="351"/>
      <c r="F18" s="351"/>
    </row>
    <row r="19" s="41" customFormat="1" ht="24" customHeight="1" spans="2:15">
      <c r="B19" s="178" t="s">
        <v>2254</v>
      </c>
      <c r="C19" s="404" t="s">
        <v>2141</v>
      </c>
      <c r="D19" s="404" t="s">
        <v>2142</v>
      </c>
      <c r="E19" s="404" t="s">
        <v>2143</v>
      </c>
      <c r="F19" s="404" t="s">
        <v>2144</v>
      </c>
      <c r="J19" s="178" t="s">
        <v>46</v>
      </c>
      <c r="K19" s="178"/>
      <c r="L19" s="178"/>
      <c r="M19" s="178" t="s">
        <v>2146</v>
      </c>
      <c r="N19" s="178" t="s">
        <v>2254</v>
      </c>
      <c r="O19" s="352" t="s">
        <v>2147</v>
      </c>
    </row>
    <row r="20" ht="39.95" customHeight="1" spans="2:15">
      <c r="B20" s="356" t="s">
        <v>137</v>
      </c>
      <c r="C20" s="359" t="s">
        <v>2255</v>
      </c>
      <c r="D20" s="405"/>
      <c r="E20" s="405"/>
      <c r="F20" s="405"/>
      <c r="I20" s="41" t="s">
        <v>2159</v>
      </c>
      <c r="J20" s="41" t="s">
        <v>2160</v>
      </c>
      <c r="K20" s="41" t="s">
        <v>2161</v>
      </c>
      <c r="M20" s="356">
        <v>10</v>
      </c>
      <c r="N20" s="356" t="s">
        <v>137</v>
      </c>
      <c r="O20" s="359" t="s">
        <v>2255</v>
      </c>
    </row>
    <row r="21" ht="39.95" customHeight="1" spans="2:15">
      <c r="B21" s="356" t="s">
        <v>2256</v>
      </c>
      <c r="C21" s="359" t="s">
        <v>2257</v>
      </c>
      <c r="D21" s="405"/>
      <c r="E21" s="405"/>
      <c r="F21" s="405"/>
      <c r="H21" s="178" t="s">
        <v>2168</v>
      </c>
      <c r="I21" s="178" t="s">
        <v>2258</v>
      </c>
      <c r="J21" s="370" t="s">
        <v>2259</v>
      </c>
      <c r="K21" s="371" t="s">
        <v>2260</v>
      </c>
      <c r="L21" s="143"/>
      <c r="M21" s="356">
        <v>10</v>
      </c>
      <c r="N21" s="356" t="s">
        <v>2256</v>
      </c>
      <c r="O21" s="406" t="s">
        <v>2261</v>
      </c>
    </row>
    <row r="22" ht="39.95" customHeight="1" spans="2:15">
      <c r="B22" s="368" t="s">
        <v>2262</v>
      </c>
      <c r="C22" s="372" t="s">
        <v>2263</v>
      </c>
      <c r="D22" s="372" t="s">
        <v>2264</v>
      </c>
      <c r="E22" s="405"/>
      <c r="F22" s="405"/>
      <c r="H22" s="178" t="s">
        <v>2177</v>
      </c>
      <c r="I22" s="178" t="s">
        <v>2265</v>
      </c>
      <c r="J22" s="371" t="s">
        <v>2266</v>
      </c>
      <c r="K22" s="371" t="s">
        <v>2267</v>
      </c>
      <c r="L22" s="143"/>
      <c r="M22" s="368">
        <v>15</v>
      </c>
      <c r="N22" s="368" t="s">
        <v>2262</v>
      </c>
      <c r="O22" s="372" t="s">
        <v>2264</v>
      </c>
    </row>
    <row r="23" ht="39.95" customHeight="1" spans="2:15">
      <c r="B23" s="390" t="s">
        <v>2268</v>
      </c>
      <c r="C23" s="392" t="s">
        <v>2269</v>
      </c>
      <c r="D23" s="392" t="s">
        <v>2270</v>
      </c>
      <c r="E23" s="405"/>
      <c r="F23" s="405"/>
      <c r="H23" s="178" t="s">
        <v>2188</v>
      </c>
      <c r="I23" s="178" t="s">
        <v>2271</v>
      </c>
      <c r="J23" s="371" t="s">
        <v>2272</v>
      </c>
      <c r="K23" s="371" t="s">
        <v>2273</v>
      </c>
      <c r="L23" s="143"/>
      <c r="M23" s="390">
        <v>15</v>
      </c>
      <c r="N23" s="390" t="s">
        <v>2268</v>
      </c>
      <c r="O23" s="392" t="s">
        <v>2270</v>
      </c>
    </row>
    <row r="24" ht="39.95" customHeight="1" spans="2:15">
      <c r="B24" s="390" t="s">
        <v>2274</v>
      </c>
      <c r="C24" s="392" t="s">
        <v>2275</v>
      </c>
      <c r="D24" s="392" t="s">
        <v>2276</v>
      </c>
      <c r="E24" s="392" t="s">
        <v>2277</v>
      </c>
      <c r="F24" s="405"/>
      <c r="H24" s="178" t="s">
        <v>2199</v>
      </c>
      <c r="I24" s="178" t="s">
        <v>2278</v>
      </c>
      <c r="J24" s="371" t="s">
        <v>2279</v>
      </c>
      <c r="K24" s="371" t="s">
        <v>2280</v>
      </c>
      <c r="L24" s="143"/>
      <c r="M24" s="390">
        <v>20</v>
      </c>
      <c r="N24" s="390" t="s">
        <v>2274</v>
      </c>
      <c r="O24" s="392" t="s">
        <v>2277</v>
      </c>
    </row>
    <row r="25" ht="39.95" customHeight="1" spans="2:15">
      <c r="B25" s="390" t="s">
        <v>2281</v>
      </c>
      <c r="C25" s="392" t="s">
        <v>2282</v>
      </c>
      <c r="D25" s="392" t="s">
        <v>2283</v>
      </c>
      <c r="E25" s="392" t="s">
        <v>2284</v>
      </c>
      <c r="F25" s="405"/>
      <c r="H25" s="178" t="s">
        <v>2209</v>
      </c>
      <c r="I25" s="178" t="s">
        <v>2285</v>
      </c>
      <c r="J25" s="371" t="s">
        <v>2286</v>
      </c>
      <c r="K25" s="371" t="s">
        <v>2287</v>
      </c>
      <c r="L25" s="143"/>
      <c r="M25" s="390">
        <v>20</v>
      </c>
      <c r="N25" s="390" t="s">
        <v>2281</v>
      </c>
      <c r="O25" s="392" t="s">
        <v>2284</v>
      </c>
    </row>
    <row r="26" ht="39.95" customHeight="1" spans="2:15">
      <c r="B26" s="390" t="s">
        <v>2288</v>
      </c>
      <c r="C26" s="392" t="s">
        <v>2289</v>
      </c>
      <c r="D26" s="392" t="s">
        <v>2290</v>
      </c>
      <c r="E26" s="392" t="s">
        <v>2291</v>
      </c>
      <c r="F26" s="405"/>
      <c r="M26" s="390">
        <v>20</v>
      </c>
      <c r="N26" s="390" t="s">
        <v>2288</v>
      </c>
      <c r="O26" s="392" t="s">
        <v>2291</v>
      </c>
    </row>
    <row r="27" ht="39.95" customHeight="1" spans="2:15">
      <c r="B27" s="390" t="s">
        <v>2292</v>
      </c>
      <c r="C27" s="392" t="s">
        <v>2293</v>
      </c>
      <c r="D27" s="392" t="s">
        <v>2294</v>
      </c>
      <c r="E27" s="392" t="s">
        <v>2295</v>
      </c>
      <c r="F27" s="405"/>
      <c r="M27" s="390">
        <v>20</v>
      </c>
      <c r="N27" s="390" t="s">
        <v>2292</v>
      </c>
      <c r="O27" s="392" t="s">
        <v>2295</v>
      </c>
    </row>
    <row r="28" ht="39.95" customHeight="1" spans="2:15">
      <c r="B28" s="390" t="s">
        <v>2296</v>
      </c>
      <c r="C28" s="392" t="s">
        <v>2297</v>
      </c>
      <c r="D28" s="392" t="s">
        <v>2298</v>
      </c>
      <c r="E28" s="392" t="s">
        <v>2299</v>
      </c>
      <c r="F28" s="405"/>
      <c r="M28" s="390">
        <v>20</v>
      </c>
      <c r="N28" s="390" t="s">
        <v>2296</v>
      </c>
      <c r="O28" s="392" t="s">
        <v>2299</v>
      </c>
    </row>
    <row r="29" ht="39.95" customHeight="1" spans="2:15">
      <c r="B29" s="390" t="s">
        <v>2300</v>
      </c>
      <c r="C29" s="392" t="s">
        <v>2301</v>
      </c>
      <c r="D29" s="392" t="s">
        <v>2302</v>
      </c>
      <c r="E29" s="392" t="s">
        <v>2303</v>
      </c>
      <c r="F29" s="405"/>
      <c r="M29" s="390">
        <v>20</v>
      </c>
      <c r="N29" s="390" t="s">
        <v>2300</v>
      </c>
      <c r="O29" s="392" t="s">
        <v>2303</v>
      </c>
    </row>
    <row r="30" ht="39.95" customHeight="1" spans="2:15">
      <c r="B30" s="390" t="s">
        <v>2304</v>
      </c>
      <c r="C30" s="392" t="s">
        <v>2305</v>
      </c>
      <c r="D30" s="392" t="s">
        <v>2306</v>
      </c>
      <c r="E30" s="392" t="s">
        <v>2307</v>
      </c>
      <c r="F30" s="405"/>
      <c r="M30" s="390">
        <v>20</v>
      </c>
      <c r="N30" s="390" t="s">
        <v>2304</v>
      </c>
      <c r="O30" s="392" t="s">
        <v>2307</v>
      </c>
    </row>
    <row r="31" ht="39.95" customHeight="1" spans="2:15">
      <c r="B31" s="390" t="s">
        <v>2308</v>
      </c>
      <c r="C31" s="392" t="s">
        <v>2309</v>
      </c>
      <c r="D31" s="392" t="s">
        <v>2310</v>
      </c>
      <c r="E31" s="392" t="s">
        <v>2311</v>
      </c>
      <c r="F31" s="392" t="s">
        <v>2312</v>
      </c>
      <c r="M31" s="390">
        <v>25</v>
      </c>
      <c r="N31" s="390" t="s">
        <v>2308</v>
      </c>
      <c r="O31" s="392" t="s">
        <v>2312</v>
      </c>
    </row>
    <row r="32" ht="39.95" customHeight="1" spans="2:15">
      <c r="B32" s="390" t="s">
        <v>2313</v>
      </c>
      <c r="C32" s="392" t="s">
        <v>2314</v>
      </c>
      <c r="D32" s="392" t="s">
        <v>2315</v>
      </c>
      <c r="E32" s="392" t="s">
        <v>2316</v>
      </c>
      <c r="F32" s="392" t="s">
        <v>2317</v>
      </c>
      <c r="M32" s="390">
        <v>25</v>
      </c>
      <c r="N32" s="390" t="s">
        <v>2313</v>
      </c>
      <c r="O32" s="392" t="s">
        <v>2317</v>
      </c>
    </row>
    <row r="33" ht="20.1" customHeight="1" spans="15:15">
      <c r="O33" s="41"/>
    </row>
    <row r="34" ht="20.1" customHeight="1" spans="15:15">
      <c r="O34" s="41"/>
    </row>
    <row r="35" ht="20.1" customHeight="1" spans="15:15">
      <c r="O35" s="41"/>
    </row>
    <row r="36" ht="20.1" customHeight="1" spans="15:15">
      <c r="O36" s="41"/>
    </row>
    <row r="37" ht="20.1" customHeight="1" spans="15:15">
      <c r="O37" s="41"/>
    </row>
    <row r="38" ht="20.1" customHeight="1" spans="15:15">
      <c r="O38" s="41"/>
    </row>
    <row r="39" ht="20.1" customHeight="1" spans="15:15">
      <c r="O39" s="41"/>
    </row>
    <row r="40" ht="20.1" customHeight="1" spans="15:15">
      <c r="O40" s="41"/>
    </row>
    <row r="41" ht="20.1" customHeight="1" spans="15:15">
      <c r="O41" s="41"/>
    </row>
    <row r="42" ht="20.1" customHeight="1" spans="15:15">
      <c r="O42" s="41"/>
    </row>
    <row r="43" ht="20.1" customHeight="1" spans="15:15">
      <c r="O43" s="41"/>
    </row>
    <row r="44" ht="20.1" customHeight="1" spans="15:15">
      <c r="O44" s="41"/>
    </row>
    <row r="45" ht="20.1" customHeight="1" spans="15:15">
      <c r="O45" s="41"/>
    </row>
    <row r="46" ht="20.1" customHeight="1" spans="15:15">
      <c r="O46" s="41"/>
    </row>
    <row r="47" ht="20.1" customHeight="1" spans="15:15">
      <c r="O47" s="41"/>
    </row>
    <row r="48" ht="20.1" customHeight="1" spans="15:15">
      <c r="O48" s="41"/>
    </row>
    <row r="49" ht="20.1" customHeight="1" spans="2:15">
      <c r="O49" s="41"/>
    </row>
    <row r="50" ht="20.1" customHeight="1" spans="2:15">
      <c r="O50" s="41"/>
    </row>
    <row r="51" ht="20.1" customHeight="1" spans="2:15">
      <c r="O51" s="41"/>
    </row>
    <row r="52" ht="20.1" customHeight="1" spans="2:15">
      <c r="O52" s="41"/>
    </row>
    <row r="53" ht="20.1" customHeight="1" spans="2:15">
      <c r="O53" s="41"/>
    </row>
    <row r="54" ht="20.1" customHeight="1" spans="2:15">
      <c r="O54" s="41"/>
    </row>
    <row r="55" ht="20.1" customHeight="1" spans="2:15">
      <c r="O55" s="41"/>
    </row>
    <row r="56" ht="20.1" customHeight="1" spans="2:15">
      <c r="O56" s="41"/>
    </row>
    <row r="57" ht="20.1" customHeight="1" spans="2:15">
      <c r="B57" s="41" t="s">
        <v>2318</v>
      </c>
    </row>
    <row r="58" ht="24" customHeight="1" spans="2:15">
      <c r="B58" s="178" t="s">
        <v>2319</v>
      </c>
      <c r="C58" s="178" t="s">
        <v>2141</v>
      </c>
      <c r="D58" s="178" t="s">
        <v>2142</v>
      </c>
      <c r="E58" s="178" t="s">
        <v>2143</v>
      </c>
      <c r="F58" s="178" t="s">
        <v>2144</v>
      </c>
      <c r="J58" s="178" t="s">
        <v>2145</v>
      </c>
      <c r="K58" s="178"/>
      <c r="L58" s="178"/>
      <c r="M58" s="178" t="s">
        <v>2146</v>
      </c>
      <c r="N58" s="178" t="s">
        <v>2319</v>
      </c>
      <c r="O58" s="352" t="s">
        <v>2147</v>
      </c>
    </row>
    <row r="59" ht="20.1" customHeight="1" spans="2:15">
      <c r="B59" s="356" t="s">
        <v>144</v>
      </c>
      <c r="C59" s="407" t="s">
        <v>2320</v>
      </c>
      <c r="D59" s="407"/>
      <c r="E59" s="407"/>
      <c r="F59" s="407"/>
      <c r="I59" s="41" t="s">
        <v>2159</v>
      </c>
      <c r="J59" s="41" t="s">
        <v>2160</v>
      </c>
      <c r="K59" s="41" t="s">
        <v>2161</v>
      </c>
      <c r="M59" s="356">
        <v>10</v>
      </c>
      <c r="N59" s="356" t="s">
        <v>144</v>
      </c>
      <c r="O59" s="408" t="s">
        <v>2321</v>
      </c>
    </row>
    <row r="60" ht="20.1" customHeight="1" spans="2:15">
      <c r="B60" s="368" t="s">
        <v>172</v>
      </c>
      <c r="C60" s="407" t="s">
        <v>2322</v>
      </c>
      <c r="D60" s="407" t="s">
        <v>2323</v>
      </c>
      <c r="E60" s="407"/>
      <c r="F60" s="407"/>
      <c r="H60" s="178" t="s">
        <v>2168</v>
      </c>
      <c r="I60" s="178" t="s">
        <v>2169</v>
      </c>
      <c r="J60" s="409" t="s">
        <v>2324</v>
      </c>
      <c r="K60" s="409" t="s">
        <v>2325</v>
      </c>
      <c r="L60" s="143"/>
      <c r="M60" s="368">
        <v>15</v>
      </c>
      <c r="N60" s="368" t="s">
        <v>172</v>
      </c>
      <c r="O60" s="410" t="s">
        <v>2326</v>
      </c>
    </row>
    <row r="61" ht="20.1" customHeight="1" spans="2:15">
      <c r="B61" s="368" t="s">
        <v>2174</v>
      </c>
      <c r="C61" s="407" t="s">
        <v>2327</v>
      </c>
      <c r="D61" s="407" t="s">
        <v>2328</v>
      </c>
      <c r="E61" s="407"/>
      <c r="F61" s="407"/>
      <c r="H61" s="178" t="s">
        <v>2177</v>
      </c>
      <c r="I61" s="178" t="s">
        <v>2178</v>
      </c>
      <c r="J61" s="409" t="s">
        <v>2329</v>
      </c>
      <c r="K61" s="409" t="s">
        <v>2330</v>
      </c>
      <c r="L61" s="143"/>
      <c r="M61" s="368">
        <v>15</v>
      </c>
      <c r="N61" s="368" t="s">
        <v>2174</v>
      </c>
      <c r="O61" s="410" t="s">
        <v>2331</v>
      </c>
    </row>
    <row r="62" ht="20.1" customHeight="1" spans="2:15">
      <c r="B62" s="368" t="s">
        <v>2185</v>
      </c>
      <c r="C62" s="407" t="s">
        <v>2332</v>
      </c>
      <c r="D62" s="407" t="s">
        <v>2333</v>
      </c>
      <c r="E62" s="407"/>
      <c r="F62" s="407"/>
      <c r="H62" s="178" t="s">
        <v>2188</v>
      </c>
      <c r="I62" s="178" t="s">
        <v>2189</v>
      </c>
      <c r="J62" s="409" t="s">
        <v>2334</v>
      </c>
      <c r="K62" s="409" t="s">
        <v>2335</v>
      </c>
      <c r="L62" s="143"/>
      <c r="M62" s="368">
        <v>15</v>
      </c>
      <c r="N62" s="368" t="s">
        <v>2185</v>
      </c>
      <c r="O62" s="410" t="s">
        <v>2336</v>
      </c>
    </row>
    <row r="63" ht="20.1" customHeight="1" spans="2:15">
      <c r="B63" s="390" t="s">
        <v>2196</v>
      </c>
      <c r="C63" s="407" t="s">
        <v>2337</v>
      </c>
      <c r="D63" s="407" t="s">
        <v>2338</v>
      </c>
      <c r="E63" s="407"/>
      <c r="F63" s="407"/>
      <c r="H63" s="178" t="s">
        <v>2199</v>
      </c>
      <c r="I63" s="178" t="s">
        <v>2200</v>
      </c>
      <c r="J63" s="409" t="s">
        <v>2339</v>
      </c>
      <c r="K63" s="409" t="s">
        <v>2340</v>
      </c>
      <c r="L63" s="143"/>
      <c r="M63" s="390">
        <v>15</v>
      </c>
      <c r="N63" s="390" t="s">
        <v>2196</v>
      </c>
      <c r="O63" s="411" t="s">
        <v>2341</v>
      </c>
    </row>
    <row r="64" ht="20.1" customHeight="1" spans="2:15">
      <c r="B64" s="390" t="s">
        <v>2205</v>
      </c>
      <c r="C64" s="407" t="s">
        <v>2342</v>
      </c>
      <c r="D64" s="407" t="s">
        <v>2343</v>
      </c>
      <c r="E64" s="407" t="s">
        <v>2344</v>
      </c>
      <c r="F64" s="407"/>
      <c r="H64" s="178" t="s">
        <v>2209</v>
      </c>
      <c r="I64" s="178" t="s">
        <v>2210</v>
      </c>
      <c r="J64" s="409" t="s">
        <v>2345</v>
      </c>
      <c r="K64" s="409" t="s">
        <v>2346</v>
      </c>
      <c r="L64" s="143"/>
      <c r="M64" s="390">
        <v>20</v>
      </c>
      <c r="N64" s="390" t="s">
        <v>2205</v>
      </c>
      <c r="O64" s="411" t="s">
        <v>2347</v>
      </c>
    </row>
    <row r="65" ht="20.1" customHeight="1" spans="1:15">
      <c r="B65" s="390" t="s">
        <v>2215</v>
      </c>
      <c r="C65" s="407" t="s">
        <v>2348</v>
      </c>
      <c r="D65" s="407" t="s">
        <v>2349</v>
      </c>
      <c r="E65" s="407" t="s">
        <v>2350</v>
      </c>
      <c r="F65" s="407"/>
      <c r="M65" s="390">
        <v>20</v>
      </c>
      <c r="N65" s="390" t="s">
        <v>2215</v>
      </c>
      <c r="O65" s="411" t="s">
        <v>2351</v>
      </c>
    </row>
    <row r="66" ht="20.1" customHeight="1" spans="1:15">
      <c r="B66" s="390" t="s">
        <v>2223</v>
      </c>
      <c r="C66" s="407" t="s">
        <v>2352</v>
      </c>
      <c r="D66" s="407" t="s">
        <v>2353</v>
      </c>
      <c r="E66" s="407" t="s">
        <v>2354</v>
      </c>
      <c r="F66" s="407"/>
      <c r="M66" s="390">
        <v>20</v>
      </c>
      <c r="N66" s="390" t="s">
        <v>2223</v>
      </c>
      <c r="O66" s="411" t="s">
        <v>2355</v>
      </c>
    </row>
    <row r="67" ht="20.1" customHeight="1" spans="1:15">
      <c r="B67" s="390" t="s">
        <v>730</v>
      </c>
      <c r="C67" s="407" t="s">
        <v>2356</v>
      </c>
      <c r="D67" s="407" t="s">
        <v>2357</v>
      </c>
      <c r="E67" s="407" t="s">
        <v>2358</v>
      </c>
      <c r="F67" s="407"/>
      <c r="M67" s="390">
        <v>20</v>
      </c>
      <c r="N67" s="390" t="s">
        <v>730</v>
      </c>
      <c r="O67" s="411" t="s">
        <v>2359</v>
      </c>
    </row>
    <row r="68" ht="20.1" customHeight="1" spans="1:15">
      <c r="B68" s="390" t="s">
        <v>2231</v>
      </c>
      <c r="C68" s="407" t="s">
        <v>2360</v>
      </c>
      <c r="D68" s="407" t="s">
        <v>2361</v>
      </c>
      <c r="E68" s="407" t="s">
        <v>2362</v>
      </c>
      <c r="F68" s="407"/>
      <c r="M68" s="390">
        <v>20</v>
      </c>
      <c r="N68" s="390" t="s">
        <v>2231</v>
      </c>
      <c r="O68" s="411" t="s">
        <v>2363</v>
      </c>
    </row>
    <row r="69" ht="20.1" customHeight="1" spans="1:15">
      <c r="B69" s="390" t="s">
        <v>2235</v>
      </c>
      <c r="C69" s="407" t="s">
        <v>2364</v>
      </c>
      <c r="D69" s="407" t="s">
        <v>2365</v>
      </c>
      <c r="E69" s="407" t="s">
        <v>2366</v>
      </c>
      <c r="F69" s="407"/>
      <c r="M69" s="390">
        <v>20</v>
      </c>
      <c r="N69" s="390" t="s">
        <v>2235</v>
      </c>
      <c r="O69" s="411" t="s">
        <v>2367</v>
      </c>
    </row>
    <row r="70" ht="20.1" customHeight="1" spans="1:15">
      <c r="A70" s="41">
        <v>1</v>
      </c>
      <c r="B70" s="390" t="s">
        <v>2239</v>
      </c>
      <c r="C70" s="407" t="s">
        <v>2368</v>
      </c>
      <c r="D70" s="407" t="s">
        <v>2369</v>
      </c>
      <c r="E70" s="407" t="s">
        <v>2370</v>
      </c>
      <c r="F70" s="407" t="s">
        <v>2371</v>
      </c>
      <c r="M70" s="390">
        <v>25</v>
      </c>
      <c r="N70" s="390" t="s">
        <v>2239</v>
      </c>
      <c r="O70" s="411" t="s">
        <v>2372</v>
      </c>
    </row>
    <row r="71" ht="20.1" customHeight="1" spans="1:15">
      <c r="B71" s="390" t="s">
        <v>2244</v>
      </c>
      <c r="C71" s="407" t="s">
        <v>2373</v>
      </c>
      <c r="D71" s="407" t="s">
        <v>2374</v>
      </c>
      <c r="E71" s="407" t="s">
        <v>2375</v>
      </c>
      <c r="F71" s="407" t="s">
        <v>2376</v>
      </c>
      <c r="M71" s="390">
        <v>25</v>
      </c>
      <c r="N71" s="390" t="s">
        <v>2244</v>
      </c>
      <c r="O71" s="411" t="s">
        <v>2377</v>
      </c>
    </row>
    <row r="72" ht="20.1" customHeight="1" spans="1:15">
      <c r="B72"/>
      <c r="M72"/>
      <c r="N72"/>
    </row>
    <row r="73" ht="20.1" customHeight="1" spans="1:15">
      <c r="B73"/>
      <c r="M73"/>
      <c r="N73"/>
    </row>
    <row r="74" ht="20.1" customHeight="1"/>
    <row r="75" s="41" customFormat="1" ht="24" customHeight="1" spans="1:15">
      <c r="B75" s="178" t="s">
        <v>2254</v>
      </c>
      <c r="C75" s="178" t="s">
        <v>2141</v>
      </c>
      <c r="D75" s="178" t="s">
        <v>2142</v>
      </c>
      <c r="E75" s="178" t="s">
        <v>2143</v>
      </c>
      <c r="F75" s="178" t="s">
        <v>2144</v>
      </c>
      <c r="J75" s="178" t="s">
        <v>46</v>
      </c>
      <c r="K75" s="178"/>
      <c r="L75" s="178"/>
      <c r="M75" s="178" t="s">
        <v>2146</v>
      </c>
      <c r="N75" s="178" t="s">
        <v>2254</v>
      </c>
      <c r="O75" s="352" t="s">
        <v>2147</v>
      </c>
    </row>
    <row r="76" ht="20.1" customHeight="1" spans="1:15">
      <c r="B76" s="356" t="s">
        <v>137</v>
      </c>
      <c r="C76" s="407" t="s">
        <v>2378</v>
      </c>
      <c r="D76" s="407"/>
      <c r="E76" s="407"/>
      <c r="F76" s="407"/>
      <c r="I76" s="41" t="s">
        <v>2159</v>
      </c>
      <c r="J76" s="41" t="s">
        <v>2160</v>
      </c>
      <c r="K76" s="41" t="s">
        <v>2161</v>
      </c>
      <c r="M76" s="356">
        <v>10</v>
      </c>
      <c r="N76" s="356" t="s">
        <v>137</v>
      </c>
      <c r="O76" s="408" t="s">
        <v>2379</v>
      </c>
    </row>
    <row r="77" ht="20.1" customHeight="1" spans="1:15">
      <c r="B77" s="356" t="s">
        <v>2256</v>
      </c>
      <c r="C77" s="407" t="s">
        <v>2380</v>
      </c>
      <c r="D77" s="407"/>
      <c r="E77" s="407"/>
      <c r="F77" s="407"/>
      <c r="H77" s="178" t="s">
        <v>2168</v>
      </c>
      <c r="I77" s="178" t="s">
        <v>2258</v>
      </c>
      <c r="J77" s="409" t="s">
        <v>2381</v>
      </c>
      <c r="K77" s="409" t="s">
        <v>2382</v>
      </c>
      <c r="L77" s="143"/>
      <c r="M77" s="356">
        <v>10</v>
      </c>
      <c r="N77" s="356" t="s">
        <v>2256</v>
      </c>
      <c r="O77" s="408" t="s">
        <v>2383</v>
      </c>
    </row>
    <row r="78" ht="20.1" customHeight="1" spans="1:15">
      <c r="B78" s="368" t="s">
        <v>2262</v>
      </c>
      <c r="C78" s="407" t="s">
        <v>2384</v>
      </c>
      <c r="D78" s="407" t="s">
        <v>2385</v>
      </c>
      <c r="E78" s="407"/>
      <c r="F78" s="407"/>
      <c r="H78" s="178" t="s">
        <v>2177</v>
      </c>
      <c r="I78" s="178" t="s">
        <v>2265</v>
      </c>
      <c r="J78" s="409" t="s">
        <v>2386</v>
      </c>
      <c r="K78" s="409" t="s">
        <v>2387</v>
      </c>
      <c r="L78" s="143"/>
      <c r="M78" s="368">
        <v>15</v>
      </c>
      <c r="N78" s="368" t="s">
        <v>2262</v>
      </c>
      <c r="O78" s="410" t="s">
        <v>2388</v>
      </c>
    </row>
    <row r="79" ht="20.1" customHeight="1" spans="1:15">
      <c r="B79" s="390" t="s">
        <v>2268</v>
      </c>
      <c r="C79" s="407" t="s">
        <v>2389</v>
      </c>
      <c r="D79" s="407" t="s">
        <v>2390</v>
      </c>
      <c r="E79" s="407"/>
      <c r="F79" s="407"/>
      <c r="H79" s="178" t="s">
        <v>2188</v>
      </c>
      <c r="I79" s="178" t="s">
        <v>2271</v>
      </c>
      <c r="J79" s="409" t="s">
        <v>2391</v>
      </c>
      <c r="K79" s="409" t="s">
        <v>2392</v>
      </c>
      <c r="L79" s="143"/>
      <c r="M79" s="390">
        <v>15</v>
      </c>
      <c r="N79" s="390" t="s">
        <v>2268</v>
      </c>
      <c r="O79" s="411" t="s">
        <v>2393</v>
      </c>
    </row>
    <row r="80" ht="20.1" customHeight="1" spans="1:15">
      <c r="B80" s="390" t="s">
        <v>2274</v>
      </c>
      <c r="C80" s="407" t="s">
        <v>2394</v>
      </c>
      <c r="D80" s="407" t="s">
        <v>2395</v>
      </c>
      <c r="E80" s="407" t="s">
        <v>2396</v>
      </c>
      <c r="F80" s="407"/>
      <c r="H80" s="178" t="s">
        <v>2199</v>
      </c>
      <c r="I80" s="178" t="s">
        <v>2278</v>
      </c>
      <c r="J80" s="409" t="s">
        <v>2397</v>
      </c>
      <c r="K80" s="409" t="s">
        <v>2398</v>
      </c>
      <c r="L80" s="143"/>
      <c r="M80" s="390">
        <v>20</v>
      </c>
      <c r="N80" s="390" t="s">
        <v>2274</v>
      </c>
      <c r="O80" s="411" t="s">
        <v>2399</v>
      </c>
    </row>
    <row r="81" ht="20.1" customHeight="1" spans="1:15">
      <c r="A81" s="41">
        <v>1</v>
      </c>
      <c r="B81" s="390" t="s">
        <v>2281</v>
      </c>
      <c r="C81" s="407" t="s">
        <v>2400</v>
      </c>
      <c r="D81" s="407" t="s">
        <v>2401</v>
      </c>
      <c r="E81" s="407" t="s">
        <v>2402</v>
      </c>
      <c r="F81" s="407"/>
      <c r="H81" s="178" t="s">
        <v>2209</v>
      </c>
      <c r="I81" s="178" t="s">
        <v>2285</v>
      </c>
      <c r="J81" s="409" t="s">
        <v>2403</v>
      </c>
      <c r="K81" s="409" t="s">
        <v>2404</v>
      </c>
      <c r="L81" s="143"/>
      <c r="M81" s="390">
        <v>20</v>
      </c>
      <c r="N81" s="390" t="s">
        <v>2281</v>
      </c>
      <c r="O81" s="411" t="s">
        <v>2405</v>
      </c>
    </row>
    <row r="82" ht="20.1" customHeight="1" spans="1:15">
      <c r="B82" s="390" t="s">
        <v>2288</v>
      </c>
      <c r="C82" s="407" t="s">
        <v>2406</v>
      </c>
      <c r="D82" s="407" t="s">
        <v>2407</v>
      </c>
      <c r="E82" s="407" t="s">
        <v>2408</v>
      </c>
      <c r="F82" s="407"/>
      <c r="M82" s="390">
        <v>20</v>
      </c>
      <c r="N82" s="390" t="s">
        <v>2288</v>
      </c>
      <c r="O82" s="411" t="s">
        <v>2409</v>
      </c>
    </row>
    <row r="83" ht="20.1" customHeight="1" spans="1:15">
      <c r="B83" s="390" t="s">
        <v>2292</v>
      </c>
      <c r="C83" s="407" t="s">
        <v>2410</v>
      </c>
      <c r="D83" s="407" t="s">
        <v>2411</v>
      </c>
      <c r="E83" s="407" t="s">
        <v>2412</v>
      </c>
      <c r="F83" s="407"/>
      <c r="M83" s="390">
        <v>20</v>
      </c>
      <c r="N83" s="390" t="s">
        <v>2292</v>
      </c>
      <c r="O83" s="411" t="s">
        <v>2413</v>
      </c>
    </row>
    <row r="84" ht="20.1" customHeight="1" spans="1:15">
      <c r="B84" s="390" t="s">
        <v>2296</v>
      </c>
      <c r="C84" s="407" t="s">
        <v>2414</v>
      </c>
      <c r="D84" s="407" t="s">
        <v>2415</v>
      </c>
      <c r="E84" s="407" t="s">
        <v>2416</v>
      </c>
      <c r="F84" s="407"/>
      <c r="M84" s="390">
        <v>20</v>
      </c>
      <c r="N84" s="390" t="s">
        <v>2296</v>
      </c>
      <c r="O84" s="411" t="s">
        <v>2417</v>
      </c>
    </row>
    <row r="85" ht="20.1" customHeight="1" spans="1:15">
      <c r="A85" s="41">
        <v>1</v>
      </c>
      <c r="B85" s="390" t="s">
        <v>2300</v>
      </c>
      <c r="C85" s="407" t="s">
        <v>2418</v>
      </c>
      <c r="D85" s="407" t="s">
        <v>2419</v>
      </c>
      <c r="E85" s="407" t="s">
        <v>2420</v>
      </c>
      <c r="F85" s="407"/>
      <c r="M85" s="390">
        <v>20</v>
      </c>
      <c r="N85" s="390" t="s">
        <v>2300</v>
      </c>
      <c r="O85" s="411" t="s">
        <v>2421</v>
      </c>
    </row>
    <row r="86" ht="20.1" customHeight="1" spans="1:15">
      <c r="B86" s="390" t="s">
        <v>2304</v>
      </c>
      <c r="C86" s="407" t="s">
        <v>2422</v>
      </c>
      <c r="D86" s="407" t="s">
        <v>2423</v>
      </c>
      <c r="E86" s="407" t="s">
        <v>2424</v>
      </c>
      <c r="F86" s="407"/>
      <c r="M86" s="390">
        <v>20</v>
      </c>
      <c r="N86" s="390" t="s">
        <v>2304</v>
      </c>
      <c r="O86" s="411" t="s">
        <v>2425</v>
      </c>
    </row>
    <row r="87" ht="20.1" customHeight="1" spans="1:15">
      <c r="B87" s="390" t="s">
        <v>2308</v>
      </c>
      <c r="C87" s="407" t="s">
        <v>2426</v>
      </c>
      <c r="D87" s="407" t="s">
        <v>2427</v>
      </c>
      <c r="E87" s="407" t="s">
        <v>2428</v>
      </c>
      <c r="F87" s="407" t="s">
        <v>2429</v>
      </c>
      <c r="M87" s="390">
        <v>25</v>
      </c>
      <c r="N87" s="390" t="s">
        <v>2308</v>
      </c>
      <c r="O87" s="411" t="s">
        <v>2430</v>
      </c>
    </row>
    <row r="88" ht="20.1" customHeight="1" spans="1:15">
      <c r="B88" s="390" t="s">
        <v>2313</v>
      </c>
      <c r="C88" s="407" t="s">
        <v>2431</v>
      </c>
      <c r="D88" s="407" t="s">
        <v>2432</v>
      </c>
      <c r="E88" s="407" t="s">
        <v>2433</v>
      </c>
      <c r="F88" s="407" t="s">
        <v>2434</v>
      </c>
      <c r="M88" s="390">
        <v>25</v>
      </c>
      <c r="N88" s="390" t="s">
        <v>2313</v>
      </c>
      <c r="O88" s="411" t="s">
        <v>2435</v>
      </c>
    </row>
    <row r="89" ht="20.1" customHeight="1"/>
    <row r="90" ht="20.1" customHeight="1"/>
    <row r="97" ht="20.1" customHeight="1" spans="2:15">
      <c r="B97" s="41" t="s">
        <v>2436</v>
      </c>
    </row>
    <row r="98" ht="24" customHeight="1" spans="2:15">
      <c r="B98" s="178" t="s">
        <v>2319</v>
      </c>
      <c r="C98" s="178" t="s">
        <v>2141</v>
      </c>
      <c r="D98" s="178" t="s">
        <v>2142</v>
      </c>
      <c r="E98" s="178" t="s">
        <v>2143</v>
      </c>
      <c r="F98" s="178" t="s">
        <v>2144</v>
      </c>
      <c r="J98" s="178" t="s">
        <v>2145</v>
      </c>
      <c r="K98" s="178"/>
      <c r="L98" s="178"/>
      <c r="M98" s="178"/>
      <c r="N98" s="178"/>
      <c r="O98" s="352"/>
    </row>
    <row r="99" ht="20.1" customHeight="1" spans="2:15">
      <c r="B99" s="356" t="s">
        <v>144</v>
      </c>
      <c r="C99" s="407" t="s">
        <v>2320</v>
      </c>
      <c r="D99" s="407"/>
      <c r="E99" s="407"/>
      <c r="F99" s="407"/>
      <c r="I99" s="41" t="s">
        <v>2159</v>
      </c>
      <c r="J99" s="41" t="s">
        <v>2160</v>
      </c>
      <c r="K99" s="41" t="s">
        <v>2161</v>
      </c>
      <c r="M99" s="412"/>
      <c r="N99" s="412"/>
      <c r="O99" s="413"/>
    </row>
    <row r="100" ht="20.1" customHeight="1" spans="2:15">
      <c r="B100" s="368" t="s">
        <v>172</v>
      </c>
      <c r="C100" s="407" t="s">
        <v>2437</v>
      </c>
      <c r="D100" s="407" t="s">
        <v>2438</v>
      </c>
      <c r="E100" s="407"/>
      <c r="F100" s="407"/>
      <c r="H100" s="178" t="s">
        <v>2168</v>
      </c>
      <c r="I100" s="178" t="s">
        <v>2169</v>
      </c>
      <c r="J100" s="409" t="s">
        <v>2324</v>
      </c>
      <c r="K100" s="409" t="s">
        <v>2325</v>
      </c>
      <c r="L100" s="143"/>
      <c r="M100" s="412"/>
      <c r="N100" s="412"/>
      <c r="O100" s="413"/>
    </row>
    <row r="101" ht="20.1" customHeight="1" spans="2:15">
      <c r="B101" s="368" t="s">
        <v>2174</v>
      </c>
      <c r="C101" s="407" t="s">
        <v>2327</v>
      </c>
      <c r="D101" s="407" t="s">
        <v>2328</v>
      </c>
      <c r="E101" s="407"/>
      <c r="F101" s="407"/>
      <c r="H101" s="178" t="s">
        <v>2177</v>
      </c>
      <c r="I101" s="178" t="s">
        <v>2178</v>
      </c>
      <c r="J101" s="409" t="s">
        <v>2329</v>
      </c>
      <c r="K101" s="409" t="s">
        <v>2330</v>
      </c>
      <c r="L101" s="143"/>
      <c r="M101" s="412"/>
      <c r="N101" s="412"/>
      <c r="O101" s="413"/>
    </row>
    <row r="102" ht="20.1" customHeight="1" spans="2:15">
      <c r="B102" s="368" t="s">
        <v>2185</v>
      </c>
      <c r="C102" s="407" t="s">
        <v>2439</v>
      </c>
      <c r="D102" s="407" t="s">
        <v>2440</v>
      </c>
      <c r="E102" s="407"/>
      <c r="F102" s="407"/>
      <c r="H102" s="178" t="s">
        <v>2188</v>
      </c>
      <c r="I102" s="178" t="s">
        <v>2189</v>
      </c>
      <c r="J102" s="409" t="s">
        <v>2334</v>
      </c>
      <c r="K102" s="409" t="s">
        <v>2335</v>
      </c>
      <c r="L102" s="143"/>
      <c r="M102" s="412"/>
      <c r="N102" s="412"/>
      <c r="O102" s="413"/>
    </row>
    <row r="103" ht="20.1" customHeight="1" spans="2:15">
      <c r="B103" s="390" t="s">
        <v>2196</v>
      </c>
      <c r="C103" s="407" t="s">
        <v>2337</v>
      </c>
      <c r="D103" s="407" t="s">
        <v>2338</v>
      </c>
      <c r="E103" s="407"/>
      <c r="F103" s="407"/>
      <c r="H103" s="178" t="s">
        <v>2199</v>
      </c>
      <c r="I103" s="178" t="s">
        <v>2200</v>
      </c>
      <c r="J103" s="409" t="s">
        <v>2339</v>
      </c>
      <c r="K103" s="409" t="s">
        <v>2340</v>
      </c>
      <c r="L103" s="143"/>
      <c r="M103" s="412"/>
      <c r="N103" s="412"/>
      <c r="O103" s="413"/>
    </row>
    <row r="104" ht="20.1" customHeight="1" spans="2:15">
      <c r="B104" s="390" t="s">
        <v>2205</v>
      </c>
      <c r="C104" s="407" t="s">
        <v>2342</v>
      </c>
      <c r="D104" s="407" t="s">
        <v>2343</v>
      </c>
      <c r="E104" s="407" t="s">
        <v>2344</v>
      </c>
      <c r="F104" s="407"/>
      <c r="H104" s="178" t="s">
        <v>2209</v>
      </c>
      <c r="I104" s="178" t="s">
        <v>2210</v>
      </c>
      <c r="J104" s="409" t="s">
        <v>2345</v>
      </c>
      <c r="K104" s="409" t="s">
        <v>2346</v>
      </c>
      <c r="L104" s="143"/>
      <c r="M104" s="412"/>
      <c r="N104" s="412"/>
      <c r="O104" s="413"/>
    </row>
    <row r="105" ht="20.1" customHeight="1" spans="2:15">
      <c r="B105" s="390" t="s">
        <v>2215</v>
      </c>
      <c r="C105" s="407" t="s">
        <v>2348</v>
      </c>
      <c r="D105" s="407" t="s">
        <v>2349</v>
      </c>
      <c r="E105" s="407" t="s">
        <v>2350</v>
      </c>
      <c r="F105" s="407"/>
      <c r="M105" s="412"/>
      <c r="N105" s="412"/>
      <c r="O105" s="413"/>
    </row>
    <row r="106" ht="20.1" customHeight="1" spans="2:15">
      <c r="B106" s="390" t="s">
        <v>2223</v>
      </c>
      <c r="C106" s="407" t="s">
        <v>2441</v>
      </c>
      <c r="D106" s="407" t="s">
        <v>2442</v>
      </c>
      <c r="E106" s="407" t="s">
        <v>2443</v>
      </c>
      <c r="F106" s="407"/>
      <c r="M106" s="412"/>
      <c r="N106" s="412"/>
      <c r="O106" s="413"/>
    </row>
    <row r="107" ht="20.1" customHeight="1" spans="2:15">
      <c r="B107" s="390" t="s">
        <v>730</v>
      </c>
      <c r="C107" s="407" t="s">
        <v>2444</v>
      </c>
      <c r="D107" s="407" t="s">
        <v>2445</v>
      </c>
      <c r="E107" s="407" t="s">
        <v>2446</v>
      </c>
      <c r="F107" s="407"/>
      <c r="M107" s="412"/>
      <c r="N107" s="412"/>
      <c r="O107" s="413"/>
    </row>
    <row r="108" ht="20.1" customHeight="1" spans="2:15">
      <c r="B108" s="390" t="s">
        <v>2231</v>
      </c>
      <c r="C108" s="407" t="s">
        <v>2447</v>
      </c>
      <c r="D108" s="407" t="s">
        <v>2448</v>
      </c>
      <c r="E108" s="407" t="s">
        <v>2449</v>
      </c>
      <c r="F108" s="407"/>
      <c r="M108" s="412"/>
      <c r="N108" s="412"/>
      <c r="O108" s="413"/>
    </row>
    <row r="109" ht="20.1" customHeight="1" spans="2:15">
      <c r="B109" s="390" t="s">
        <v>2235</v>
      </c>
      <c r="C109" s="407" t="s">
        <v>2450</v>
      </c>
      <c r="D109" s="407" t="s">
        <v>2451</v>
      </c>
      <c r="E109" s="407" t="s">
        <v>2452</v>
      </c>
      <c r="F109" s="407"/>
      <c r="M109" s="412"/>
      <c r="N109" s="412"/>
      <c r="O109" s="413"/>
    </row>
    <row r="110" ht="20.1" customHeight="1" spans="2:15">
      <c r="B110" s="390" t="s">
        <v>2239</v>
      </c>
      <c r="C110" s="407" t="s">
        <v>2453</v>
      </c>
      <c r="D110" s="407" t="s">
        <v>2454</v>
      </c>
      <c r="E110" s="407" t="s">
        <v>2455</v>
      </c>
      <c r="F110" s="407" t="s">
        <v>2456</v>
      </c>
      <c r="M110" s="412"/>
      <c r="N110" s="412"/>
      <c r="O110" s="413"/>
    </row>
    <row r="111" ht="20.1" customHeight="1" spans="2:15">
      <c r="B111" s="390" t="s">
        <v>2244</v>
      </c>
      <c r="C111" s="407" t="s">
        <v>2373</v>
      </c>
      <c r="D111" s="407" t="s">
        <v>2374</v>
      </c>
      <c r="E111" s="407" t="s">
        <v>2375</v>
      </c>
      <c r="F111" s="407" t="s">
        <v>2376</v>
      </c>
      <c r="M111" s="412"/>
      <c r="N111" s="412"/>
      <c r="O111" s="413"/>
    </row>
    <row r="112" ht="20.1" customHeight="1" spans="2:15">
      <c r="B112"/>
      <c r="M112" s="35"/>
      <c r="N112" s="35"/>
      <c r="O112" s="413"/>
    </row>
    <row r="113" ht="20.1" customHeight="1" spans="2:15">
      <c r="B113"/>
      <c r="M113" s="35"/>
      <c r="N113" s="35"/>
      <c r="O113" s="413"/>
    </row>
    <row r="114" ht="20.1" customHeight="1" spans="2:15">
      <c r="M114" s="207"/>
      <c r="N114" s="207"/>
      <c r="O114" s="413"/>
    </row>
    <row r="115" s="41" customFormat="1" ht="24" customHeight="1" spans="2:15">
      <c r="B115" s="178" t="s">
        <v>2254</v>
      </c>
      <c r="C115" s="178" t="s">
        <v>2141</v>
      </c>
      <c r="D115" s="178" t="s">
        <v>2142</v>
      </c>
      <c r="E115" s="178" t="s">
        <v>2143</v>
      </c>
      <c r="F115" s="178" t="s">
        <v>2144</v>
      </c>
      <c r="J115" s="178" t="s">
        <v>46</v>
      </c>
      <c r="K115" s="178"/>
      <c r="L115" s="178"/>
      <c r="M115" s="412"/>
      <c r="N115" s="412"/>
      <c r="O115" s="414"/>
    </row>
    <row r="116" ht="20.1" customHeight="1" spans="2:15">
      <c r="B116" s="356" t="s">
        <v>137</v>
      </c>
      <c r="C116" s="407" t="s">
        <v>2378</v>
      </c>
      <c r="D116" s="407"/>
      <c r="E116" s="407"/>
      <c r="F116" s="407"/>
      <c r="I116" s="41" t="s">
        <v>2159</v>
      </c>
      <c r="J116" s="41" t="s">
        <v>2160</v>
      </c>
      <c r="K116" s="41" t="s">
        <v>2161</v>
      </c>
      <c r="M116" s="412"/>
      <c r="N116" s="412"/>
      <c r="O116" s="413"/>
    </row>
    <row r="117" ht="20.1" customHeight="1" spans="2:15">
      <c r="B117" s="356" t="s">
        <v>2256</v>
      </c>
      <c r="C117" s="407" t="s">
        <v>2380</v>
      </c>
      <c r="D117" s="407"/>
      <c r="E117" s="407"/>
      <c r="F117" s="407"/>
      <c r="H117" s="178" t="s">
        <v>2168</v>
      </c>
      <c r="I117" s="178" t="s">
        <v>2258</v>
      </c>
      <c r="J117" s="409" t="s">
        <v>2381</v>
      </c>
      <c r="K117" s="409" t="s">
        <v>2382</v>
      </c>
      <c r="L117" s="143"/>
      <c r="M117" s="412"/>
      <c r="N117" s="412"/>
      <c r="O117" s="413"/>
    </row>
    <row r="118" ht="20.1" customHeight="1" spans="2:15">
      <c r="B118" s="368" t="s">
        <v>2262</v>
      </c>
      <c r="C118" s="407" t="s">
        <v>2384</v>
      </c>
      <c r="D118" s="407" t="s">
        <v>2385</v>
      </c>
      <c r="E118" s="407"/>
      <c r="F118" s="407"/>
      <c r="H118" s="178" t="s">
        <v>2177</v>
      </c>
      <c r="I118" s="178" t="s">
        <v>2265</v>
      </c>
      <c r="J118" s="409" t="s">
        <v>2386</v>
      </c>
      <c r="K118" s="409" t="s">
        <v>2387</v>
      </c>
      <c r="L118" s="143"/>
      <c r="M118" s="412"/>
      <c r="N118" s="412"/>
      <c r="O118" s="413"/>
    </row>
    <row r="119" ht="20.1" customHeight="1" spans="2:15">
      <c r="B119" s="390" t="s">
        <v>2268</v>
      </c>
      <c r="C119" s="407" t="s">
        <v>2389</v>
      </c>
      <c r="D119" s="407" t="s">
        <v>2390</v>
      </c>
      <c r="E119" s="407"/>
      <c r="F119" s="407"/>
      <c r="H119" s="178" t="s">
        <v>2188</v>
      </c>
      <c r="I119" s="178" t="s">
        <v>2271</v>
      </c>
      <c r="J119" s="409" t="s">
        <v>2391</v>
      </c>
      <c r="K119" s="409" t="s">
        <v>2392</v>
      </c>
      <c r="L119" s="143"/>
      <c r="M119" s="412"/>
      <c r="N119" s="412"/>
      <c r="O119" s="413"/>
    </row>
    <row r="120" ht="20.1" customHeight="1" spans="2:15">
      <c r="B120" s="390" t="s">
        <v>2274</v>
      </c>
      <c r="C120" s="407" t="s">
        <v>2457</v>
      </c>
      <c r="D120" s="407" t="s">
        <v>2458</v>
      </c>
      <c r="E120" s="407" t="s">
        <v>2459</v>
      </c>
      <c r="F120" s="407"/>
      <c r="H120" s="178" t="s">
        <v>2199</v>
      </c>
      <c r="I120" s="178" t="s">
        <v>2278</v>
      </c>
      <c r="J120" s="409" t="s">
        <v>2397</v>
      </c>
      <c r="K120" s="409" t="s">
        <v>2398</v>
      </c>
      <c r="L120" s="143"/>
      <c r="M120" s="412"/>
      <c r="N120" s="412"/>
      <c r="O120" s="413"/>
    </row>
    <row r="121" ht="20.1" customHeight="1" spans="2:15">
      <c r="B121" s="390" t="s">
        <v>2281</v>
      </c>
      <c r="C121" s="407" t="s">
        <v>2460</v>
      </c>
      <c r="D121" s="407" t="s">
        <v>2461</v>
      </c>
      <c r="E121" s="407" t="s">
        <v>2462</v>
      </c>
      <c r="F121" s="407"/>
      <c r="H121" s="178" t="s">
        <v>2209</v>
      </c>
      <c r="I121" s="178" t="s">
        <v>2285</v>
      </c>
      <c r="J121" s="409" t="s">
        <v>2403</v>
      </c>
      <c r="K121" s="409" t="s">
        <v>2404</v>
      </c>
      <c r="L121" s="143"/>
      <c r="M121" s="412"/>
      <c r="N121" s="412"/>
      <c r="O121" s="413"/>
    </row>
    <row r="122" ht="20.1" customHeight="1" spans="2:15">
      <c r="B122" s="390" t="s">
        <v>2288</v>
      </c>
      <c r="C122" s="407" t="s">
        <v>2406</v>
      </c>
      <c r="D122" s="407" t="s">
        <v>2407</v>
      </c>
      <c r="E122" s="407" t="s">
        <v>2408</v>
      </c>
      <c r="F122" s="407"/>
      <c r="M122" s="412"/>
      <c r="N122" s="412"/>
      <c r="O122" s="413"/>
    </row>
    <row r="123" ht="20.1" customHeight="1" spans="2:15">
      <c r="B123" s="390" t="s">
        <v>2292</v>
      </c>
      <c r="C123" s="407" t="s">
        <v>2463</v>
      </c>
      <c r="D123" s="407" t="s">
        <v>2464</v>
      </c>
      <c r="E123" s="407" t="s">
        <v>2465</v>
      </c>
      <c r="F123" s="407"/>
      <c r="M123" s="412"/>
      <c r="N123" s="412"/>
      <c r="O123" s="413"/>
    </row>
    <row r="124" ht="20.1" customHeight="1" spans="2:15">
      <c r="B124" s="390" t="s">
        <v>2296</v>
      </c>
      <c r="C124" s="407" t="s">
        <v>2466</v>
      </c>
      <c r="D124" s="407" t="s">
        <v>2467</v>
      </c>
      <c r="E124" s="407" t="s">
        <v>2468</v>
      </c>
      <c r="F124" s="407"/>
      <c r="M124" s="412"/>
      <c r="N124" s="412"/>
      <c r="O124" s="413"/>
    </row>
    <row r="125" ht="20.1" customHeight="1" spans="2:15">
      <c r="B125" s="390" t="s">
        <v>2300</v>
      </c>
      <c r="C125" s="407" t="s">
        <v>2469</v>
      </c>
      <c r="D125" s="407" t="s">
        <v>2470</v>
      </c>
      <c r="E125" s="407" t="s">
        <v>2471</v>
      </c>
      <c r="F125" s="407"/>
      <c r="M125" s="412"/>
      <c r="N125" s="412"/>
      <c r="O125" s="413"/>
    </row>
    <row r="126" ht="20.1" customHeight="1" spans="2:15">
      <c r="B126" s="390" t="s">
        <v>2304</v>
      </c>
      <c r="C126" s="407" t="s">
        <v>2422</v>
      </c>
      <c r="D126" s="407" t="s">
        <v>2423</v>
      </c>
      <c r="E126" s="407" t="s">
        <v>2472</v>
      </c>
      <c r="F126" s="407"/>
      <c r="M126" s="412"/>
      <c r="N126" s="412"/>
      <c r="O126" s="413"/>
    </row>
    <row r="127" ht="20.1" customHeight="1" spans="2:15">
      <c r="B127" s="390" t="s">
        <v>2308</v>
      </c>
      <c r="C127" s="407" t="s">
        <v>2426</v>
      </c>
      <c r="D127" s="407" t="s">
        <v>2427</v>
      </c>
      <c r="E127" s="407" t="s">
        <v>2428</v>
      </c>
      <c r="F127" s="407" t="s">
        <v>2429</v>
      </c>
      <c r="M127" s="412"/>
      <c r="N127" s="412"/>
      <c r="O127" s="413"/>
    </row>
    <row r="128" ht="20.1" customHeight="1" spans="2:15">
      <c r="B128" s="390" t="s">
        <v>2313</v>
      </c>
      <c r="C128" s="407" t="s">
        <v>2431</v>
      </c>
      <c r="D128" s="407" t="s">
        <v>2432</v>
      </c>
      <c r="E128" s="407" t="s">
        <v>2433</v>
      </c>
      <c r="F128" s="407" t="s">
        <v>2434</v>
      </c>
      <c r="M128" s="412"/>
      <c r="N128" s="412"/>
      <c r="O128" s="413"/>
    </row>
  </sheetData>
  <mergeCells count="7">
    <mergeCell ref="J2:K2"/>
    <mergeCell ref="V10:W10"/>
    <mergeCell ref="J19:K19"/>
    <mergeCell ref="J58:K58"/>
    <mergeCell ref="J75:K75"/>
    <mergeCell ref="J98:K98"/>
    <mergeCell ref="J115:K11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X54"/>
  <sheetViews>
    <sheetView zoomScale="85" zoomScaleNormal="85" topLeftCell="A14" workbookViewId="0">
      <selection activeCell="Q17" sqref="Q17"/>
    </sheetView>
  </sheetViews>
  <sheetFormatPr defaultColWidth="9" defaultRowHeight="13.5"/>
  <cols>
    <col min="1" max="2" width="8.625" customWidth="1"/>
    <col min="4" max="4" width="9.75" customWidth="1"/>
    <col min="5" max="5" width="29.625" customWidth="1"/>
    <col min="6" max="6" width="24.75" customWidth="1"/>
    <col min="7" max="7" width="28.375" customWidth="1"/>
    <col min="8" max="11" width="15.625" customWidth="1"/>
    <col min="13" max="13" width="16.625" customWidth="1"/>
    <col min="14" max="14" width="17.5" customWidth="1"/>
    <col min="15" max="15" width="12.125" customWidth="1"/>
    <col min="16" max="16" width="13" customWidth="1"/>
    <col min="17" max="17" width="13.5" customWidth="1"/>
    <col min="20" max="20" width="14.875" customWidth="1"/>
  </cols>
  <sheetData>
    <row r="1" customHeight="1"/>
    <row r="2" ht="30.75" customHeight="1" spans="3:11">
      <c r="C2" s="322" t="s">
        <v>896</v>
      </c>
      <c r="D2" s="322" t="s">
        <v>2150</v>
      </c>
      <c r="E2" s="322" t="s">
        <v>2473</v>
      </c>
      <c r="F2" s="322" t="s">
        <v>2474</v>
      </c>
      <c r="G2" s="322" t="s">
        <v>2475</v>
      </c>
      <c r="H2" s="322" t="s">
        <v>2476</v>
      </c>
      <c r="I2" s="322" t="s">
        <v>2477</v>
      </c>
      <c r="J2" s="322" t="s">
        <v>2478</v>
      </c>
      <c r="K2" s="322" t="s">
        <v>2479</v>
      </c>
    </row>
    <row r="3" s="321" customFormat="1" ht="39.95" customHeight="1" spans="3:11">
      <c r="C3" s="323" t="s">
        <v>2480</v>
      </c>
      <c r="D3" s="324" t="s">
        <v>2481</v>
      </c>
      <c r="E3" s="325" t="s">
        <v>2482</v>
      </c>
      <c r="F3" s="326" t="s">
        <v>2483</v>
      </c>
      <c r="G3" s="326" t="s">
        <v>2484</v>
      </c>
      <c r="H3" s="326" t="s">
        <v>2485</v>
      </c>
      <c r="I3" s="326" t="s">
        <v>2486</v>
      </c>
      <c r="J3" s="326" t="s">
        <v>2487</v>
      </c>
      <c r="K3" s="326" t="s">
        <v>2488</v>
      </c>
    </row>
    <row r="4" s="321" customFormat="1" ht="20.1" customHeight="1" spans="3:11">
      <c r="C4" s="323"/>
      <c r="D4" s="324" t="s">
        <v>2235</v>
      </c>
      <c r="E4" s="326" t="s">
        <v>2489</v>
      </c>
      <c r="F4" s="326" t="s">
        <v>2483</v>
      </c>
      <c r="G4" s="326" t="s">
        <v>2490</v>
      </c>
      <c r="H4" s="326" t="s">
        <v>2491</v>
      </c>
      <c r="I4" s="326" t="s">
        <v>2492</v>
      </c>
      <c r="J4" s="326" t="s">
        <v>2493</v>
      </c>
      <c r="K4" s="326" t="s">
        <v>2486</v>
      </c>
    </row>
    <row r="5" s="321" customFormat="1" ht="20.1" customHeight="1" spans="3:11">
      <c r="C5" s="326"/>
      <c r="D5" s="326" t="s">
        <v>2296</v>
      </c>
      <c r="E5" s="326" t="s">
        <v>2494</v>
      </c>
      <c r="F5" s="326" t="s">
        <v>2483</v>
      </c>
      <c r="G5" s="326" t="s">
        <v>2495</v>
      </c>
      <c r="H5" s="326" t="s">
        <v>2491</v>
      </c>
      <c r="I5" s="326" t="s">
        <v>2496</v>
      </c>
      <c r="J5" s="326" t="s">
        <v>2493</v>
      </c>
      <c r="K5" s="324" t="s">
        <v>2497</v>
      </c>
    </row>
    <row r="6" s="321" customFormat="1" ht="20.1" customHeight="1" spans="3:11">
      <c r="C6" s="326"/>
      <c r="D6" s="326" t="s">
        <v>2205</v>
      </c>
      <c r="E6" s="326" t="s">
        <v>2498</v>
      </c>
      <c r="F6" s="326" t="s">
        <v>2483</v>
      </c>
      <c r="G6" s="326" t="s">
        <v>2499</v>
      </c>
      <c r="H6" s="326" t="s">
        <v>2491</v>
      </c>
      <c r="I6" s="326" t="s">
        <v>2496</v>
      </c>
      <c r="J6" s="326" t="s">
        <v>2492</v>
      </c>
      <c r="K6" s="326" t="s">
        <v>2493</v>
      </c>
    </row>
    <row r="7" s="321" customFormat="1" ht="20.1" customHeight="1" spans="3:11">
      <c r="C7" s="327"/>
      <c r="D7" s="327"/>
      <c r="E7" s="327"/>
      <c r="F7" s="327"/>
      <c r="G7" s="327"/>
      <c r="H7" s="327"/>
      <c r="I7" s="327"/>
      <c r="J7" s="327"/>
      <c r="K7" s="327"/>
    </row>
    <row r="8" s="321" customFormat="1" ht="39.95" customHeight="1" spans="3:11">
      <c r="C8" s="328" t="s">
        <v>2500</v>
      </c>
      <c r="D8" s="329" t="s">
        <v>2501</v>
      </c>
      <c r="E8" s="330" t="s">
        <v>2502</v>
      </c>
      <c r="F8" s="328" t="s">
        <v>2483</v>
      </c>
      <c r="G8" s="328" t="s">
        <v>2484</v>
      </c>
      <c r="H8" s="328" t="s">
        <v>2485</v>
      </c>
      <c r="I8" s="328" t="s">
        <v>2486</v>
      </c>
      <c r="J8" s="328" t="s">
        <v>2487</v>
      </c>
      <c r="K8" s="328" t="s">
        <v>2488</v>
      </c>
    </row>
    <row r="9" s="321" customFormat="1" ht="20.1" customHeight="1" spans="3:11">
      <c r="C9" s="329"/>
      <c r="D9" s="329" t="s">
        <v>2274</v>
      </c>
      <c r="E9" s="328" t="s">
        <v>2503</v>
      </c>
      <c r="F9" s="328" t="s">
        <v>2483</v>
      </c>
      <c r="G9" s="328" t="s">
        <v>2504</v>
      </c>
      <c r="H9" s="328" t="s">
        <v>2491</v>
      </c>
      <c r="I9" s="328" t="s">
        <v>2496</v>
      </c>
      <c r="J9" s="328" t="s">
        <v>2493</v>
      </c>
      <c r="K9" s="328" t="s">
        <v>2488</v>
      </c>
    </row>
    <row r="10" s="321" customFormat="1" ht="20.1" customHeight="1" spans="3:11">
      <c r="C10" s="328"/>
      <c r="D10" s="328" t="s">
        <v>2231</v>
      </c>
      <c r="E10" s="328" t="s">
        <v>2494</v>
      </c>
      <c r="F10" s="328" t="s">
        <v>2483</v>
      </c>
      <c r="G10" s="328" t="s">
        <v>2505</v>
      </c>
      <c r="H10" s="328" t="s">
        <v>2491</v>
      </c>
      <c r="I10" s="328" t="s">
        <v>2496</v>
      </c>
      <c r="J10" s="328" t="s">
        <v>2493</v>
      </c>
      <c r="K10" s="328" t="s">
        <v>2488</v>
      </c>
    </row>
    <row r="11" s="321" customFormat="1" ht="20.1" customHeight="1" spans="3:11">
      <c r="C11" s="327"/>
      <c r="D11" s="327"/>
      <c r="E11" s="327"/>
      <c r="F11" s="327"/>
      <c r="G11" s="327"/>
      <c r="H11" s="327"/>
      <c r="I11" s="327"/>
      <c r="J11" s="327"/>
      <c r="K11" s="327"/>
    </row>
    <row r="12" s="321" customFormat="1" ht="20.1" customHeight="1" spans="3:11">
      <c r="C12" s="331" t="s">
        <v>2506</v>
      </c>
      <c r="D12" s="331" t="s">
        <v>2507</v>
      </c>
      <c r="E12" s="332" t="s">
        <v>2508</v>
      </c>
      <c r="F12" s="332" t="s">
        <v>2483</v>
      </c>
      <c r="G12" s="332" t="s">
        <v>2484</v>
      </c>
      <c r="H12" s="332" t="s">
        <v>2485</v>
      </c>
      <c r="I12" s="332" t="s">
        <v>2486</v>
      </c>
      <c r="J12" s="332" t="s">
        <v>2487</v>
      </c>
      <c r="K12" s="332" t="s">
        <v>2488</v>
      </c>
    </row>
    <row r="13" s="321" customFormat="1" ht="20.1" customHeight="1" spans="3:11">
      <c r="C13" s="332"/>
      <c r="D13" s="331" t="s">
        <v>730</v>
      </c>
      <c r="E13" s="332" t="s">
        <v>2494</v>
      </c>
      <c r="F13" s="332" t="s">
        <v>2483</v>
      </c>
      <c r="G13" s="332" t="s">
        <v>2509</v>
      </c>
      <c r="H13" s="332" t="s">
        <v>2491</v>
      </c>
      <c r="I13" s="332" t="s">
        <v>2496</v>
      </c>
      <c r="J13" s="332" t="s">
        <v>2493</v>
      </c>
      <c r="K13" s="332" t="s">
        <v>2488</v>
      </c>
    </row>
    <row r="14" s="321" customFormat="1" ht="20.1" customHeight="1" spans="3:11">
      <c r="C14" s="332"/>
      <c r="D14" s="332" t="s">
        <v>2292</v>
      </c>
      <c r="E14" s="332" t="s">
        <v>2510</v>
      </c>
      <c r="F14" s="332" t="s">
        <v>2483</v>
      </c>
      <c r="G14" s="332" t="s">
        <v>2511</v>
      </c>
      <c r="H14" s="332" t="s">
        <v>2491</v>
      </c>
      <c r="I14" s="332" t="s">
        <v>2496</v>
      </c>
      <c r="J14" s="332" t="s">
        <v>2492</v>
      </c>
      <c r="K14" s="332" t="s">
        <v>2493</v>
      </c>
    </row>
    <row r="15" s="321" customFormat="1" ht="20.1" customHeight="1" spans="3:11">
      <c r="C15" s="332"/>
      <c r="D15" s="332" t="s">
        <v>2196</v>
      </c>
      <c r="E15" s="332" t="s">
        <v>2512</v>
      </c>
      <c r="F15" s="332" t="s">
        <v>2483</v>
      </c>
      <c r="G15" s="332" t="s">
        <v>2513</v>
      </c>
      <c r="H15" s="332" t="s">
        <v>2491</v>
      </c>
      <c r="I15" s="332" t="s">
        <v>2496</v>
      </c>
      <c r="J15" s="332" t="s">
        <v>2492</v>
      </c>
      <c r="K15" s="332" t="s">
        <v>2493</v>
      </c>
    </row>
    <row r="16" s="321" customFormat="1" ht="20.1" customHeight="1" spans="3:11">
      <c r="C16" s="327"/>
      <c r="D16" s="327"/>
      <c r="E16" s="327"/>
      <c r="F16" s="327"/>
      <c r="G16" s="327"/>
      <c r="H16" s="327"/>
      <c r="I16" s="327"/>
      <c r="J16" s="327"/>
      <c r="K16" s="327"/>
    </row>
    <row r="17" s="321" customFormat="1" ht="39.95" customHeight="1" spans="3:24">
      <c r="C17" s="333" t="s">
        <v>2514</v>
      </c>
      <c r="D17" s="333" t="s">
        <v>2515</v>
      </c>
      <c r="E17" s="334" t="s">
        <v>2516</v>
      </c>
      <c r="F17" s="335" t="s">
        <v>2483</v>
      </c>
      <c r="G17" s="335" t="s">
        <v>2517</v>
      </c>
      <c r="H17" s="335" t="s">
        <v>2485</v>
      </c>
      <c r="I17" s="335" t="s">
        <v>2486</v>
      </c>
      <c r="J17" s="335" t="s">
        <v>2487</v>
      </c>
      <c r="K17" s="335" t="s">
        <v>2488</v>
      </c>
    </row>
    <row r="18" s="321" customFormat="1" ht="20.1" customHeight="1" spans="3:24">
      <c r="C18" s="333"/>
      <c r="D18" s="333" t="s">
        <v>2300</v>
      </c>
      <c r="E18" s="335" t="s">
        <v>2518</v>
      </c>
      <c r="F18" s="335" t="s">
        <v>2483</v>
      </c>
      <c r="G18" s="335" t="s">
        <v>2509</v>
      </c>
      <c r="H18" s="335" t="s">
        <v>2491</v>
      </c>
      <c r="I18" s="335" t="s">
        <v>2496</v>
      </c>
      <c r="J18" s="335" t="s">
        <v>2493</v>
      </c>
      <c r="K18" s="335" t="s">
        <v>2488</v>
      </c>
    </row>
    <row r="19" s="321" customFormat="1" ht="20.1" customHeight="1" spans="3:24">
      <c r="C19" s="335"/>
      <c r="D19" s="335" t="s">
        <v>2215</v>
      </c>
      <c r="E19" s="335" t="s">
        <v>2519</v>
      </c>
      <c r="F19" s="335" t="s">
        <v>2483</v>
      </c>
      <c r="G19" s="335" t="s">
        <v>2520</v>
      </c>
      <c r="H19" s="335" t="s">
        <v>2491</v>
      </c>
      <c r="I19" s="335" t="s">
        <v>2496</v>
      </c>
      <c r="J19" s="335" t="s">
        <v>2493</v>
      </c>
      <c r="K19" s="333" t="s">
        <v>2497</v>
      </c>
    </row>
    <row r="20" s="321" customFormat="1" ht="20.1" customHeight="1" spans="3:24">
      <c r="C20" s="335"/>
      <c r="D20" s="335" t="s">
        <v>2288</v>
      </c>
      <c r="E20" s="335" t="s">
        <v>2521</v>
      </c>
      <c r="F20" s="335" t="s">
        <v>2483</v>
      </c>
      <c r="G20" s="335" t="s">
        <v>2522</v>
      </c>
      <c r="H20" s="335" t="s">
        <v>2491</v>
      </c>
      <c r="I20" s="335" t="s">
        <v>2496</v>
      </c>
      <c r="J20" s="335" t="s">
        <v>2492</v>
      </c>
      <c r="K20" s="333" t="s">
        <v>2523</v>
      </c>
    </row>
    <row r="21" s="321" customFormat="1" ht="20.1" customHeight="1" spans="3:24">
      <c r="C21" s="327"/>
      <c r="D21" s="327"/>
      <c r="E21" s="327"/>
      <c r="F21" s="327"/>
      <c r="G21" s="327"/>
      <c r="H21" s="327"/>
      <c r="I21" s="327"/>
      <c r="J21" s="327"/>
      <c r="K21" s="327"/>
    </row>
    <row r="22" s="321" customFormat="1" ht="39.95" customHeight="1" spans="3:24">
      <c r="C22" s="336" t="s">
        <v>2524</v>
      </c>
      <c r="D22" s="336" t="s">
        <v>2525</v>
      </c>
      <c r="E22" s="337" t="s">
        <v>2526</v>
      </c>
      <c r="F22" s="338" t="s">
        <v>2483</v>
      </c>
      <c r="G22" s="338" t="s">
        <v>2517</v>
      </c>
      <c r="H22" s="338" t="s">
        <v>2485</v>
      </c>
      <c r="I22" s="338" t="s">
        <v>2486</v>
      </c>
      <c r="J22" s="338" t="s">
        <v>2487</v>
      </c>
      <c r="K22" s="338" t="s">
        <v>2488</v>
      </c>
    </row>
    <row r="23" s="321" customFormat="1" ht="20.1" customHeight="1" spans="3:24">
      <c r="C23" s="336"/>
      <c r="D23" s="336" t="s">
        <v>2304</v>
      </c>
      <c r="E23" s="338" t="s">
        <v>2527</v>
      </c>
      <c r="F23" s="338" t="s">
        <v>2483</v>
      </c>
      <c r="G23" s="338" t="s">
        <v>2509</v>
      </c>
      <c r="H23" s="338" t="s">
        <v>2491</v>
      </c>
      <c r="I23" s="338" t="s">
        <v>2496</v>
      </c>
      <c r="J23" s="338" t="s">
        <v>2493</v>
      </c>
      <c r="K23" s="338" t="s">
        <v>2488</v>
      </c>
    </row>
    <row r="24" s="321" customFormat="1" ht="20.1" customHeight="1" spans="3:24">
      <c r="C24" s="338"/>
      <c r="D24" s="338" t="s">
        <v>2223</v>
      </c>
      <c r="E24" s="338" t="s">
        <v>2494</v>
      </c>
      <c r="F24" s="338" t="s">
        <v>2483</v>
      </c>
      <c r="G24" s="338" t="s">
        <v>2528</v>
      </c>
      <c r="H24" s="338" t="s">
        <v>2491</v>
      </c>
      <c r="I24" s="338" t="s">
        <v>2496</v>
      </c>
      <c r="J24" s="338" t="s">
        <v>2492</v>
      </c>
      <c r="K24" s="336" t="s">
        <v>2497</v>
      </c>
    </row>
    <row r="25" s="321" customFormat="1" ht="20.1" customHeight="1" spans="3:24">
      <c r="C25" s="338"/>
      <c r="D25" s="338" t="s">
        <v>2281</v>
      </c>
      <c r="E25" s="338" t="s">
        <v>2529</v>
      </c>
      <c r="F25" s="338" t="s">
        <v>2483</v>
      </c>
      <c r="G25" s="338" t="s">
        <v>2530</v>
      </c>
      <c r="H25" s="338" t="s">
        <v>2491</v>
      </c>
      <c r="I25" s="338" t="s">
        <v>2496</v>
      </c>
      <c r="J25" s="338" t="s">
        <v>2492</v>
      </c>
      <c r="K25" s="336" t="s">
        <v>2523</v>
      </c>
    </row>
    <row r="26" s="321" customFormat="1" ht="20.1" customHeight="1" spans="3:24">
      <c r="C26" s="338"/>
      <c r="D26" s="338" t="s">
        <v>2268</v>
      </c>
      <c r="E26" s="338" t="s">
        <v>2531</v>
      </c>
      <c r="F26" s="338" t="s">
        <v>2483</v>
      </c>
      <c r="G26" s="338" t="s">
        <v>2532</v>
      </c>
      <c r="H26" s="338" t="s">
        <v>2491</v>
      </c>
      <c r="I26" s="338" t="s">
        <v>2496</v>
      </c>
      <c r="J26" s="338" t="s">
        <v>2492</v>
      </c>
      <c r="K26" s="338" t="s">
        <v>2493</v>
      </c>
    </row>
    <row r="27" s="321" customFormat="1" ht="20.1" customHeight="1" spans="3:24">
      <c r="C27" s="327"/>
      <c r="D27" s="327"/>
      <c r="E27" s="327"/>
      <c r="F27" s="327"/>
      <c r="G27" s="327"/>
      <c r="H27" s="327"/>
      <c r="I27" s="327"/>
      <c r="J27" s="327"/>
      <c r="K27" s="327"/>
    </row>
    <row r="28" s="321" customFormat="1" ht="58.5" customHeight="1" spans="3:24">
      <c r="C28" s="339" t="s">
        <v>2533</v>
      </c>
      <c r="D28" s="339" t="s">
        <v>2534</v>
      </c>
      <c r="E28" s="340" t="s">
        <v>2535</v>
      </c>
      <c r="F28" s="340" t="s">
        <v>2536</v>
      </c>
      <c r="G28" s="340" t="s">
        <v>2537</v>
      </c>
      <c r="H28" s="340" t="s">
        <v>2538</v>
      </c>
      <c r="I28" s="340" t="s">
        <v>2539</v>
      </c>
      <c r="J28" s="340" t="s">
        <v>2540</v>
      </c>
      <c r="K28" s="340" t="s">
        <v>2541</v>
      </c>
    </row>
    <row r="29" spans="3:24">
      <c r="C29" s="229"/>
      <c r="D29" s="229"/>
      <c r="E29" s="229"/>
      <c r="F29" s="229"/>
      <c r="G29" s="229"/>
      <c r="H29" s="229"/>
      <c r="I29" s="229"/>
      <c r="J29" s="229"/>
      <c r="K29" s="229"/>
      <c r="L29" s="14"/>
    </row>
    <row r="30" spans="3:24">
      <c r="C30" s="229"/>
      <c r="D30" s="229"/>
      <c r="E30" s="229"/>
      <c r="F30" s="229"/>
      <c r="G30" s="229"/>
      <c r="H30" s="229"/>
      <c r="I30" s="229"/>
      <c r="J30" s="229"/>
      <c r="K30" s="229"/>
      <c r="L30" s="14"/>
    </row>
    <row r="31" ht="18" customHeight="1" spans="3:24">
      <c r="C31" s="229"/>
      <c r="D31" s="229"/>
      <c r="E31" s="229"/>
      <c r="F31" s="229"/>
      <c r="G31" s="229"/>
      <c r="H31" s="229"/>
      <c r="I31" s="229"/>
      <c r="J31" s="229"/>
      <c r="K31" s="229"/>
      <c r="L31" s="14"/>
      <c r="M31" s="341" t="s">
        <v>2542</v>
      </c>
      <c r="N31" s="341"/>
      <c r="O31" s="341"/>
      <c r="P31" s="341"/>
      <c r="Q31" s="341"/>
      <c r="R31" s="321"/>
      <c r="S31" s="13" t="s">
        <v>2475</v>
      </c>
      <c r="T31" s="28"/>
      <c r="U31" s="342" t="s">
        <v>2543</v>
      </c>
      <c r="V31" s="343"/>
      <c r="W31" s="343"/>
      <c r="X31" s="344"/>
    </row>
    <row r="32" ht="18" customHeight="1" spans="3:24">
      <c r="M32" s="327" t="s">
        <v>2544</v>
      </c>
      <c r="N32" s="327" t="s">
        <v>2545</v>
      </c>
      <c r="O32" s="327"/>
      <c r="P32" s="327"/>
      <c r="Q32" s="327"/>
      <c r="R32" s="321"/>
      <c r="S32" s="13">
        <v>176</v>
      </c>
      <c r="T32" s="5" t="s">
        <v>17</v>
      </c>
      <c r="U32" s="13" t="s">
        <v>2546</v>
      </c>
      <c r="V32" s="13" t="s">
        <v>2547</v>
      </c>
      <c r="W32" s="13" t="s">
        <v>2548</v>
      </c>
      <c r="X32" s="13" t="s">
        <v>2549</v>
      </c>
    </row>
    <row r="33" ht="18" customHeight="1" spans="13:24">
      <c r="M33" s="345" t="s">
        <v>2550</v>
      </c>
      <c r="N33" s="13" t="s">
        <v>2551</v>
      </c>
      <c r="O33" s="13" t="s">
        <v>2552</v>
      </c>
      <c r="P33" s="13" t="s">
        <v>2553</v>
      </c>
      <c r="Q33" s="13" t="s">
        <v>2554</v>
      </c>
      <c r="R33" s="321"/>
      <c r="S33" s="13">
        <v>192</v>
      </c>
      <c r="T33" s="5" t="s">
        <v>12</v>
      </c>
      <c r="U33" s="13" t="s">
        <v>2555</v>
      </c>
      <c r="V33" s="13" t="s">
        <v>2556</v>
      </c>
      <c r="W33" s="13" t="s">
        <v>2557</v>
      </c>
      <c r="X33" s="13" t="s">
        <v>2558</v>
      </c>
    </row>
    <row r="34" ht="18" customHeight="1" spans="13:24">
      <c r="M34" s="345" t="s">
        <v>883</v>
      </c>
      <c r="N34" s="13" t="s">
        <v>2559</v>
      </c>
      <c r="O34" s="13" t="s">
        <v>2560</v>
      </c>
      <c r="P34" s="13" t="s">
        <v>2561</v>
      </c>
      <c r="Q34" s="13"/>
      <c r="R34" s="321"/>
      <c r="S34" s="13">
        <v>192</v>
      </c>
      <c r="T34" s="5" t="s">
        <v>7</v>
      </c>
      <c r="U34" s="13" t="s">
        <v>2562</v>
      </c>
      <c r="V34" s="13" t="s">
        <v>2563</v>
      </c>
      <c r="W34" s="13" t="s">
        <v>2564</v>
      </c>
      <c r="X34" s="13" t="s">
        <v>2565</v>
      </c>
    </row>
    <row r="35" ht="18" customHeight="1" spans="13:24">
      <c r="M35" s="345" t="s">
        <v>887</v>
      </c>
      <c r="N35" s="13" t="s">
        <v>2560</v>
      </c>
      <c r="O35" s="13" t="s">
        <v>2561</v>
      </c>
      <c r="P35" s="13" t="s">
        <v>2566</v>
      </c>
      <c r="Q35" s="13" t="s">
        <v>2567</v>
      </c>
      <c r="R35" s="321"/>
      <c r="S35" s="13">
        <v>200</v>
      </c>
      <c r="T35" s="5" t="s">
        <v>34</v>
      </c>
      <c r="U35" s="346"/>
      <c r="V35" s="13" t="s">
        <v>2568</v>
      </c>
      <c r="W35" s="13" t="s">
        <v>2569</v>
      </c>
      <c r="X35" s="13" t="s">
        <v>2570</v>
      </c>
    </row>
    <row r="36" ht="18" customHeight="1" spans="13:24">
      <c r="M36" s="345" t="s">
        <v>888</v>
      </c>
      <c r="N36" s="13" t="s">
        <v>2567</v>
      </c>
      <c r="O36" s="13" t="s">
        <v>2571</v>
      </c>
      <c r="P36" s="13" t="s">
        <v>2572</v>
      </c>
      <c r="Q36" s="13"/>
      <c r="R36" s="321"/>
      <c r="S36" s="13">
        <v>200</v>
      </c>
      <c r="T36" s="5" t="s">
        <v>31</v>
      </c>
      <c r="U36" s="346"/>
      <c r="V36" s="13" t="s">
        <v>2573</v>
      </c>
      <c r="W36" s="13" t="s">
        <v>2574</v>
      </c>
      <c r="X36" s="13" t="s">
        <v>2575</v>
      </c>
    </row>
    <row r="37" ht="18" customHeight="1" spans="13:24">
      <c r="M37" s="345" t="s">
        <v>889</v>
      </c>
      <c r="N37" s="5" t="s">
        <v>2576</v>
      </c>
      <c r="O37" s="13" t="s">
        <v>2577</v>
      </c>
      <c r="P37" s="13" t="s">
        <v>2578</v>
      </c>
      <c r="Q37" s="13"/>
      <c r="R37" s="321"/>
      <c r="S37" s="13">
        <v>40</v>
      </c>
      <c r="T37" s="5" t="s">
        <v>28</v>
      </c>
      <c r="U37" s="346"/>
      <c r="V37" s="13" t="s">
        <v>2579</v>
      </c>
      <c r="W37" s="13" t="s">
        <v>2580</v>
      </c>
      <c r="X37" s="13" t="s">
        <v>2581</v>
      </c>
    </row>
    <row r="38" ht="18" customHeight="1" spans="13:24">
      <c r="M38" s="345" t="s">
        <v>892</v>
      </c>
      <c r="N38" s="13" t="s">
        <v>2572</v>
      </c>
      <c r="O38" s="13" t="s">
        <v>2576</v>
      </c>
      <c r="P38" s="13" t="s">
        <v>2582</v>
      </c>
      <c r="Q38" s="13" t="s">
        <v>2583</v>
      </c>
      <c r="R38" s="321"/>
      <c r="S38" s="13">
        <v>3856</v>
      </c>
      <c r="T38" s="5" t="s">
        <v>2584</v>
      </c>
      <c r="U38" s="347" t="s">
        <v>2585</v>
      </c>
      <c r="V38" s="348"/>
      <c r="W38" s="13"/>
      <c r="X38" s="13"/>
    </row>
    <row r="39" ht="18" customHeight="1" spans="13:24">
      <c r="M39" s="345" t="s">
        <v>893</v>
      </c>
      <c r="N39" s="13" t="s">
        <v>2582</v>
      </c>
      <c r="O39" s="13" t="s">
        <v>2578</v>
      </c>
      <c r="P39" s="13" t="s">
        <v>2583</v>
      </c>
      <c r="Q39" s="13" t="s">
        <v>2586</v>
      </c>
      <c r="R39" s="321"/>
      <c r="S39" s="13">
        <v>2664</v>
      </c>
      <c r="T39" s="5" t="s">
        <v>2587</v>
      </c>
      <c r="U39" s="349" t="s">
        <v>2588</v>
      </c>
      <c r="V39" s="350"/>
      <c r="W39" s="13"/>
      <c r="X39" s="13"/>
    </row>
    <row r="40" ht="18" customHeight="1" spans="13:24">
      <c r="M40" s="345" t="s">
        <v>895</v>
      </c>
      <c r="N40" s="13" t="s">
        <v>2589</v>
      </c>
      <c r="O40" s="13"/>
      <c r="P40" s="13"/>
      <c r="Q40" s="13"/>
      <c r="R40" s="321"/>
      <c r="S40" s="13">
        <v>1248</v>
      </c>
      <c r="T40" s="5" t="s">
        <v>2590</v>
      </c>
      <c r="U40" s="349" t="s">
        <v>2591</v>
      </c>
      <c r="V40" s="350"/>
      <c r="W40" s="13"/>
      <c r="X40" s="13"/>
    </row>
    <row r="41" ht="18" customHeight="1" spans="13:24">
      <c r="M41" s="345" t="s">
        <v>898</v>
      </c>
      <c r="N41" s="13" t="s">
        <v>2592</v>
      </c>
      <c r="O41" s="13"/>
      <c r="P41" s="13"/>
      <c r="Q41" s="13"/>
      <c r="R41" s="321"/>
      <c r="S41" s="13">
        <v>752</v>
      </c>
      <c r="T41" s="5" t="s">
        <v>2593</v>
      </c>
      <c r="U41" s="349" t="s">
        <v>2594</v>
      </c>
      <c r="V41" s="350"/>
      <c r="W41" s="13"/>
      <c r="X41" s="13"/>
    </row>
    <row r="42" ht="18" customHeight="1" spans="13:24">
      <c r="M42" s="345" t="s">
        <v>901</v>
      </c>
      <c r="N42" s="13" t="s">
        <v>2595</v>
      </c>
      <c r="O42" s="13"/>
      <c r="P42" s="13"/>
      <c r="Q42" s="13"/>
      <c r="R42" s="321"/>
      <c r="S42" s="321"/>
      <c r="T42" s="321"/>
      <c r="U42" s="321"/>
      <c r="V42" s="321"/>
      <c r="W42" s="321"/>
      <c r="X42" s="321"/>
    </row>
    <row r="43" ht="18" customHeight="1" spans="13:24"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</row>
    <row r="44" ht="18" customHeight="1" spans="13:24">
      <c r="M44" s="5" t="s">
        <v>2596</v>
      </c>
      <c r="N44" s="13" t="s">
        <v>2597</v>
      </c>
      <c r="O44" s="13" t="s">
        <v>2473</v>
      </c>
      <c r="P44" s="13" t="s">
        <v>2474</v>
      </c>
      <c r="Q44" s="13" t="s">
        <v>2475</v>
      </c>
      <c r="R44" s="321"/>
      <c r="S44" s="321"/>
      <c r="T44" s="321"/>
      <c r="U44" s="321"/>
      <c r="V44" s="321"/>
      <c r="W44" s="321"/>
      <c r="X44" s="321"/>
    </row>
    <row r="45" ht="18" customHeight="1" spans="13:24">
      <c r="M45" s="5" t="s">
        <v>17</v>
      </c>
      <c r="N45" s="13">
        <v>22</v>
      </c>
      <c r="O45" s="13">
        <f>N45*2</f>
        <v>44</v>
      </c>
      <c r="P45" s="13">
        <f>O45*2</f>
        <v>88</v>
      </c>
      <c r="Q45" s="13">
        <f>P45*2</f>
        <v>176</v>
      </c>
      <c r="R45" s="321"/>
      <c r="S45" s="321"/>
      <c r="T45" s="321"/>
      <c r="U45" s="321"/>
      <c r="V45" s="321"/>
      <c r="W45" s="321"/>
      <c r="X45" s="321"/>
    </row>
    <row r="46" ht="18" customHeight="1" spans="13:24">
      <c r="M46" s="5" t="s">
        <v>12</v>
      </c>
      <c r="N46" s="13">
        <v>24</v>
      </c>
      <c r="O46" s="13">
        <f t="shared" ref="O46:O54" si="0">N46*2</f>
        <v>48</v>
      </c>
      <c r="P46" s="13">
        <f t="shared" ref="P46:P54" si="1">O46*2</f>
        <v>96</v>
      </c>
      <c r="Q46" s="13">
        <f t="shared" ref="Q46:Q51" si="2">P46*2</f>
        <v>192</v>
      </c>
      <c r="R46" s="321"/>
      <c r="S46" s="321"/>
      <c r="T46" s="321"/>
      <c r="U46" s="321"/>
      <c r="V46" s="321"/>
      <c r="W46" s="321"/>
      <c r="X46" s="321"/>
    </row>
    <row r="47" ht="18" customHeight="1" spans="13:24">
      <c r="M47" s="5" t="s">
        <v>7</v>
      </c>
      <c r="N47" s="13">
        <v>24</v>
      </c>
      <c r="O47" s="13">
        <f t="shared" si="0"/>
        <v>48</v>
      </c>
      <c r="P47" s="13">
        <f t="shared" si="1"/>
        <v>96</v>
      </c>
      <c r="Q47" s="13">
        <f t="shared" si="2"/>
        <v>192</v>
      </c>
      <c r="R47" s="321"/>
      <c r="S47" s="321"/>
      <c r="T47" s="321"/>
      <c r="U47" s="321"/>
      <c r="V47" s="321"/>
      <c r="W47" s="321"/>
      <c r="X47" s="321"/>
    </row>
    <row r="48" ht="18" customHeight="1" spans="13:24">
      <c r="M48" s="5" t="s">
        <v>34</v>
      </c>
      <c r="N48" s="13">
        <v>25</v>
      </c>
      <c r="O48" s="13">
        <f t="shared" si="0"/>
        <v>50</v>
      </c>
      <c r="P48" s="13">
        <f t="shared" si="1"/>
        <v>100</v>
      </c>
      <c r="Q48" s="13">
        <f t="shared" si="2"/>
        <v>200</v>
      </c>
      <c r="R48" s="321"/>
      <c r="S48" s="321"/>
      <c r="T48" s="321"/>
      <c r="U48" s="321"/>
      <c r="V48" s="321"/>
      <c r="W48" s="321"/>
      <c r="X48" s="321"/>
    </row>
    <row r="49" ht="18" customHeight="1" spans="13:24">
      <c r="M49" s="5" t="s">
        <v>31</v>
      </c>
      <c r="N49" s="13">
        <v>25</v>
      </c>
      <c r="O49" s="13">
        <f t="shared" si="0"/>
        <v>50</v>
      </c>
      <c r="P49" s="13">
        <f t="shared" si="1"/>
        <v>100</v>
      </c>
      <c r="Q49" s="13">
        <f t="shared" si="2"/>
        <v>200</v>
      </c>
      <c r="R49" s="321"/>
      <c r="S49" s="321"/>
      <c r="T49" s="321"/>
      <c r="U49" s="321"/>
      <c r="V49" s="321"/>
      <c r="W49" s="321"/>
      <c r="X49" s="321"/>
    </row>
    <row r="50" ht="18" customHeight="1" spans="13:24">
      <c r="M50" s="5" t="s">
        <v>28</v>
      </c>
      <c r="N50" s="13">
        <v>5</v>
      </c>
      <c r="O50" s="13">
        <f t="shared" si="0"/>
        <v>10</v>
      </c>
      <c r="P50" s="13">
        <f t="shared" si="1"/>
        <v>20</v>
      </c>
      <c r="Q50" s="13">
        <f t="shared" si="2"/>
        <v>40</v>
      </c>
      <c r="R50" s="321"/>
      <c r="S50" s="321"/>
      <c r="T50" s="321"/>
      <c r="U50" s="321"/>
      <c r="V50" s="321"/>
      <c r="W50" s="321"/>
      <c r="X50" s="321"/>
    </row>
    <row r="51" ht="18" customHeight="1" spans="13:24">
      <c r="M51" s="5" t="s">
        <v>2584</v>
      </c>
      <c r="N51" s="13">
        <v>482</v>
      </c>
      <c r="O51" s="13">
        <f t="shared" si="0"/>
        <v>964</v>
      </c>
      <c r="P51" s="13">
        <f t="shared" si="1"/>
        <v>1928</v>
      </c>
      <c r="Q51" s="13">
        <f t="shared" si="2"/>
        <v>3856</v>
      </c>
      <c r="R51" s="321"/>
      <c r="S51" s="321"/>
      <c r="T51" s="321"/>
      <c r="U51" s="321"/>
      <c r="V51" s="321"/>
      <c r="W51" s="321"/>
      <c r="X51" s="321"/>
    </row>
    <row r="52" ht="18" customHeight="1" spans="13:24">
      <c r="M52" s="5" t="s">
        <v>2587</v>
      </c>
      <c r="N52" s="13">
        <v>333</v>
      </c>
      <c r="O52" s="13">
        <f t="shared" si="0"/>
        <v>666</v>
      </c>
      <c r="P52" s="13">
        <f t="shared" si="1"/>
        <v>1332</v>
      </c>
      <c r="Q52" s="13">
        <f t="shared" ref="Q52:Q54" si="3">P52*2</f>
        <v>2664</v>
      </c>
    </row>
    <row r="53" ht="18" customHeight="1" spans="13:24">
      <c r="M53" s="5" t="s">
        <v>2590</v>
      </c>
      <c r="N53" s="13">
        <v>156</v>
      </c>
      <c r="O53" s="13">
        <f t="shared" si="0"/>
        <v>312</v>
      </c>
      <c r="P53" s="13">
        <f t="shared" si="1"/>
        <v>624</v>
      </c>
      <c r="Q53" s="13">
        <f t="shared" si="3"/>
        <v>1248</v>
      </c>
    </row>
    <row r="54" ht="18" customHeight="1" spans="13:24">
      <c r="M54" s="5" t="s">
        <v>2593</v>
      </c>
      <c r="N54" s="13">
        <v>94</v>
      </c>
      <c r="O54" s="13">
        <f t="shared" si="0"/>
        <v>188</v>
      </c>
      <c r="P54" s="13">
        <f t="shared" si="1"/>
        <v>376</v>
      </c>
      <c r="Q54" s="13">
        <f t="shared" si="3"/>
        <v>752</v>
      </c>
    </row>
  </sheetData>
  <mergeCells count="4">
    <mergeCell ref="M31:Q31"/>
    <mergeCell ref="U31:X31"/>
    <mergeCell ref="N32:Q32"/>
    <mergeCell ref="U38:V38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178"/>
  <sheetViews>
    <sheetView zoomScale="85" zoomScaleNormal="85" topLeftCell="A16" workbookViewId="0">
      <selection activeCell="O14" sqref="O14"/>
    </sheetView>
  </sheetViews>
  <sheetFormatPr defaultColWidth="9" defaultRowHeight="13.5"/>
  <cols>
    <col min="1" max="1" width="3.25" style="41" customWidth="1"/>
    <col min="2" max="2" width="11.625" style="178" customWidth="1"/>
    <col min="3" max="3" width="14.625" style="178" customWidth="1"/>
    <col min="4" max="5" width="6.5" style="41" customWidth="1"/>
    <col min="6" max="6" width="7.625" style="41" customWidth="1"/>
    <col min="7" max="7" width="6.5" style="41" customWidth="1"/>
    <col min="8" max="10" width="10.625" style="41" customWidth="1"/>
    <col min="11" max="11" width="8" style="41" customWidth="1"/>
    <col min="12" max="12" width="9.125" style="41" customWidth="1"/>
    <col min="13" max="14" width="10.625" style="41" customWidth="1"/>
    <col min="15" max="21" width="9" style="41"/>
    <col min="22" max="22" width="5" style="41" customWidth="1"/>
    <col min="23" max="16384" width="9" style="41"/>
  </cols>
  <sheetData>
    <row r="1" ht="15" customHeight="1"/>
    <row r="2" ht="15" customHeight="1" spans="2:23">
      <c r="B2" s="2" t="s">
        <v>2598</v>
      </c>
      <c r="C2" s="2" t="s">
        <v>1277</v>
      </c>
      <c r="D2" s="2" t="s">
        <v>191</v>
      </c>
      <c r="E2" s="2" t="s">
        <v>192</v>
      </c>
      <c r="F2" s="2" t="s">
        <v>189</v>
      </c>
      <c r="G2" s="2" t="s">
        <v>190</v>
      </c>
      <c r="H2" s="2" t="s">
        <v>198</v>
      </c>
      <c r="I2" s="320"/>
      <c r="J2" s="2"/>
      <c r="K2" s="2" t="s">
        <v>191</v>
      </c>
      <c r="L2" s="2" t="s">
        <v>192</v>
      </c>
      <c r="M2" s="2" t="s">
        <v>189</v>
      </c>
      <c r="N2" s="2" t="s">
        <v>190</v>
      </c>
      <c r="O2" s="2" t="s">
        <v>198</v>
      </c>
      <c r="P2" s="2" t="s">
        <v>2599</v>
      </c>
      <c r="Q2" s="2" t="s">
        <v>2600</v>
      </c>
      <c r="R2" s="2" t="s">
        <v>2601</v>
      </c>
      <c r="S2" s="2" t="s">
        <v>2602</v>
      </c>
      <c r="T2" s="2" t="s">
        <v>2603</v>
      </c>
      <c r="U2" s="2" t="s">
        <v>2604</v>
      </c>
      <c r="V2" s="2" t="s">
        <v>2605</v>
      </c>
      <c r="W2" s="2" t="s">
        <v>199</v>
      </c>
    </row>
    <row r="3" ht="15" customHeight="1" spans="2:23">
      <c r="B3" s="2" t="s">
        <v>2606</v>
      </c>
      <c r="C3" s="2" t="s">
        <v>2607</v>
      </c>
      <c r="D3" s="110">
        <v>86</v>
      </c>
      <c r="E3" s="110">
        <v>86</v>
      </c>
      <c r="F3" s="13"/>
      <c r="G3" s="13"/>
      <c r="H3" s="13"/>
      <c r="I3" s="229"/>
      <c r="J3" s="13" t="s">
        <v>2608</v>
      </c>
      <c r="K3" s="13">
        <v>692</v>
      </c>
      <c r="L3" s="13">
        <v>692</v>
      </c>
      <c r="M3" s="13">
        <v>2768</v>
      </c>
      <c r="N3" s="13">
        <v>1036</v>
      </c>
      <c r="O3" s="13">
        <v>692</v>
      </c>
      <c r="P3" s="13"/>
      <c r="Q3" s="13"/>
      <c r="R3" s="13"/>
      <c r="S3" s="13"/>
      <c r="T3" s="13"/>
      <c r="U3" s="13"/>
      <c r="V3" s="13"/>
      <c r="W3" s="13">
        <v>2000</v>
      </c>
    </row>
    <row r="4" ht="15" customHeight="1" spans="2:23">
      <c r="B4" s="2"/>
      <c r="C4" s="2" t="s">
        <v>2609</v>
      </c>
      <c r="D4" s="110">
        <v>86</v>
      </c>
      <c r="E4" s="110"/>
      <c r="F4" s="13">
        <v>346</v>
      </c>
      <c r="G4" s="13"/>
      <c r="H4" s="13"/>
      <c r="I4" s="229"/>
      <c r="J4" s="13" t="s">
        <v>2610</v>
      </c>
      <c r="K4" s="13">
        <v>2682</v>
      </c>
      <c r="L4" s="13">
        <v>2682</v>
      </c>
      <c r="M4" s="13">
        <v>10728</v>
      </c>
      <c r="N4" s="13">
        <v>4021</v>
      </c>
      <c r="O4" s="13">
        <v>1788</v>
      </c>
      <c r="P4" s="13">
        <v>1</v>
      </c>
      <c r="Q4" s="13">
        <v>1</v>
      </c>
      <c r="R4" s="13"/>
      <c r="S4" s="13"/>
      <c r="T4" s="13"/>
      <c r="U4" s="13"/>
      <c r="V4" s="13"/>
      <c r="W4" s="13">
        <v>8000</v>
      </c>
    </row>
    <row r="5" ht="15" customHeight="1" spans="2:23">
      <c r="B5" s="2"/>
      <c r="C5" s="2" t="s">
        <v>2611</v>
      </c>
      <c r="D5" s="110">
        <v>86</v>
      </c>
      <c r="E5" s="110"/>
      <c r="F5" s="13"/>
      <c r="G5" s="13">
        <v>129</v>
      </c>
      <c r="H5" s="13"/>
      <c r="I5" s="229"/>
      <c r="J5" s="13" t="s">
        <v>2612</v>
      </c>
      <c r="K5" s="13">
        <v>10270</v>
      </c>
      <c r="L5" s="13">
        <v>10270</v>
      </c>
      <c r="M5" s="13">
        <v>46968</v>
      </c>
      <c r="N5" s="13">
        <v>15408</v>
      </c>
      <c r="O5" s="13">
        <v>10270</v>
      </c>
      <c r="P5" s="13">
        <v>1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/>
      <c r="W5" s="13">
        <v>30000</v>
      </c>
    </row>
    <row r="6" ht="15" customHeight="1" spans="2:23">
      <c r="B6" s="2"/>
      <c r="C6" s="2" t="s">
        <v>2613</v>
      </c>
      <c r="D6" s="110">
        <v>86</v>
      </c>
      <c r="E6" s="110"/>
      <c r="F6" s="13"/>
      <c r="G6" s="13"/>
      <c r="H6" s="13">
        <v>86</v>
      </c>
      <c r="I6" s="229"/>
      <c r="J6" s="13" t="s">
        <v>2614</v>
      </c>
      <c r="K6" s="13">
        <v>37701</v>
      </c>
      <c r="L6" s="13">
        <v>37701</v>
      </c>
      <c r="M6" s="13">
        <v>150831</v>
      </c>
      <c r="N6" s="13">
        <v>56556</v>
      </c>
      <c r="O6" s="13">
        <v>33512</v>
      </c>
      <c r="P6" s="13">
        <v>2</v>
      </c>
      <c r="Q6" s="13">
        <v>2</v>
      </c>
      <c r="R6" s="13">
        <v>2</v>
      </c>
      <c r="S6" s="13">
        <v>2</v>
      </c>
      <c r="T6" s="13">
        <v>2</v>
      </c>
      <c r="U6" s="13">
        <v>2</v>
      </c>
      <c r="V6" s="13">
        <v>2</v>
      </c>
      <c r="W6" s="13">
        <v>110000</v>
      </c>
    </row>
    <row r="7" ht="15" customHeight="1" spans="2:23">
      <c r="B7" s="2"/>
      <c r="C7" s="2" t="s">
        <v>2615</v>
      </c>
      <c r="D7" s="13"/>
      <c r="E7" s="13">
        <v>86</v>
      </c>
      <c r="F7" s="13">
        <v>346</v>
      </c>
      <c r="G7" s="13"/>
      <c r="H7" s="13"/>
      <c r="I7" s="229"/>
      <c r="J7" s="13" t="s">
        <v>2616</v>
      </c>
      <c r="K7" s="13">
        <v>114011</v>
      </c>
      <c r="L7" s="13">
        <v>125412</v>
      </c>
      <c r="M7" s="13">
        <v>501677</v>
      </c>
      <c r="N7" s="13">
        <v>171021</v>
      </c>
      <c r="O7" s="229">
        <v>114011</v>
      </c>
      <c r="P7" s="13">
        <v>3</v>
      </c>
      <c r="Q7" s="13">
        <v>3</v>
      </c>
      <c r="R7" s="13">
        <v>3</v>
      </c>
      <c r="S7" s="13">
        <v>3</v>
      </c>
      <c r="T7" s="13">
        <v>2</v>
      </c>
      <c r="U7" s="13">
        <v>2</v>
      </c>
      <c r="V7" s="13">
        <v>2</v>
      </c>
      <c r="W7" s="13">
        <v>400000</v>
      </c>
    </row>
    <row r="8" ht="15" customHeight="1" spans="2:23">
      <c r="B8" s="2"/>
      <c r="C8" s="2" t="s">
        <v>2617</v>
      </c>
      <c r="D8" s="13"/>
      <c r="E8" s="13">
        <v>86</v>
      </c>
      <c r="F8" s="13"/>
      <c r="G8" s="13">
        <v>129</v>
      </c>
      <c r="H8" s="13"/>
      <c r="I8" s="229"/>
      <c r="J8" s="301" t="s">
        <v>226</v>
      </c>
      <c r="K8" s="301">
        <f>SUM(K3:K7)</f>
        <v>165356</v>
      </c>
      <c r="L8" s="301">
        <f t="shared" ref="L8:O8" si="0">SUM(L3:L7)</f>
        <v>176757</v>
      </c>
      <c r="M8" s="301">
        <f t="shared" si="0"/>
        <v>712972</v>
      </c>
      <c r="N8" s="301">
        <f t="shared" si="0"/>
        <v>248042</v>
      </c>
      <c r="O8" s="301">
        <f t="shared" si="0"/>
        <v>160273</v>
      </c>
      <c r="P8" s="301">
        <f t="shared" ref="P8:W8" si="1">SUM(P3:P7)</f>
        <v>7</v>
      </c>
      <c r="Q8" s="301">
        <f t="shared" si="1"/>
        <v>7</v>
      </c>
      <c r="R8" s="301">
        <f t="shared" si="1"/>
        <v>6</v>
      </c>
      <c r="S8" s="301">
        <f t="shared" si="1"/>
        <v>6</v>
      </c>
      <c r="T8" s="301">
        <f t="shared" si="1"/>
        <v>5</v>
      </c>
      <c r="U8" s="301">
        <f t="shared" si="1"/>
        <v>5</v>
      </c>
      <c r="V8" s="301">
        <f t="shared" si="1"/>
        <v>4</v>
      </c>
      <c r="W8" s="301">
        <f t="shared" si="1"/>
        <v>550000</v>
      </c>
    </row>
    <row r="9" ht="15" customHeight="1" spans="2:23">
      <c r="B9" s="2" t="s">
        <v>2618</v>
      </c>
      <c r="C9" s="2" t="s">
        <v>2619</v>
      </c>
      <c r="D9" s="13"/>
      <c r="E9" s="13">
        <v>86</v>
      </c>
      <c r="F9" s="13"/>
      <c r="G9" s="13"/>
      <c r="H9" s="13">
        <v>86</v>
      </c>
      <c r="I9" s="229"/>
      <c r="J9" s="229"/>
      <c r="K9" s="229"/>
      <c r="L9" s="229"/>
      <c r="M9" s="229"/>
      <c r="N9" s="229"/>
      <c r="O9" s="229"/>
    </row>
    <row r="10" ht="15" customHeight="1" spans="2:23">
      <c r="B10" s="2"/>
      <c r="C10" s="2" t="s">
        <v>2620</v>
      </c>
      <c r="D10" s="13"/>
      <c r="E10" s="13"/>
      <c r="F10" s="13">
        <v>346</v>
      </c>
      <c r="G10" s="13">
        <v>129</v>
      </c>
      <c r="H10" s="13"/>
      <c r="I10" s="229"/>
      <c r="J10" s="229"/>
      <c r="K10" s="229"/>
      <c r="L10" s="229"/>
      <c r="M10" s="229"/>
      <c r="N10" s="229"/>
      <c r="O10" s="229"/>
    </row>
    <row r="11" ht="15" customHeight="1" spans="2:23">
      <c r="B11" s="2"/>
      <c r="C11" s="2" t="s">
        <v>2621</v>
      </c>
      <c r="D11" s="13"/>
      <c r="E11" s="13"/>
      <c r="F11" s="13">
        <v>346</v>
      </c>
      <c r="G11" s="13"/>
      <c r="H11" s="13">
        <v>86</v>
      </c>
      <c r="I11" s="229"/>
      <c r="J11" s="229"/>
      <c r="K11" s="229"/>
      <c r="L11" s="229"/>
      <c r="M11" s="229"/>
      <c r="N11" s="229"/>
      <c r="O11" s="229"/>
    </row>
    <row r="12" ht="15" customHeight="1" spans="2:23">
      <c r="B12" s="2"/>
      <c r="C12" s="2" t="s">
        <v>2622</v>
      </c>
      <c r="D12" s="13"/>
      <c r="E12" s="13"/>
      <c r="F12" s="13"/>
      <c r="G12" s="13">
        <v>129</v>
      </c>
      <c r="H12" s="13">
        <v>86</v>
      </c>
      <c r="I12" s="229"/>
      <c r="J12" s="229"/>
    </row>
    <row r="13" s="229" customFormat="1" ht="15" customHeight="1" spans="2:23">
      <c r="B13" s="302"/>
      <c r="C13" s="302" t="s">
        <v>902</v>
      </c>
      <c r="D13" s="301">
        <f>COUNT(D3:D12)</f>
        <v>4</v>
      </c>
      <c r="E13" s="301">
        <f t="shared" ref="E13:H13" si="2">COUNT(E3:E12)</f>
        <v>4</v>
      </c>
      <c r="F13" s="301">
        <f t="shared" si="2"/>
        <v>4</v>
      </c>
      <c r="G13" s="301">
        <f t="shared" si="2"/>
        <v>4</v>
      </c>
      <c r="H13" s="301">
        <f t="shared" si="2"/>
        <v>4</v>
      </c>
    </row>
    <row r="14" s="229" customFormat="1" ht="15" customHeight="1" spans="2:23">
      <c r="B14" s="302" t="s">
        <v>2623</v>
      </c>
      <c r="C14" s="302" t="s">
        <v>2624</v>
      </c>
      <c r="D14" s="301">
        <v>173</v>
      </c>
      <c r="E14" s="301">
        <v>173</v>
      </c>
      <c r="F14" s="301">
        <v>692</v>
      </c>
      <c r="G14" s="301">
        <v>259</v>
      </c>
      <c r="H14" s="301">
        <v>173</v>
      </c>
    </row>
    <row r="15" s="229" customFormat="1" ht="15" customHeight="1" spans="2:23">
      <c r="B15" s="302" t="s">
        <v>2625</v>
      </c>
      <c r="C15" s="302" t="s">
        <v>2626</v>
      </c>
      <c r="D15" s="301">
        <f>D13*D14</f>
        <v>692</v>
      </c>
      <c r="E15" s="301">
        <f t="shared" ref="E15:H15" si="3">E13*E14</f>
        <v>692</v>
      </c>
      <c r="F15" s="301">
        <f t="shared" si="3"/>
        <v>2768</v>
      </c>
      <c r="G15" s="301">
        <f t="shared" si="3"/>
        <v>1036</v>
      </c>
      <c r="H15" s="301">
        <f t="shared" si="3"/>
        <v>692</v>
      </c>
    </row>
    <row r="16" s="229" customFormat="1" ht="35.1" customHeight="1" spans="2:23">
      <c r="B16" s="320"/>
      <c r="C16" s="320"/>
    </row>
    <row r="17" ht="15" customHeight="1" spans="2:15">
      <c r="B17" s="2" t="s">
        <v>2627</v>
      </c>
      <c r="C17" s="2" t="s">
        <v>1277</v>
      </c>
      <c r="D17" s="2" t="s">
        <v>191</v>
      </c>
      <c r="E17" s="2" t="s">
        <v>192</v>
      </c>
      <c r="F17" s="2" t="s">
        <v>189</v>
      </c>
      <c r="G17" s="2" t="s">
        <v>190</v>
      </c>
      <c r="H17" s="2" t="s">
        <v>198</v>
      </c>
      <c r="I17" s="2" t="s">
        <v>2599</v>
      </c>
      <c r="J17" s="2" t="s">
        <v>2600</v>
      </c>
      <c r="K17" s="320"/>
      <c r="L17" s="320"/>
      <c r="M17" s="320"/>
      <c r="N17" s="320"/>
      <c r="O17" s="320"/>
    </row>
    <row r="18" ht="15" customHeight="1" spans="2:15">
      <c r="B18" s="2" t="s">
        <v>2606</v>
      </c>
      <c r="C18" s="2" t="s">
        <v>2628</v>
      </c>
      <c r="D18" s="13">
        <v>178</v>
      </c>
      <c r="E18" s="13">
        <v>178</v>
      </c>
      <c r="F18" s="13"/>
      <c r="G18" s="13"/>
      <c r="H18" s="13"/>
      <c r="I18" s="13"/>
      <c r="J18" s="13"/>
      <c r="K18" s="229"/>
      <c r="L18" s="229"/>
      <c r="M18" s="229"/>
      <c r="N18" s="229"/>
      <c r="O18" s="229"/>
    </row>
    <row r="19" ht="15" customHeight="1" spans="2:15">
      <c r="B19" s="2"/>
      <c r="C19" s="2" t="s">
        <v>2629</v>
      </c>
      <c r="D19" s="13">
        <v>178</v>
      </c>
      <c r="E19" s="13"/>
      <c r="F19" s="13">
        <v>715</v>
      </c>
      <c r="G19" s="13"/>
      <c r="H19" s="13"/>
      <c r="I19" s="13"/>
      <c r="J19" s="13"/>
      <c r="K19" s="229"/>
      <c r="L19" s="229"/>
      <c r="M19" s="229"/>
      <c r="N19" s="229"/>
      <c r="O19" s="229"/>
    </row>
    <row r="20" ht="15" customHeight="1" spans="2:15">
      <c r="B20" s="2"/>
      <c r="C20" s="2" t="s">
        <v>2630</v>
      </c>
      <c r="D20" s="13">
        <v>178</v>
      </c>
      <c r="E20" s="13"/>
      <c r="F20" s="13"/>
      <c r="G20" s="13">
        <v>268</v>
      </c>
      <c r="H20" s="13"/>
      <c r="I20" s="13"/>
      <c r="J20" s="13"/>
      <c r="K20" s="229"/>
      <c r="L20" s="229"/>
      <c r="M20" s="229"/>
      <c r="N20" s="229"/>
      <c r="O20" s="229"/>
    </row>
    <row r="21" ht="15" customHeight="1" spans="2:15">
      <c r="B21" s="2"/>
      <c r="C21" s="2" t="s">
        <v>2631</v>
      </c>
      <c r="D21" s="13">
        <v>178</v>
      </c>
      <c r="E21" s="13"/>
      <c r="F21" s="13"/>
      <c r="G21" s="13"/>
      <c r="H21" s="13">
        <v>178</v>
      </c>
      <c r="I21" s="13"/>
      <c r="J21" s="13"/>
      <c r="K21" s="229"/>
      <c r="L21" s="229"/>
      <c r="M21" s="229"/>
      <c r="N21" s="229"/>
      <c r="O21" s="229"/>
    </row>
    <row r="22" ht="15" customHeight="1" spans="2:15">
      <c r="B22" s="2"/>
      <c r="C22" s="2" t="s">
        <v>2632</v>
      </c>
      <c r="D22" s="13"/>
      <c r="E22" s="13">
        <v>178</v>
      </c>
      <c r="F22" s="13">
        <v>715</v>
      </c>
      <c r="G22" s="13"/>
      <c r="H22" s="13"/>
      <c r="I22" s="13"/>
      <c r="J22" s="13"/>
      <c r="K22" s="229"/>
      <c r="L22" s="229"/>
      <c r="M22" s="229"/>
      <c r="N22" s="229"/>
      <c r="O22" s="229"/>
    </row>
    <row r="23" ht="15" customHeight="1" spans="2:15">
      <c r="B23" s="2"/>
      <c r="C23" s="2" t="s">
        <v>2633</v>
      </c>
      <c r="D23" s="13"/>
      <c r="E23" s="13">
        <v>178</v>
      </c>
      <c r="F23" s="13"/>
      <c r="G23" s="13">
        <v>268</v>
      </c>
      <c r="H23" s="13"/>
      <c r="I23" s="13"/>
      <c r="J23" s="13"/>
      <c r="K23" s="229"/>
      <c r="L23" s="229"/>
      <c r="M23" s="229"/>
      <c r="N23" s="229"/>
      <c r="O23" s="229"/>
    </row>
    <row r="24" ht="15" customHeight="1" spans="2:15">
      <c r="B24" s="2"/>
      <c r="C24" s="2" t="s">
        <v>2634</v>
      </c>
      <c r="D24" s="13"/>
      <c r="E24" s="13">
        <v>178</v>
      </c>
      <c r="F24" s="13"/>
      <c r="G24" s="13"/>
      <c r="H24" s="13">
        <v>178</v>
      </c>
      <c r="I24" s="13"/>
      <c r="J24" s="13"/>
      <c r="K24" s="229"/>
      <c r="L24" s="229"/>
      <c r="M24" s="229"/>
      <c r="N24" s="229"/>
      <c r="O24" s="229"/>
    </row>
    <row r="25" ht="15" customHeight="1" spans="2:15">
      <c r="B25" s="2"/>
      <c r="C25" s="2" t="s">
        <v>2635</v>
      </c>
      <c r="D25" s="13"/>
      <c r="E25" s="13"/>
      <c r="F25" s="13">
        <v>715</v>
      </c>
      <c r="G25" s="13">
        <v>268</v>
      </c>
      <c r="H25" s="13"/>
      <c r="I25" s="13"/>
      <c r="J25" s="13"/>
      <c r="K25" s="229"/>
      <c r="L25" s="229"/>
      <c r="M25" s="229"/>
      <c r="N25" s="229"/>
      <c r="O25" s="229"/>
    </row>
    <row r="26" ht="15" customHeight="1" spans="2:15">
      <c r="B26" s="2"/>
      <c r="C26" s="2" t="s">
        <v>2636</v>
      </c>
      <c r="D26" s="13"/>
      <c r="E26" s="13"/>
      <c r="F26" s="13">
        <v>715</v>
      </c>
      <c r="G26" s="13"/>
      <c r="H26" s="13">
        <v>178</v>
      </c>
      <c r="I26" s="13"/>
      <c r="J26" s="13"/>
      <c r="K26" s="229"/>
      <c r="L26" s="229"/>
      <c r="M26" s="229"/>
      <c r="N26" s="229"/>
      <c r="O26" s="229"/>
    </row>
    <row r="27" ht="15" customHeight="1" spans="2:15">
      <c r="B27" s="2"/>
      <c r="C27" s="2" t="s">
        <v>2637</v>
      </c>
      <c r="D27" s="13"/>
      <c r="E27" s="13"/>
      <c r="F27" s="13"/>
      <c r="G27" s="13">
        <v>268</v>
      </c>
      <c r="H27" s="13">
        <v>178</v>
      </c>
      <c r="I27" s="13"/>
      <c r="J27" s="13"/>
      <c r="K27" s="229"/>
      <c r="L27" s="229"/>
      <c r="M27" s="229"/>
      <c r="N27" s="229"/>
      <c r="O27" s="229"/>
    </row>
    <row r="28" s="207" customFormat="1" ht="15" customHeight="1" spans="2:15">
      <c r="B28" s="302"/>
      <c r="C28" s="302" t="s">
        <v>902</v>
      </c>
      <c r="D28" s="301">
        <f>COUNT(D18:D27)</f>
        <v>4</v>
      </c>
      <c r="E28" s="301">
        <f t="shared" ref="E28:H28" si="4">COUNT(E18:E27)</f>
        <v>4</v>
      </c>
      <c r="F28" s="301">
        <f t="shared" si="4"/>
        <v>4</v>
      </c>
      <c r="G28" s="301">
        <f t="shared" si="4"/>
        <v>4</v>
      </c>
      <c r="H28" s="301">
        <f t="shared" si="4"/>
        <v>4</v>
      </c>
      <c r="I28" s="37"/>
      <c r="J28" s="37"/>
      <c r="K28" s="319"/>
      <c r="L28" s="319"/>
      <c r="M28" s="319"/>
      <c r="N28" s="319"/>
      <c r="O28" s="319"/>
    </row>
    <row r="29" s="207" customFormat="1" ht="15" customHeight="1" spans="2:15">
      <c r="B29" s="302" t="s">
        <v>2638</v>
      </c>
      <c r="C29" s="302" t="s">
        <v>2624</v>
      </c>
      <c r="D29" s="301">
        <v>447</v>
      </c>
      <c r="E29" s="301">
        <v>447</v>
      </c>
      <c r="F29" s="301">
        <v>1788</v>
      </c>
      <c r="G29" s="301">
        <v>670</v>
      </c>
      <c r="H29" s="301">
        <v>447</v>
      </c>
      <c r="I29" s="37"/>
      <c r="J29" s="37"/>
      <c r="K29" s="319"/>
      <c r="L29" s="319"/>
      <c r="M29" s="319"/>
      <c r="N29" s="319"/>
      <c r="O29" s="319"/>
    </row>
    <row r="30" s="207" customFormat="1" ht="15" customHeight="1" spans="2:15">
      <c r="B30" s="302"/>
      <c r="C30" s="302" t="s">
        <v>2626</v>
      </c>
      <c r="D30" s="301">
        <f>D28*D29</f>
        <v>1788</v>
      </c>
      <c r="E30" s="301">
        <f t="shared" ref="E30:H30" si="5">E28*E29</f>
        <v>1788</v>
      </c>
      <c r="F30" s="301">
        <f t="shared" si="5"/>
        <v>7152</v>
      </c>
      <c r="G30" s="301">
        <f t="shared" si="5"/>
        <v>2680</v>
      </c>
      <c r="H30" s="301">
        <f t="shared" si="5"/>
        <v>1788</v>
      </c>
      <c r="I30" s="37"/>
      <c r="J30" s="37"/>
      <c r="K30" s="319"/>
      <c r="L30" s="319"/>
      <c r="M30" s="319"/>
      <c r="N30" s="319"/>
      <c r="O30" s="319"/>
    </row>
    <row r="31" ht="15" customHeight="1" spans="2:15">
      <c r="B31" s="2" t="s">
        <v>2627</v>
      </c>
      <c r="C31" s="2" t="s">
        <v>1277</v>
      </c>
      <c r="D31" s="2" t="s">
        <v>191</v>
      </c>
      <c r="E31" s="2" t="s">
        <v>192</v>
      </c>
      <c r="F31" s="2" t="s">
        <v>189</v>
      </c>
      <c r="G31" s="2" t="s">
        <v>190</v>
      </c>
      <c r="H31" s="2" t="s">
        <v>198</v>
      </c>
      <c r="I31" s="2" t="s">
        <v>2599</v>
      </c>
      <c r="J31" s="2" t="s">
        <v>2600</v>
      </c>
      <c r="K31" s="320"/>
      <c r="L31" s="320"/>
      <c r="M31" s="320"/>
      <c r="N31" s="320"/>
      <c r="O31" s="320"/>
    </row>
    <row r="32" ht="15" customHeight="1" spans="2:15">
      <c r="B32" s="2" t="s">
        <v>2639</v>
      </c>
      <c r="C32" s="2" t="s">
        <v>2640</v>
      </c>
      <c r="D32" s="13">
        <v>357</v>
      </c>
      <c r="E32" s="13"/>
      <c r="F32" s="13"/>
      <c r="G32" s="13"/>
      <c r="H32" s="13"/>
      <c r="I32" s="13"/>
      <c r="J32" s="13"/>
      <c r="K32" s="229"/>
      <c r="L32" s="229"/>
      <c r="M32" s="229"/>
      <c r="N32" s="229"/>
      <c r="O32" s="229"/>
    </row>
    <row r="33" ht="15" customHeight="1" spans="2:15">
      <c r="B33" s="2"/>
      <c r="C33" s="2" t="s">
        <v>2641</v>
      </c>
      <c r="D33" s="13"/>
      <c r="E33" s="13">
        <v>357</v>
      </c>
      <c r="F33" s="13"/>
      <c r="G33" s="13"/>
      <c r="H33" s="13"/>
      <c r="I33" s="13"/>
      <c r="J33" s="13"/>
      <c r="K33" s="229"/>
      <c r="L33" s="229"/>
      <c r="M33" s="229"/>
      <c r="N33" s="229"/>
      <c r="O33" s="229"/>
    </row>
    <row r="34" ht="15" customHeight="1" spans="2:15">
      <c r="B34" s="2"/>
      <c r="C34" s="2" t="s">
        <v>2642</v>
      </c>
      <c r="D34" s="13"/>
      <c r="E34" s="13"/>
      <c r="F34" s="13">
        <v>1430</v>
      </c>
      <c r="G34" s="13"/>
      <c r="H34" s="13"/>
      <c r="I34" s="13">
        <v>1</v>
      </c>
      <c r="J34" s="13"/>
      <c r="K34" s="229"/>
      <c r="L34" s="229"/>
      <c r="M34" s="229"/>
      <c r="N34" s="229"/>
      <c r="O34" s="229"/>
    </row>
    <row r="35" ht="15" customHeight="1" spans="2:15">
      <c r="B35" s="2"/>
      <c r="C35" s="2" t="s">
        <v>2643</v>
      </c>
      <c r="D35" s="13"/>
      <c r="E35" s="13"/>
      <c r="F35" s="13"/>
      <c r="G35" s="13">
        <v>536</v>
      </c>
      <c r="H35" s="13"/>
      <c r="I35" s="13"/>
      <c r="J35" s="13">
        <v>1</v>
      </c>
      <c r="K35" s="229"/>
      <c r="L35" s="229"/>
      <c r="M35" s="229"/>
      <c r="N35" s="229"/>
      <c r="O35" s="229"/>
    </row>
    <row r="36" ht="15" customHeight="1" spans="2:15">
      <c r="B36" s="302"/>
      <c r="C36" s="302" t="s">
        <v>902</v>
      </c>
      <c r="D36" s="301">
        <f>COUNT(D32:D35)</f>
        <v>1</v>
      </c>
      <c r="E36" s="301">
        <f t="shared" ref="E36:J36" si="6">COUNT(E32:E35)</f>
        <v>1</v>
      </c>
      <c r="F36" s="301">
        <f t="shared" si="6"/>
        <v>1</v>
      </c>
      <c r="G36" s="301">
        <f t="shared" si="6"/>
        <v>1</v>
      </c>
      <c r="H36" s="301"/>
      <c r="I36" s="301">
        <f t="shared" si="6"/>
        <v>1</v>
      </c>
      <c r="J36" s="301">
        <f t="shared" si="6"/>
        <v>1</v>
      </c>
      <c r="K36" s="229"/>
      <c r="L36" s="229"/>
      <c r="M36" s="229"/>
      <c r="N36" s="229"/>
      <c r="O36" s="229"/>
    </row>
    <row r="37" ht="15" customHeight="1" spans="2:15">
      <c r="B37" s="302" t="s">
        <v>2638</v>
      </c>
      <c r="C37" s="302" t="s">
        <v>2624</v>
      </c>
      <c r="D37" s="301">
        <v>894</v>
      </c>
      <c r="E37" s="301">
        <v>894</v>
      </c>
      <c r="F37" s="301">
        <v>3576</v>
      </c>
      <c r="G37" s="301">
        <v>1341</v>
      </c>
      <c r="H37" s="301"/>
      <c r="I37" s="301">
        <v>1</v>
      </c>
      <c r="J37" s="301">
        <v>1</v>
      </c>
      <c r="K37" s="229"/>
      <c r="L37" s="229"/>
      <c r="M37" s="229"/>
      <c r="N37" s="229"/>
      <c r="O37" s="229"/>
    </row>
    <row r="38" s="229" customFormat="1" ht="15" customHeight="1" spans="2:15">
      <c r="B38" s="302"/>
      <c r="C38" s="302" t="s">
        <v>2626</v>
      </c>
      <c r="D38" s="301">
        <f>D36*D37</f>
        <v>894</v>
      </c>
      <c r="E38" s="301">
        <f>E36*E37</f>
        <v>894</v>
      </c>
      <c r="F38" s="301">
        <f t="shared" ref="F38:J38" si="7">F36*F37</f>
        <v>3576</v>
      </c>
      <c r="G38" s="301">
        <f t="shared" si="7"/>
        <v>1341</v>
      </c>
      <c r="H38" s="301"/>
      <c r="I38" s="301">
        <f t="shared" si="7"/>
        <v>1</v>
      </c>
      <c r="J38" s="301">
        <f t="shared" si="7"/>
        <v>1</v>
      </c>
    </row>
    <row r="39" s="229" customFormat="1" ht="15" customHeight="1" spans="2:15">
      <c r="B39" s="302" t="s">
        <v>2644</v>
      </c>
      <c r="C39" s="302" t="s">
        <v>2645</v>
      </c>
      <c r="D39" s="301">
        <f>D30+D38</f>
        <v>2682</v>
      </c>
      <c r="E39" s="301">
        <f t="shared" ref="E39:J39" si="8">E30+E38</f>
        <v>2682</v>
      </c>
      <c r="F39" s="301">
        <f t="shared" si="8"/>
        <v>10728</v>
      </c>
      <c r="G39" s="301">
        <f t="shared" si="8"/>
        <v>4021</v>
      </c>
      <c r="H39" s="301">
        <f t="shared" si="8"/>
        <v>1788</v>
      </c>
      <c r="I39" s="301">
        <f t="shared" si="8"/>
        <v>1</v>
      </c>
      <c r="J39" s="301">
        <f t="shared" si="8"/>
        <v>1</v>
      </c>
    </row>
    <row r="40" s="229" customFormat="1" ht="35.1" customHeight="1" spans="2:15">
      <c r="B40" s="320"/>
      <c r="C40" s="320"/>
    </row>
    <row r="41" ht="15" customHeight="1" spans="2:15">
      <c r="B41" s="2" t="s">
        <v>2646</v>
      </c>
      <c r="C41" s="2" t="s">
        <v>1277</v>
      </c>
      <c r="D41" s="2" t="s">
        <v>191</v>
      </c>
      <c r="E41" s="2" t="s">
        <v>192</v>
      </c>
      <c r="F41" s="2" t="s">
        <v>189</v>
      </c>
      <c r="G41" s="2" t="s">
        <v>190</v>
      </c>
      <c r="H41" s="2" t="s">
        <v>198</v>
      </c>
      <c r="I41" s="2" t="s">
        <v>2599</v>
      </c>
      <c r="J41" s="2" t="s">
        <v>2600</v>
      </c>
      <c r="K41" s="2" t="s">
        <v>2601</v>
      </c>
      <c r="L41" s="2" t="s">
        <v>2602</v>
      </c>
      <c r="M41" s="2" t="s">
        <v>2603</v>
      </c>
      <c r="N41" s="2" t="s">
        <v>2604</v>
      </c>
      <c r="O41" s="2" t="s">
        <v>2605</v>
      </c>
    </row>
    <row r="42" ht="15" customHeight="1" spans="2:15">
      <c r="B42" s="2" t="s">
        <v>2647</v>
      </c>
      <c r="C42" s="2" t="s">
        <v>2648</v>
      </c>
      <c r="D42" s="13">
        <v>419</v>
      </c>
      <c r="E42" s="13">
        <v>419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5" customHeight="1" spans="2:15">
      <c r="B43" s="2"/>
      <c r="C43" s="2" t="s">
        <v>2649</v>
      </c>
      <c r="D43" s="13">
        <v>419</v>
      </c>
      <c r="E43" s="13"/>
      <c r="F43" s="13">
        <v>1677</v>
      </c>
      <c r="G43" s="13"/>
      <c r="H43" s="13"/>
      <c r="I43" s="13"/>
      <c r="J43" s="13"/>
      <c r="K43" s="13"/>
      <c r="L43" s="13"/>
      <c r="M43" s="13"/>
      <c r="N43" s="13"/>
      <c r="O43" s="13"/>
    </row>
    <row r="44" ht="15" customHeight="1" spans="2:15">
      <c r="B44" s="2"/>
      <c r="C44" s="2" t="s">
        <v>2650</v>
      </c>
      <c r="D44" s="13">
        <v>419</v>
      </c>
      <c r="E44" s="13"/>
      <c r="F44" s="13"/>
      <c r="G44" s="13">
        <v>629</v>
      </c>
      <c r="H44" s="13"/>
      <c r="I44" s="13"/>
      <c r="J44" s="13"/>
      <c r="K44" s="13"/>
      <c r="L44" s="13"/>
      <c r="M44" s="13"/>
      <c r="N44" s="13"/>
      <c r="O44" s="13"/>
    </row>
    <row r="45" ht="15" customHeight="1" spans="2:15">
      <c r="B45" s="2"/>
      <c r="C45" s="2" t="s">
        <v>2651</v>
      </c>
      <c r="D45" s="13">
        <v>419</v>
      </c>
      <c r="E45" s="13"/>
      <c r="F45" s="13"/>
      <c r="G45" s="13"/>
      <c r="H45" s="13">
        <v>419</v>
      </c>
      <c r="I45" s="13"/>
      <c r="J45" s="13"/>
      <c r="K45" s="13"/>
      <c r="L45" s="13"/>
      <c r="M45" s="13"/>
      <c r="N45" s="13"/>
      <c r="O45" s="13"/>
    </row>
    <row r="46" ht="15" customHeight="1" spans="2:15">
      <c r="B46" s="2"/>
      <c r="C46" s="2" t="s">
        <v>2652</v>
      </c>
      <c r="D46" s="13"/>
      <c r="E46" s="13">
        <v>419</v>
      </c>
      <c r="F46" s="13">
        <v>1677</v>
      </c>
      <c r="G46" s="13"/>
      <c r="H46" s="13"/>
      <c r="I46" s="13"/>
      <c r="J46" s="13"/>
      <c r="K46" s="13"/>
      <c r="L46" s="13"/>
      <c r="M46" s="13"/>
      <c r="N46" s="13"/>
      <c r="O46" s="13"/>
    </row>
    <row r="47" ht="15" customHeight="1" spans="2:15">
      <c r="B47" s="2"/>
      <c r="C47" s="2" t="s">
        <v>2653</v>
      </c>
      <c r="D47" s="13"/>
      <c r="E47" s="13">
        <v>419</v>
      </c>
      <c r="F47" s="13"/>
      <c r="G47" s="13">
        <v>629</v>
      </c>
      <c r="H47" s="13"/>
      <c r="I47" s="13"/>
      <c r="J47" s="13"/>
      <c r="K47" s="13"/>
      <c r="L47" s="13"/>
      <c r="M47" s="13"/>
      <c r="N47" s="13"/>
      <c r="O47" s="13"/>
    </row>
    <row r="48" ht="15" customHeight="1" spans="2:15">
      <c r="B48" s="2"/>
      <c r="C48" s="2" t="s">
        <v>2654</v>
      </c>
      <c r="D48" s="13"/>
      <c r="E48" s="13">
        <v>419</v>
      </c>
      <c r="F48" s="13"/>
      <c r="G48" s="13"/>
      <c r="H48" s="13">
        <v>419</v>
      </c>
      <c r="I48" s="13"/>
      <c r="J48" s="13"/>
      <c r="K48" s="13"/>
      <c r="L48" s="13"/>
      <c r="M48" s="13"/>
      <c r="N48" s="13"/>
      <c r="O48" s="13"/>
    </row>
    <row r="49" ht="15" customHeight="1" spans="2:15">
      <c r="B49" s="2"/>
      <c r="C49" s="2" t="s">
        <v>2655</v>
      </c>
      <c r="D49" s="13"/>
      <c r="E49" s="13"/>
      <c r="F49" s="13">
        <v>1677</v>
      </c>
      <c r="G49" s="13">
        <v>629</v>
      </c>
      <c r="H49" s="13"/>
      <c r="I49" s="13"/>
      <c r="J49" s="13"/>
      <c r="K49" s="13"/>
      <c r="L49" s="13"/>
      <c r="M49" s="13"/>
      <c r="N49" s="13"/>
      <c r="O49" s="13"/>
    </row>
    <row r="50" ht="15" customHeight="1" spans="2:15">
      <c r="B50" s="2"/>
      <c r="C50" s="2" t="s">
        <v>2656</v>
      </c>
      <c r="D50" s="13"/>
      <c r="E50" s="13"/>
      <c r="F50" s="13">
        <v>1677</v>
      </c>
      <c r="G50" s="13"/>
      <c r="H50" s="13">
        <v>419</v>
      </c>
      <c r="I50" s="13"/>
      <c r="J50" s="13"/>
      <c r="K50" s="13"/>
      <c r="L50" s="13"/>
      <c r="M50" s="13"/>
      <c r="N50" s="13"/>
      <c r="O50" s="13"/>
    </row>
    <row r="51" ht="15" customHeight="1" spans="2:15">
      <c r="B51" s="2"/>
      <c r="C51" s="2" t="s">
        <v>2657</v>
      </c>
      <c r="D51" s="13"/>
      <c r="E51" s="13"/>
      <c r="F51" s="13"/>
      <c r="G51" s="13">
        <v>629</v>
      </c>
      <c r="H51" s="13">
        <v>419</v>
      </c>
      <c r="I51" s="13"/>
      <c r="J51" s="13"/>
      <c r="K51" s="13"/>
      <c r="L51" s="13"/>
      <c r="M51" s="13"/>
      <c r="N51" s="13"/>
      <c r="O51" s="13"/>
    </row>
    <row r="52" ht="15" customHeight="1" spans="2:15">
      <c r="B52" s="2"/>
      <c r="C52" s="2" t="s">
        <v>2658</v>
      </c>
      <c r="D52" s="13"/>
      <c r="E52" s="13"/>
      <c r="F52" s="13">
        <v>1677</v>
      </c>
      <c r="G52" s="13"/>
      <c r="H52" s="13">
        <v>419</v>
      </c>
      <c r="I52" s="13"/>
      <c r="J52" s="13"/>
      <c r="K52" s="13"/>
      <c r="L52" s="13"/>
      <c r="M52" s="13"/>
      <c r="N52" s="13"/>
      <c r="O52" s="13"/>
    </row>
    <row r="53" ht="15" customHeight="1" spans="2:15">
      <c r="B53" s="2"/>
      <c r="C53" s="2" t="s">
        <v>2659</v>
      </c>
      <c r="D53" s="13">
        <v>419</v>
      </c>
      <c r="E53" s="13">
        <v>419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5" customHeight="1" spans="2:15">
      <c r="B54" s="302"/>
      <c r="C54" s="302" t="s">
        <v>902</v>
      </c>
      <c r="D54" s="301">
        <f>COUNT(D42:D53)</f>
        <v>5</v>
      </c>
      <c r="E54" s="301">
        <f t="shared" ref="E54:H54" si="9">COUNT(E42:E53)</f>
        <v>5</v>
      </c>
      <c r="F54" s="301">
        <f t="shared" si="9"/>
        <v>5</v>
      </c>
      <c r="G54" s="301">
        <f t="shared" si="9"/>
        <v>4</v>
      </c>
      <c r="H54" s="301">
        <f t="shared" si="9"/>
        <v>5</v>
      </c>
      <c r="I54" s="13"/>
      <c r="J54" s="13"/>
      <c r="K54" s="13"/>
      <c r="L54" s="13"/>
      <c r="M54" s="13"/>
      <c r="N54" s="13"/>
      <c r="O54" s="13"/>
    </row>
    <row r="55" ht="15" customHeight="1" spans="2:15">
      <c r="B55" s="302" t="s">
        <v>2660</v>
      </c>
      <c r="C55" s="302" t="s">
        <v>2624</v>
      </c>
      <c r="D55" s="301">
        <v>1467</v>
      </c>
      <c r="E55" s="301">
        <v>1467</v>
      </c>
      <c r="F55" s="301">
        <v>5871</v>
      </c>
      <c r="G55" s="301">
        <v>2201</v>
      </c>
      <c r="H55" s="301">
        <v>1467</v>
      </c>
      <c r="I55" s="13"/>
      <c r="J55" s="13"/>
      <c r="K55" s="13"/>
      <c r="L55" s="13"/>
      <c r="M55" s="13"/>
      <c r="N55" s="13"/>
      <c r="O55" s="13"/>
    </row>
    <row r="56" ht="15" customHeight="1" spans="2:15">
      <c r="B56" s="302"/>
      <c r="C56" s="302" t="s">
        <v>2626</v>
      </c>
      <c r="D56" s="301">
        <f>D54*D55</f>
        <v>7335</v>
      </c>
      <c r="E56" s="301">
        <f t="shared" ref="E56:H56" si="10">E54*E55</f>
        <v>7335</v>
      </c>
      <c r="F56" s="301">
        <f t="shared" si="10"/>
        <v>29355</v>
      </c>
      <c r="G56" s="301">
        <f t="shared" si="10"/>
        <v>8804</v>
      </c>
      <c r="H56" s="301">
        <f t="shared" si="10"/>
        <v>7335</v>
      </c>
      <c r="I56" s="13"/>
      <c r="J56" s="13"/>
      <c r="K56" s="13"/>
      <c r="L56" s="13"/>
      <c r="M56" s="13"/>
      <c r="N56" s="13"/>
      <c r="O56" s="13"/>
    </row>
    <row r="57" ht="15" customHeight="1" spans="2:15">
      <c r="B57" s="2" t="s">
        <v>2646</v>
      </c>
      <c r="C57" s="2" t="s">
        <v>1277</v>
      </c>
      <c r="D57" s="2" t="s">
        <v>191</v>
      </c>
      <c r="E57" s="2" t="s">
        <v>192</v>
      </c>
      <c r="F57" s="2" t="s">
        <v>189</v>
      </c>
      <c r="G57" s="2" t="s">
        <v>190</v>
      </c>
      <c r="H57" s="2" t="s">
        <v>198</v>
      </c>
      <c r="I57" s="2" t="s">
        <v>2599</v>
      </c>
      <c r="J57" s="2" t="s">
        <v>2600</v>
      </c>
      <c r="K57" s="2" t="s">
        <v>2601</v>
      </c>
      <c r="L57" s="2" t="s">
        <v>2602</v>
      </c>
      <c r="M57" s="2" t="s">
        <v>2603</v>
      </c>
      <c r="N57" s="2" t="s">
        <v>2604</v>
      </c>
      <c r="O57" s="2" t="s">
        <v>2605</v>
      </c>
    </row>
    <row r="58" ht="15" customHeight="1" spans="2:15">
      <c r="B58" s="2" t="s">
        <v>2661</v>
      </c>
      <c r="C58" s="2" t="s">
        <v>2662</v>
      </c>
      <c r="D58" s="13">
        <v>838</v>
      </c>
      <c r="E58" s="13"/>
      <c r="F58" s="13"/>
      <c r="G58" s="13"/>
      <c r="H58" s="13"/>
      <c r="I58" s="13"/>
      <c r="J58" s="13"/>
      <c r="K58" s="13"/>
      <c r="L58" s="13">
        <v>1</v>
      </c>
      <c r="M58" s="13"/>
      <c r="N58" s="13"/>
      <c r="O58" s="13"/>
    </row>
    <row r="59" ht="15" customHeight="1" spans="2:15">
      <c r="B59" s="2"/>
      <c r="C59" s="2" t="s">
        <v>2663</v>
      </c>
      <c r="D59" s="13"/>
      <c r="E59" s="13">
        <v>838</v>
      </c>
      <c r="F59" s="13"/>
      <c r="G59" s="13"/>
      <c r="H59" s="13"/>
      <c r="I59" s="13"/>
      <c r="J59" s="13"/>
      <c r="K59" s="13">
        <v>1</v>
      </c>
      <c r="L59" s="13"/>
      <c r="M59" s="13"/>
      <c r="N59" s="13"/>
      <c r="O59" s="13"/>
    </row>
    <row r="60" ht="15" customHeight="1" spans="2:15">
      <c r="B60" s="2"/>
      <c r="C60" s="2" t="s">
        <v>2664</v>
      </c>
      <c r="D60" s="13"/>
      <c r="E60" s="13"/>
      <c r="F60" s="13">
        <v>3355</v>
      </c>
      <c r="G60" s="13"/>
      <c r="H60" s="13"/>
      <c r="I60" s="13">
        <v>1</v>
      </c>
      <c r="J60" s="13"/>
      <c r="K60" s="13"/>
      <c r="L60" s="13"/>
      <c r="M60" s="13"/>
      <c r="N60" s="13"/>
      <c r="O60" s="13"/>
    </row>
    <row r="61" ht="15" customHeight="1" spans="2:15">
      <c r="B61" s="2"/>
      <c r="C61" s="2" t="s">
        <v>2665</v>
      </c>
      <c r="D61" s="13"/>
      <c r="E61" s="13"/>
      <c r="F61" s="13"/>
      <c r="G61" s="13">
        <v>1258</v>
      </c>
      <c r="H61" s="13"/>
      <c r="I61" s="13"/>
      <c r="J61" s="13">
        <v>1</v>
      </c>
      <c r="K61" s="13"/>
      <c r="L61" s="13"/>
      <c r="M61" s="13"/>
      <c r="N61" s="13"/>
      <c r="O61" s="13"/>
    </row>
    <row r="62" ht="15" customHeight="1" spans="2:15">
      <c r="B62" s="2"/>
      <c r="C62" s="2" t="s">
        <v>2666</v>
      </c>
      <c r="D62" s="13"/>
      <c r="E62" s="13"/>
      <c r="F62" s="13"/>
      <c r="G62" s="13"/>
      <c r="H62" s="13">
        <v>838</v>
      </c>
      <c r="I62" s="13"/>
      <c r="J62" s="13"/>
      <c r="K62" s="13"/>
      <c r="L62" s="13"/>
      <c r="M62" s="13">
        <v>1</v>
      </c>
      <c r="N62" s="13"/>
      <c r="O62" s="13"/>
    </row>
    <row r="63" ht="15" customHeight="1" spans="2:15">
      <c r="B63" s="302" t="s">
        <v>2660</v>
      </c>
      <c r="C63" s="302" t="s">
        <v>2624</v>
      </c>
      <c r="D63" s="301">
        <v>2935</v>
      </c>
      <c r="E63" s="301">
        <v>2935</v>
      </c>
      <c r="F63" s="301">
        <v>11742</v>
      </c>
      <c r="G63" s="301">
        <v>4403</v>
      </c>
      <c r="H63" s="301">
        <v>2935</v>
      </c>
      <c r="I63" s="301">
        <v>1</v>
      </c>
      <c r="J63" s="301">
        <v>1</v>
      </c>
      <c r="K63" s="301">
        <v>1</v>
      </c>
      <c r="L63" s="301">
        <v>1</v>
      </c>
      <c r="M63" s="301">
        <v>1</v>
      </c>
      <c r="N63" s="13"/>
      <c r="O63" s="13"/>
    </row>
    <row r="64" ht="15" customHeight="1" spans="2:15">
      <c r="B64" s="2" t="s">
        <v>2646</v>
      </c>
      <c r="C64" s="2" t="s">
        <v>1277</v>
      </c>
      <c r="D64" s="2" t="s">
        <v>191</v>
      </c>
      <c r="E64" s="2" t="s">
        <v>192</v>
      </c>
      <c r="F64" s="2" t="s">
        <v>189</v>
      </c>
      <c r="G64" s="2" t="s">
        <v>190</v>
      </c>
      <c r="H64" s="2" t="s">
        <v>198</v>
      </c>
      <c r="I64" s="2" t="s">
        <v>2599</v>
      </c>
      <c r="J64" s="2" t="s">
        <v>2600</v>
      </c>
      <c r="K64" s="2" t="s">
        <v>2601</v>
      </c>
      <c r="L64" s="2" t="s">
        <v>2602</v>
      </c>
      <c r="M64" s="2" t="s">
        <v>2603</v>
      </c>
      <c r="N64" s="2" t="s">
        <v>2604</v>
      </c>
      <c r="O64" s="2" t="s">
        <v>2605</v>
      </c>
    </row>
    <row r="65" ht="15" customHeight="1" spans="2:15">
      <c r="B65" s="2" t="s">
        <v>2667</v>
      </c>
      <c r="C65" s="2" t="s">
        <v>2668</v>
      </c>
      <c r="D65" s="13"/>
      <c r="E65" s="13"/>
      <c r="F65" s="13">
        <v>1677</v>
      </c>
      <c r="G65" s="13">
        <v>629</v>
      </c>
      <c r="H65" s="13"/>
      <c r="I65" s="13"/>
      <c r="J65" s="13"/>
      <c r="K65" s="13"/>
      <c r="L65" s="13"/>
      <c r="M65" s="13"/>
      <c r="N65" s="13">
        <v>1</v>
      </c>
      <c r="O65" s="13"/>
    </row>
    <row r="66" ht="15" customHeight="1" spans="2:15">
      <c r="B66" s="302" t="s">
        <v>2660</v>
      </c>
      <c r="C66" s="302" t="s">
        <v>2624</v>
      </c>
      <c r="D66" s="301"/>
      <c r="E66" s="301"/>
      <c r="F66" s="301">
        <v>5871</v>
      </c>
      <c r="G66" s="301">
        <v>2201</v>
      </c>
      <c r="H66" s="301"/>
      <c r="I66" s="301"/>
      <c r="J66" s="301"/>
      <c r="K66" s="301"/>
      <c r="L66" s="301"/>
      <c r="M66" s="301"/>
      <c r="N66" s="301">
        <v>1</v>
      </c>
      <c r="O66" s="13"/>
    </row>
    <row r="67" ht="15" customHeight="1" spans="2:15">
      <c r="B67" s="302" t="s">
        <v>2669</v>
      </c>
      <c r="C67" s="302" t="s">
        <v>2670</v>
      </c>
      <c r="D67" s="301">
        <f>D56+D63+D66</f>
        <v>10270</v>
      </c>
      <c r="E67" s="301">
        <f t="shared" ref="E67:N67" si="11">E56+E63+E66</f>
        <v>10270</v>
      </c>
      <c r="F67" s="301">
        <f t="shared" si="11"/>
        <v>46968</v>
      </c>
      <c r="G67" s="301">
        <f t="shared" si="11"/>
        <v>15408</v>
      </c>
      <c r="H67" s="301">
        <f t="shared" si="11"/>
        <v>10270</v>
      </c>
      <c r="I67" s="301">
        <f t="shared" si="11"/>
        <v>1</v>
      </c>
      <c r="J67" s="301">
        <f t="shared" si="11"/>
        <v>1</v>
      </c>
      <c r="K67" s="301">
        <f t="shared" si="11"/>
        <v>1</v>
      </c>
      <c r="L67" s="301">
        <f t="shared" si="11"/>
        <v>1</v>
      </c>
      <c r="M67" s="301">
        <f t="shared" si="11"/>
        <v>1</v>
      </c>
      <c r="N67" s="301">
        <f t="shared" si="11"/>
        <v>1</v>
      </c>
      <c r="O67" s="13"/>
    </row>
    <row r="68" ht="35.1" customHeight="1" spans="2:15">
      <c r="B68" s="320"/>
      <c r="C68" s="320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</row>
    <row r="69" ht="15" customHeight="1" spans="2:15">
      <c r="B69" s="2" t="s">
        <v>2671</v>
      </c>
      <c r="C69" s="2" t="s">
        <v>1277</v>
      </c>
      <c r="D69" s="2" t="s">
        <v>191</v>
      </c>
      <c r="E69" s="2" t="s">
        <v>192</v>
      </c>
      <c r="F69" s="2" t="s">
        <v>189</v>
      </c>
      <c r="G69" s="2" t="s">
        <v>190</v>
      </c>
      <c r="H69" s="2" t="s">
        <v>198</v>
      </c>
      <c r="I69" s="2" t="s">
        <v>2599</v>
      </c>
      <c r="J69" s="2" t="s">
        <v>2600</v>
      </c>
      <c r="K69" s="2" t="s">
        <v>2601</v>
      </c>
      <c r="L69" s="2" t="s">
        <v>2602</v>
      </c>
      <c r="M69" s="2" t="s">
        <v>2603</v>
      </c>
      <c r="N69" s="2" t="s">
        <v>2604</v>
      </c>
      <c r="O69" s="2" t="s">
        <v>2605</v>
      </c>
    </row>
    <row r="70" ht="15" customHeight="1" spans="2:15">
      <c r="B70" s="2">
        <v>22</v>
      </c>
      <c r="C70" s="2" t="s">
        <v>2672</v>
      </c>
      <c r="D70" s="13">
        <v>931</v>
      </c>
      <c r="E70" s="13">
        <v>931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5" customHeight="1" spans="2:15">
      <c r="B71" s="2"/>
      <c r="C71" s="2" t="s">
        <v>2673</v>
      </c>
      <c r="D71" s="13">
        <v>931</v>
      </c>
      <c r="E71" s="13"/>
      <c r="F71" s="13">
        <v>3724</v>
      </c>
      <c r="G71" s="13"/>
      <c r="H71" s="13"/>
      <c r="I71" s="13"/>
      <c r="J71" s="13"/>
      <c r="K71" s="13"/>
      <c r="L71" s="13"/>
      <c r="M71" s="13"/>
      <c r="N71" s="13"/>
      <c r="O71" s="13"/>
    </row>
    <row r="72" ht="15" customHeight="1" spans="2:15">
      <c r="B72" s="2"/>
      <c r="C72" s="2" t="s">
        <v>2674</v>
      </c>
      <c r="D72" s="13">
        <v>931</v>
      </c>
      <c r="E72" s="13"/>
      <c r="F72" s="13"/>
      <c r="G72" s="13">
        <v>1396</v>
      </c>
      <c r="H72" s="13"/>
      <c r="I72" s="13"/>
      <c r="J72" s="13"/>
      <c r="K72" s="13"/>
      <c r="L72" s="13"/>
      <c r="M72" s="13"/>
      <c r="N72" s="13"/>
      <c r="O72" s="13"/>
    </row>
    <row r="73" ht="15" customHeight="1" spans="2:15">
      <c r="B73" s="2"/>
      <c r="C73" s="2" t="s">
        <v>2675</v>
      </c>
      <c r="D73" s="13">
        <v>931</v>
      </c>
      <c r="E73" s="13"/>
      <c r="F73" s="13"/>
      <c r="G73" s="13"/>
      <c r="H73" s="13">
        <v>931</v>
      </c>
      <c r="I73" s="13"/>
      <c r="J73" s="13"/>
      <c r="K73" s="13"/>
      <c r="L73" s="13"/>
      <c r="M73" s="13"/>
      <c r="N73" s="13"/>
      <c r="O73" s="13"/>
    </row>
    <row r="74" ht="15" customHeight="1" spans="2:15">
      <c r="B74" s="2"/>
      <c r="C74" s="2" t="s">
        <v>2676</v>
      </c>
      <c r="D74" s="13"/>
      <c r="E74" s="13">
        <v>931</v>
      </c>
      <c r="F74" s="13">
        <v>3724</v>
      </c>
      <c r="G74" s="13"/>
      <c r="H74" s="13"/>
      <c r="I74" s="13"/>
      <c r="J74" s="13"/>
      <c r="K74" s="13"/>
      <c r="L74" s="13"/>
      <c r="M74" s="13"/>
      <c r="N74" s="13"/>
      <c r="O74" s="13"/>
    </row>
    <row r="75" ht="15" customHeight="1" spans="2:15">
      <c r="B75" s="2"/>
      <c r="C75" s="2" t="s">
        <v>2677</v>
      </c>
      <c r="D75" s="13"/>
      <c r="E75" s="13">
        <v>931</v>
      </c>
      <c r="F75" s="13"/>
      <c r="G75" s="13">
        <v>1396</v>
      </c>
      <c r="H75" s="13"/>
      <c r="I75" s="13"/>
      <c r="J75" s="13"/>
      <c r="K75" s="13"/>
      <c r="L75" s="13"/>
      <c r="M75" s="13"/>
      <c r="N75" s="13"/>
      <c r="O75" s="13"/>
    </row>
    <row r="76" ht="15" customHeight="1" spans="2:15">
      <c r="B76" s="2"/>
      <c r="C76" s="2" t="s">
        <v>2678</v>
      </c>
      <c r="D76" s="13"/>
      <c r="E76" s="13">
        <v>931</v>
      </c>
      <c r="F76" s="13"/>
      <c r="G76" s="13"/>
      <c r="H76" s="13">
        <v>931</v>
      </c>
      <c r="I76" s="13"/>
      <c r="J76" s="13"/>
      <c r="K76" s="13"/>
      <c r="L76" s="13"/>
      <c r="M76" s="13"/>
      <c r="N76" s="13"/>
      <c r="O76" s="13"/>
    </row>
    <row r="77" ht="15" customHeight="1" spans="2:15">
      <c r="B77" s="2"/>
      <c r="C77" s="2" t="s">
        <v>2679</v>
      </c>
      <c r="D77" s="13"/>
      <c r="E77" s="13"/>
      <c r="F77" s="13">
        <v>3724</v>
      </c>
      <c r="G77" s="13">
        <v>1396</v>
      </c>
      <c r="H77" s="13"/>
      <c r="I77" s="13"/>
      <c r="J77" s="13"/>
      <c r="K77" s="13"/>
      <c r="L77" s="13"/>
      <c r="M77" s="13"/>
      <c r="N77" s="13"/>
      <c r="O77" s="13"/>
    </row>
    <row r="78" ht="15" customHeight="1" spans="2:15">
      <c r="B78" s="2"/>
      <c r="C78" s="2" t="s">
        <v>2680</v>
      </c>
      <c r="D78" s="13"/>
      <c r="E78" s="13"/>
      <c r="F78" s="13">
        <v>3724</v>
      </c>
      <c r="G78" s="13"/>
      <c r="H78" s="13">
        <v>931</v>
      </c>
      <c r="I78" s="13"/>
      <c r="J78" s="13"/>
      <c r="K78" s="13"/>
      <c r="L78" s="13"/>
      <c r="M78" s="13"/>
      <c r="N78" s="13"/>
      <c r="O78" s="13"/>
    </row>
    <row r="79" ht="15" customHeight="1" spans="2:15">
      <c r="B79" s="2"/>
      <c r="C79" s="2" t="s">
        <v>2681</v>
      </c>
      <c r="D79" s="13"/>
      <c r="E79" s="13"/>
      <c r="F79" s="13"/>
      <c r="G79" s="13">
        <v>1396</v>
      </c>
      <c r="H79" s="13">
        <v>931</v>
      </c>
      <c r="I79" s="13"/>
      <c r="J79" s="13"/>
      <c r="K79" s="13"/>
      <c r="L79" s="13"/>
      <c r="M79" s="13"/>
      <c r="N79" s="13"/>
      <c r="O79" s="13"/>
    </row>
    <row r="80" ht="15" customHeight="1" spans="2:15">
      <c r="B80" s="2"/>
      <c r="C80" s="2" t="s">
        <v>2682</v>
      </c>
      <c r="D80" s="13">
        <v>931</v>
      </c>
      <c r="E80" s="13">
        <v>931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5" customHeight="1" spans="2:15">
      <c r="B81" s="2"/>
      <c r="C81" s="2" t="s">
        <v>2683</v>
      </c>
      <c r="D81" s="13"/>
      <c r="E81" s="13">
        <v>931</v>
      </c>
      <c r="F81" s="13"/>
      <c r="G81" s="13"/>
      <c r="H81" s="13">
        <v>931</v>
      </c>
      <c r="I81" s="13"/>
      <c r="J81" s="13"/>
      <c r="K81" s="13"/>
      <c r="L81" s="13"/>
      <c r="M81" s="13"/>
      <c r="N81" s="13"/>
      <c r="O81" s="13"/>
    </row>
    <row r="82" ht="15" customHeight="1" spans="2:15">
      <c r="B82" s="2"/>
      <c r="C82" s="2" t="s">
        <v>2684</v>
      </c>
      <c r="D82" s="13"/>
      <c r="E82" s="13"/>
      <c r="F82" s="13">
        <v>3724</v>
      </c>
      <c r="G82" s="13">
        <v>1396</v>
      </c>
      <c r="H82" s="13"/>
      <c r="I82" s="13"/>
      <c r="J82" s="13"/>
      <c r="K82" s="13"/>
      <c r="L82" s="13"/>
      <c r="M82" s="13"/>
      <c r="N82" s="13"/>
      <c r="O82" s="13"/>
    </row>
    <row r="83" ht="15" customHeight="1" spans="2:15">
      <c r="B83" s="2"/>
      <c r="C83" s="2" t="s">
        <v>2685</v>
      </c>
      <c r="D83" s="13">
        <v>931</v>
      </c>
      <c r="E83" s="13"/>
      <c r="F83" s="13"/>
      <c r="G83" s="13"/>
      <c r="H83" s="13">
        <v>931</v>
      </c>
      <c r="I83" s="13"/>
      <c r="J83" s="13"/>
      <c r="K83" s="13"/>
      <c r="L83" s="13"/>
      <c r="M83" s="13"/>
      <c r="N83" s="13"/>
      <c r="O83" s="13"/>
    </row>
    <row r="84" ht="15" customHeight="1" spans="2:15">
      <c r="B84" s="2"/>
      <c r="C84" s="2" t="s">
        <v>2686</v>
      </c>
      <c r="D84" s="13"/>
      <c r="E84" s="13">
        <v>931</v>
      </c>
      <c r="F84" s="13">
        <v>3724</v>
      </c>
      <c r="G84" s="13"/>
      <c r="H84" s="13"/>
      <c r="I84" s="13"/>
      <c r="J84" s="13"/>
      <c r="K84" s="13"/>
      <c r="L84" s="13"/>
      <c r="M84" s="13"/>
      <c r="N84" s="13"/>
      <c r="O84" s="13">
        <v>1</v>
      </c>
    </row>
    <row r="85" ht="15" customHeight="1" spans="2:15">
      <c r="B85" s="2"/>
      <c r="C85" s="2" t="s">
        <v>2687</v>
      </c>
      <c r="D85" s="13"/>
      <c r="E85" s="13">
        <v>931</v>
      </c>
      <c r="F85" s="13"/>
      <c r="G85" s="13">
        <v>1396</v>
      </c>
      <c r="H85" s="13"/>
      <c r="I85" s="13"/>
      <c r="J85" s="13"/>
      <c r="K85" s="13">
        <v>2</v>
      </c>
      <c r="L85" s="13"/>
      <c r="M85" s="13"/>
      <c r="N85" s="13"/>
      <c r="O85" s="13"/>
    </row>
    <row r="86" ht="15" customHeight="1" spans="2:15">
      <c r="B86" s="2"/>
      <c r="C86" s="2" t="s">
        <v>2688</v>
      </c>
      <c r="D86" s="13">
        <v>931</v>
      </c>
      <c r="E86" s="13"/>
      <c r="F86" s="13">
        <v>3724</v>
      </c>
      <c r="G86" s="13"/>
      <c r="H86" s="13"/>
      <c r="I86" s="13"/>
      <c r="J86" s="13"/>
      <c r="K86" s="13"/>
      <c r="L86" s="13">
        <v>2</v>
      </c>
      <c r="M86" s="13"/>
      <c r="N86" s="13"/>
      <c r="O86" s="13"/>
    </row>
    <row r="87" ht="15" customHeight="1" spans="2:15">
      <c r="B87" s="2"/>
      <c r="C87" s="2" t="s">
        <v>2689</v>
      </c>
      <c r="D87" s="13">
        <v>931</v>
      </c>
      <c r="E87" s="13"/>
      <c r="F87" s="13"/>
      <c r="G87" s="13">
        <v>1396</v>
      </c>
      <c r="H87" s="13"/>
      <c r="I87" s="13"/>
      <c r="J87" s="13">
        <v>2</v>
      </c>
      <c r="K87" s="13"/>
      <c r="L87" s="13"/>
      <c r="M87" s="13"/>
      <c r="N87" s="13"/>
      <c r="O87" s="13"/>
    </row>
    <row r="88" ht="15" customHeight="1" spans="2:15">
      <c r="B88" s="2"/>
      <c r="C88" s="2" t="s">
        <v>2690</v>
      </c>
      <c r="D88" s="13"/>
      <c r="E88" s="13"/>
      <c r="F88" s="13">
        <v>3724</v>
      </c>
      <c r="G88" s="13"/>
      <c r="H88" s="13">
        <v>931</v>
      </c>
      <c r="I88" s="13">
        <v>2</v>
      </c>
      <c r="J88" s="13"/>
      <c r="K88" s="13"/>
      <c r="L88" s="13"/>
      <c r="M88" s="13"/>
      <c r="N88" s="13"/>
      <c r="O88" s="13"/>
    </row>
    <row r="89" ht="15" customHeight="1" spans="2:15">
      <c r="B89" s="2"/>
      <c r="C89" s="2" t="s">
        <v>2691</v>
      </c>
      <c r="D89" s="13"/>
      <c r="E89" s="13"/>
      <c r="F89" s="13"/>
      <c r="G89" s="13">
        <v>1396</v>
      </c>
      <c r="H89" s="13">
        <v>931</v>
      </c>
      <c r="I89" s="13"/>
      <c r="J89" s="13"/>
      <c r="K89" s="13"/>
      <c r="L89" s="13"/>
      <c r="M89" s="13"/>
      <c r="N89" s="13"/>
      <c r="O89" s="13">
        <v>1</v>
      </c>
    </row>
    <row r="90" ht="15" customHeight="1" spans="2:15">
      <c r="B90" s="2"/>
      <c r="C90" s="2" t="s">
        <v>2692</v>
      </c>
      <c r="D90" s="13">
        <v>931</v>
      </c>
      <c r="E90" s="13">
        <v>931</v>
      </c>
      <c r="F90" s="13"/>
      <c r="G90" s="13"/>
      <c r="H90" s="13"/>
      <c r="I90" s="13"/>
      <c r="J90" s="13"/>
      <c r="K90" s="13"/>
      <c r="L90" s="13"/>
      <c r="M90" s="13">
        <v>2</v>
      </c>
      <c r="N90" s="13"/>
      <c r="O90" s="13"/>
    </row>
    <row r="91" ht="15" customHeight="1" spans="2:15">
      <c r="B91" s="2"/>
      <c r="C91" s="2" t="s">
        <v>2693</v>
      </c>
      <c r="D91" s="13"/>
      <c r="E91" s="13"/>
      <c r="F91" s="13">
        <v>3724</v>
      </c>
      <c r="G91" s="13">
        <v>1396</v>
      </c>
      <c r="H91" s="13"/>
      <c r="I91" s="13"/>
      <c r="J91" s="13"/>
      <c r="K91" s="13"/>
      <c r="L91" s="13"/>
      <c r="M91" s="13"/>
      <c r="N91" s="13">
        <v>2</v>
      </c>
      <c r="O91" s="13"/>
    </row>
    <row r="92" ht="15" customHeight="1" spans="2:15">
      <c r="B92" s="302"/>
      <c r="C92" s="302" t="s">
        <v>902</v>
      </c>
      <c r="D92" s="301">
        <f>COUNT(D70:D91)</f>
        <v>9</v>
      </c>
      <c r="E92" s="301">
        <f t="shared" ref="E92:O92" si="12">COUNT(E70:E91)</f>
        <v>9</v>
      </c>
      <c r="F92" s="301">
        <f t="shared" si="12"/>
        <v>9</v>
      </c>
      <c r="G92" s="301">
        <f t="shared" si="12"/>
        <v>9</v>
      </c>
      <c r="H92" s="301">
        <f t="shared" si="12"/>
        <v>8</v>
      </c>
      <c r="I92" s="301">
        <f t="shared" si="12"/>
        <v>1</v>
      </c>
      <c r="J92" s="301">
        <f t="shared" si="12"/>
        <v>1</v>
      </c>
      <c r="K92" s="301">
        <f t="shared" si="12"/>
        <v>1</v>
      </c>
      <c r="L92" s="301">
        <f t="shared" si="12"/>
        <v>1</v>
      </c>
      <c r="M92" s="301">
        <f t="shared" si="12"/>
        <v>1</v>
      </c>
      <c r="N92" s="301">
        <f t="shared" si="12"/>
        <v>1</v>
      </c>
      <c r="O92" s="301">
        <f t="shared" si="12"/>
        <v>2</v>
      </c>
    </row>
    <row r="93" ht="15" customHeight="1" spans="2:15">
      <c r="B93" s="302" t="s">
        <v>2694</v>
      </c>
      <c r="C93" s="302" t="s">
        <v>2624</v>
      </c>
      <c r="D93" s="301">
        <v>4189</v>
      </c>
      <c r="E93" s="301">
        <v>4189</v>
      </c>
      <c r="F93" s="301">
        <v>16759</v>
      </c>
      <c r="G93" s="301">
        <v>6284</v>
      </c>
      <c r="H93" s="301">
        <v>4189</v>
      </c>
      <c r="I93" s="301">
        <v>2</v>
      </c>
      <c r="J93" s="301">
        <v>2</v>
      </c>
      <c r="K93" s="301">
        <v>2</v>
      </c>
      <c r="L93" s="301">
        <v>2</v>
      </c>
      <c r="M93" s="301">
        <v>2</v>
      </c>
      <c r="N93" s="301">
        <v>2</v>
      </c>
      <c r="O93" s="301">
        <v>1</v>
      </c>
    </row>
    <row r="94" ht="15" customHeight="1" spans="2:15">
      <c r="B94" s="302" t="s">
        <v>2695</v>
      </c>
      <c r="C94" s="302" t="s">
        <v>2626</v>
      </c>
      <c r="D94" s="301">
        <f>D92*D93</f>
        <v>37701</v>
      </c>
      <c r="E94" s="301">
        <f t="shared" ref="E94:O94" si="13">E92*E93</f>
        <v>37701</v>
      </c>
      <c r="F94" s="301">
        <f t="shared" si="13"/>
        <v>150831</v>
      </c>
      <c r="G94" s="301">
        <f t="shared" si="13"/>
        <v>56556</v>
      </c>
      <c r="H94" s="301">
        <f t="shared" si="13"/>
        <v>33512</v>
      </c>
      <c r="I94" s="301">
        <f t="shared" si="13"/>
        <v>2</v>
      </c>
      <c r="J94" s="301">
        <f t="shared" si="13"/>
        <v>2</v>
      </c>
      <c r="K94" s="301">
        <f t="shared" si="13"/>
        <v>2</v>
      </c>
      <c r="L94" s="301">
        <f t="shared" si="13"/>
        <v>2</v>
      </c>
      <c r="M94" s="301">
        <f t="shared" si="13"/>
        <v>2</v>
      </c>
      <c r="N94" s="301">
        <f t="shared" si="13"/>
        <v>2</v>
      </c>
      <c r="O94" s="301">
        <f t="shared" si="13"/>
        <v>2</v>
      </c>
    </row>
    <row r="95" s="229" customFormat="1" ht="35.1" customHeight="1" spans="2:15">
      <c r="B95" s="320"/>
      <c r="C95" s="320"/>
    </row>
    <row r="96" ht="15" customHeight="1" spans="2:15">
      <c r="B96" s="2" t="s">
        <v>2696</v>
      </c>
      <c r="C96" s="2" t="s">
        <v>1277</v>
      </c>
      <c r="D96" s="2" t="s">
        <v>191</v>
      </c>
      <c r="E96" s="2" t="s">
        <v>192</v>
      </c>
      <c r="F96" s="2" t="s">
        <v>189</v>
      </c>
      <c r="G96" s="2" t="s">
        <v>190</v>
      </c>
      <c r="H96" s="2" t="s">
        <v>198</v>
      </c>
      <c r="I96" s="2" t="s">
        <v>2599</v>
      </c>
      <c r="J96" s="2" t="s">
        <v>2600</v>
      </c>
      <c r="K96" s="2" t="s">
        <v>2601</v>
      </c>
      <c r="L96" s="2" t="s">
        <v>2602</v>
      </c>
      <c r="M96" s="2" t="s">
        <v>2603</v>
      </c>
      <c r="N96" s="2" t="s">
        <v>2604</v>
      </c>
      <c r="O96" s="2" t="s">
        <v>2605</v>
      </c>
    </row>
    <row r="97" ht="15" customHeight="1" spans="2:15">
      <c r="B97" s="2" t="s">
        <v>2697</v>
      </c>
      <c r="C97" s="2" t="s">
        <v>2698</v>
      </c>
      <c r="D97" s="13">
        <v>2073</v>
      </c>
      <c r="E97" s="13">
        <v>2073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5" customHeight="1" spans="2:15">
      <c r="B98" s="2"/>
      <c r="C98" s="2" t="s">
        <v>2699</v>
      </c>
      <c r="D98" s="13">
        <v>2073</v>
      </c>
      <c r="E98" s="13"/>
      <c r="F98" s="13">
        <v>8292</v>
      </c>
      <c r="G98" s="13"/>
      <c r="H98" s="13"/>
      <c r="I98" s="13"/>
      <c r="J98" s="13"/>
      <c r="K98" s="13"/>
      <c r="L98" s="13"/>
      <c r="M98" s="13"/>
      <c r="N98" s="13"/>
      <c r="O98" s="13"/>
    </row>
    <row r="99" ht="15" customHeight="1" spans="2:15">
      <c r="B99" s="2"/>
      <c r="C99" s="2" t="s">
        <v>2700</v>
      </c>
      <c r="D99" s="13">
        <v>2073</v>
      </c>
      <c r="E99" s="13"/>
      <c r="F99" s="13"/>
      <c r="G99" s="13">
        <v>3109</v>
      </c>
      <c r="H99" s="13"/>
      <c r="I99" s="13"/>
      <c r="J99" s="13"/>
      <c r="K99" s="13"/>
      <c r="L99" s="13"/>
      <c r="M99" s="13"/>
      <c r="N99" s="13"/>
      <c r="O99" s="13"/>
    </row>
    <row r="100" ht="15" customHeight="1" spans="2:15">
      <c r="B100" s="2"/>
      <c r="C100" s="2" t="s">
        <v>2701</v>
      </c>
      <c r="D100" s="13">
        <v>2073</v>
      </c>
      <c r="E100" s="13"/>
      <c r="F100" s="13"/>
      <c r="G100" s="13"/>
      <c r="H100" s="13">
        <v>2073</v>
      </c>
      <c r="I100" s="13"/>
      <c r="J100" s="13"/>
      <c r="K100" s="13"/>
      <c r="L100" s="13"/>
      <c r="M100" s="13"/>
      <c r="N100" s="13"/>
      <c r="O100" s="13"/>
    </row>
    <row r="101" ht="15" customHeight="1" spans="2:15">
      <c r="B101" s="2"/>
      <c r="C101" s="2" t="s">
        <v>2702</v>
      </c>
      <c r="D101" s="13"/>
      <c r="E101" s="13">
        <v>2073</v>
      </c>
      <c r="F101" s="13">
        <v>8292</v>
      </c>
      <c r="G101" s="13"/>
      <c r="H101" s="13"/>
      <c r="I101" s="13"/>
      <c r="J101" s="13"/>
      <c r="K101" s="13"/>
      <c r="L101" s="13"/>
      <c r="M101" s="13"/>
      <c r="N101" s="13"/>
      <c r="O101" s="13"/>
    </row>
    <row r="102" ht="15" customHeight="1" spans="2:15">
      <c r="B102" s="2"/>
      <c r="C102" s="2" t="s">
        <v>2703</v>
      </c>
      <c r="D102" s="13"/>
      <c r="E102" s="13">
        <v>2073</v>
      </c>
      <c r="F102" s="13"/>
      <c r="G102" s="13">
        <v>3109</v>
      </c>
      <c r="H102" s="13"/>
      <c r="I102" s="13"/>
      <c r="J102" s="13"/>
      <c r="K102" s="13"/>
      <c r="L102" s="13"/>
      <c r="M102" s="13"/>
      <c r="N102" s="13"/>
      <c r="O102" s="13"/>
    </row>
    <row r="103" ht="15" customHeight="1" spans="2:15">
      <c r="B103" s="2"/>
      <c r="C103" s="2" t="s">
        <v>2704</v>
      </c>
      <c r="D103" s="13"/>
      <c r="E103" s="13">
        <v>2073</v>
      </c>
      <c r="F103" s="13"/>
      <c r="G103" s="13"/>
      <c r="H103" s="13">
        <v>2073</v>
      </c>
      <c r="I103" s="13"/>
      <c r="J103" s="13"/>
      <c r="K103" s="13"/>
      <c r="L103" s="13"/>
      <c r="M103" s="13"/>
      <c r="N103" s="13"/>
      <c r="O103" s="13"/>
    </row>
    <row r="104" ht="15" customHeight="1" spans="2:15">
      <c r="B104" s="2"/>
      <c r="C104" s="2" t="s">
        <v>2705</v>
      </c>
      <c r="D104" s="13"/>
      <c r="E104" s="13"/>
      <c r="F104" s="13">
        <v>8292</v>
      </c>
      <c r="G104" s="13">
        <v>3109</v>
      </c>
      <c r="H104" s="13"/>
      <c r="I104" s="13"/>
      <c r="J104" s="13"/>
      <c r="K104" s="13"/>
      <c r="L104" s="13"/>
      <c r="M104" s="13"/>
      <c r="N104" s="13"/>
      <c r="O104" s="13"/>
    </row>
    <row r="105" ht="15" customHeight="1" spans="2:15">
      <c r="B105" s="2"/>
      <c r="C105" s="2" t="s">
        <v>2706</v>
      </c>
      <c r="D105" s="13"/>
      <c r="E105" s="13"/>
      <c r="F105" s="13">
        <v>8292</v>
      </c>
      <c r="G105" s="13"/>
      <c r="H105" s="13">
        <v>2073</v>
      </c>
      <c r="I105" s="13"/>
      <c r="J105" s="13"/>
      <c r="K105" s="13"/>
      <c r="L105" s="13"/>
      <c r="M105" s="13"/>
      <c r="N105" s="13"/>
      <c r="O105" s="13"/>
    </row>
    <row r="106" ht="15" customHeight="1" spans="2:15">
      <c r="B106" s="2"/>
      <c r="C106" s="2" t="s">
        <v>2707</v>
      </c>
      <c r="D106" s="13"/>
      <c r="E106" s="13"/>
      <c r="F106" s="13"/>
      <c r="G106" s="13">
        <v>3109</v>
      </c>
      <c r="H106" s="13">
        <v>2073</v>
      </c>
      <c r="I106" s="13"/>
      <c r="J106" s="13"/>
      <c r="K106" s="13"/>
      <c r="L106" s="13"/>
      <c r="M106" s="13"/>
      <c r="N106" s="13"/>
      <c r="O106" s="13"/>
    </row>
    <row r="107" ht="15" customHeight="1" spans="2:15">
      <c r="B107" s="2"/>
      <c r="C107" s="2" t="s">
        <v>2708</v>
      </c>
      <c r="D107" s="13">
        <v>2073</v>
      </c>
      <c r="E107" s="13">
        <v>2073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ht="15" customHeight="1" spans="2:15">
      <c r="B108" s="2"/>
      <c r="C108" s="2" t="s">
        <v>2709</v>
      </c>
      <c r="D108" s="13">
        <v>2073</v>
      </c>
      <c r="E108" s="13"/>
      <c r="F108" s="13">
        <v>8292</v>
      </c>
      <c r="G108" s="13"/>
      <c r="H108" s="13"/>
      <c r="I108" s="13"/>
      <c r="J108" s="13"/>
      <c r="K108" s="13"/>
      <c r="L108" s="13"/>
      <c r="M108" s="13"/>
      <c r="N108" s="13"/>
      <c r="O108" s="13"/>
    </row>
    <row r="109" ht="15" customHeight="1" spans="2:15">
      <c r="B109" s="2"/>
      <c r="C109" s="2" t="s">
        <v>2710</v>
      </c>
      <c r="D109" s="13"/>
      <c r="E109" s="13"/>
      <c r="F109" s="13">
        <v>8292</v>
      </c>
      <c r="G109" s="13"/>
      <c r="H109" s="13">
        <v>2073</v>
      </c>
      <c r="I109" s="13"/>
      <c r="J109" s="13"/>
      <c r="K109" s="13"/>
      <c r="L109" s="13"/>
      <c r="M109" s="13"/>
      <c r="N109" s="13"/>
      <c r="O109" s="13"/>
    </row>
    <row r="110" ht="15" customHeight="1" spans="2:15">
      <c r="B110" s="2"/>
      <c r="C110" s="2" t="s">
        <v>2711</v>
      </c>
      <c r="D110" s="13"/>
      <c r="E110" s="13"/>
      <c r="F110" s="13"/>
      <c r="G110" s="13">
        <v>3109</v>
      </c>
      <c r="H110" s="13">
        <v>2073</v>
      </c>
      <c r="I110" s="13"/>
      <c r="J110" s="13"/>
      <c r="K110" s="13"/>
      <c r="L110" s="13"/>
      <c r="M110" s="13"/>
      <c r="N110" s="13"/>
      <c r="O110" s="13"/>
    </row>
    <row r="111" ht="15" customHeight="1" spans="2:15">
      <c r="B111" s="2"/>
      <c r="C111" s="2" t="s">
        <v>2712</v>
      </c>
      <c r="D111" s="13"/>
      <c r="E111" s="13">
        <v>2073</v>
      </c>
      <c r="F111" s="13">
        <v>8292</v>
      </c>
      <c r="G111" s="13"/>
      <c r="H111" s="13"/>
      <c r="I111" s="13"/>
      <c r="J111" s="13"/>
      <c r="K111" s="13"/>
      <c r="L111" s="13"/>
      <c r="M111" s="13"/>
      <c r="N111" s="13"/>
      <c r="O111" s="13"/>
    </row>
    <row r="112" ht="15" customHeight="1" spans="2:15">
      <c r="B112" s="2"/>
      <c r="C112" s="2" t="s">
        <v>2713</v>
      </c>
      <c r="D112" s="13"/>
      <c r="E112" s="13">
        <v>2073</v>
      </c>
      <c r="F112" s="13"/>
      <c r="G112" s="13">
        <v>3109</v>
      </c>
      <c r="H112" s="13"/>
      <c r="I112" s="13"/>
      <c r="J112" s="13"/>
      <c r="K112" s="13"/>
      <c r="L112" s="13"/>
      <c r="M112" s="13"/>
      <c r="N112" s="13"/>
      <c r="O112" s="13"/>
    </row>
    <row r="113" ht="15" customHeight="1" spans="2:15">
      <c r="B113" s="2"/>
      <c r="C113" s="2" t="s">
        <v>2714</v>
      </c>
      <c r="D113" s="13"/>
      <c r="E113" s="13">
        <v>2073</v>
      </c>
      <c r="F113" s="13"/>
      <c r="G113" s="13"/>
      <c r="H113" s="13">
        <v>2073</v>
      </c>
      <c r="I113" s="13"/>
      <c r="J113" s="13"/>
      <c r="K113" s="13"/>
      <c r="L113" s="13"/>
      <c r="M113" s="13"/>
      <c r="N113" s="13"/>
      <c r="O113" s="13">
        <v>1</v>
      </c>
    </row>
    <row r="114" ht="15" customHeight="1" spans="2:15">
      <c r="B114" s="2"/>
      <c r="C114" s="2" t="s">
        <v>2715</v>
      </c>
      <c r="D114" s="13"/>
      <c r="E114" s="13"/>
      <c r="F114" s="13">
        <v>8292</v>
      </c>
      <c r="G114" s="13">
        <v>3109</v>
      </c>
      <c r="H114" s="13"/>
      <c r="I114" s="13"/>
      <c r="J114" s="13"/>
      <c r="K114" s="13">
        <v>2</v>
      </c>
      <c r="L114" s="13"/>
      <c r="M114" s="13"/>
      <c r="N114" s="13"/>
      <c r="O114" s="13"/>
    </row>
    <row r="115" ht="15" customHeight="1" spans="2:15">
      <c r="B115" s="2"/>
      <c r="C115" s="2" t="s">
        <v>2716</v>
      </c>
      <c r="D115" s="13">
        <v>2073</v>
      </c>
      <c r="E115" s="13"/>
      <c r="F115" s="13"/>
      <c r="G115" s="13">
        <v>3109</v>
      </c>
      <c r="H115" s="13"/>
      <c r="I115" s="13"/>
      <c r="J115" s="13"/>
      <c r="K115" s="13"/>
      <c r="L115" s="13">
        <v>2</v>
      </c>
      <c r="M115" s="13"/>
      <c r="N115" s="13"/>
      <c r="O115" s="13"/>
    </row>
    <row r="116" ht="15" customHeight="1" spans="2:15">
      <c r="B116" s="2"/>
      <c r="C116" s="2" t="s">
        <v>2717</v>
      </c>
      <c r="D116" s="13">
        <v>2073</v>
      </c>
      <c r="E116" s="13"/>
      <c r="F116" s="13"/>
      <c r="G116" s="13"/>
      <c r="H116" s="13">
        <v>2073</v>
      </c>
      <c r="I116" s="13"/>
      <c r="J116" s="13">
        <v>2</v>
      </c>
      <c r="K116" s="13"/>
      <c r="L116" s="13"/>
      <c r="M116" s="13"/>
      <c r="N116" s="13"/>
      <c r="O116" s="13"/>
    </row>
    <row r="117" ht="15" customHeight="1" spans="2:15">
      <c r="B117" s="2"/>
      <c r="C117" s="2" t="s">
        <v>2718</v>
      </c>
      <c r="D117" s="13"/>
      <c r="E117" s="13">
        <v>2073</v>
      </c>
      <c r="F117" s="13">
        <v>8292</v>
      </c>
      <c r="G117" s="13"/>
      <c r="H117" s="13"/>
      <c r="I117" s="13">
        <v>2</v>
      </c>
      <c r="J117" s="13"/>
      <c r="K117" s="13"/>
      <c r="L117" s="13"/>
      <c r="M117" s="13"/>
      <c r="N117" s="13"/>
      <c r="O117" s="13"/>
    </row>
    <row r="118" ht="15" customHeight="1" spans="2:15">
      <c r="B118" s="302"/>
      <c r="C118" s="302" t="s">
        <v>902</v>
      </c>
      <c r="D118" s="301">
        <f>COUNT(D97:D117)</f>
        <v>8</v>
      </c>
      <c r="E118" s="301">
        <f t="shared" ref="E118:O118" si="14">COUNT(E97:E117)</f>
        <v>9</v>
      </c>
      <c r="F118" s="301">
        <f t="shared" si="14"/>
        <v>9</v>
      </c>
      <c r="G118" s="301">
        <f t="shared" si="14"/>
        <v>8</v>
      </c>
      <c r="H118" s="301">
        <f t="shared" si="14"/>
        <v>8</v>
      </c>
      <c r="I118" s="301">
        <f t="shared" si="14"/>
        <v>1</v>
      </c>
      <c r="J118" s="301">
        <f t="shared" si="14"/>
        <v>1</v>
      </c>
      <c r="K118" s="301">
        <f t="shared" si="14"/>
        <v>1</v>
      </c>
      <c r="L118" s="301">
        <f t="shared" si="14"/>
        <v>1</v>
      </c>
      <c r="M118" s="301"/>
      <c r="N118" s="301"/>
      <c r="O118" s="301">
        <f t="shared" si="14"/>
        <v>1</v>
      </c>
    </row>
    <row r="119" ht="15" customHeight="1" spans="2:15">
      <c r="B119" s="302" t="s">
        <v>2719</v>
      </c>
      <c r="C119" s="302" t="s">
        <v>2624</v>
      </c>
      <c r="D119" s="301">
        <v>11401</v>
      </c>
      <c r="E119" s="301">
        <v>11401</v>
      </c>
      <c r="F119" s="301">
        <v>45607</v>
      </c>
      <c r="G119" s="301">
        <v>17102</v>
      </c>
      <c r="H119" s="301">
        <v>11401</v>
      </c>
      <c r="I119" s="301">
        <v>2</v>
      </c>
      <c r="J119" s="301">
        <v>2</v>
      </c>
      <c r="K119" s="301">
        <v>2</v>
      </c>
      <c r="L119" s="301">
        <v>2</v>
      </c>
      <c r="M119" s="301"/>
      <c r="N119" s="301"/>
      <c r="O119" s="301">
        <v>1</v>
      </c>
    </row>
    <row r="120" ht="15" customHeight="1" spans="2:15">
      <c r="B120" s="302"/>
      <c r="C120" s="302" t="s">
        <v>2626</v>
      </c>
      <c r="D120" s="301">
        <f>D118*D119</f>
        <v>91208</v>
      </c>
      <c r="E120" s="301">
        <f t="shared" ref="E120:O120" si="15">E118*E119</f>
        <v>102609</v>
      </c>
      <c r="F120" s="301">
        <f t="shared" si="15"/>
        <v>410463</v>
      </c>
      <c r="G120" s="301">
        <f t="shared" si="15"/>
        <v>136816</v>
      </c>
      <c r="H120" s="301">
        <f t="shared" si="15"/>
        <v>91208</v>
      </c>
      <c r="I120" s="301">
        <f t="shared" si="15"/>
        <v>2</v>
      </c>
      <c r="J120" s="301">
        <f t="shared" si="15"/>
        <v>2</v>
      </c>
      <c r="K120" s="301">
        <f t="shared" si="15"/>
        <v>2</v>
      </c>
      <c r="L120" s="301">
        <f t="shared" si="15"/>
        <v>2</v>
      </c>
      <c r="M120" s="301"/>
      <c r="N120" s="301"/>
      <c r="O120" s="301">
        <f t="shared" si="15"/>
        <v>1</v>
      </c>
    </row>
    <row r="121" ht="15" customHeight="1" spans="2:15">
      <c r="B121" s="2" t="s">
        <v>2696</v>
      </c>
      <c r="C121" s="2" t="s">
        <v>1277</v>
      </c>
      <c r="D121" s="2" t="s">
        <v>191</v>
      </c>
      <c r="E121" s="2" t="s">
        <v>192</v>
      </c>
      <c r="F121" s="2" t="s">
        <v>189</v>
      </c>
      <c r="G121" s="2" t="s">
        <v>190</v>
      </c>
      <c r="H121" s="2" t="s">
        <v>198</v>
      </c>
      <c r="I121" s="2" t="s">
        <v>2599</v>
      </c>
      <c r="J121" s="2" t="s">
        <v>2600</v>
      </c>
      <c r="K121" s="2" t="s">
        <v>2601</v>
      </c>
      <c r="L121" s="2" t="s">
        <v>2602</v>
      </c>
      <c r="M121" s="2" t="s">
        <v>2603</v>
      </c>
      <c r="N121" s="2" t="s">
        <v>2604</v>
      </c>
      <c r="O121" s="2" t="s">
        <v>2605</v>
      </c>
    </row>
    <row r="122" ht="15" customHeight="1" spans="2:15">
      <c r="B122" s="2" t="s">
        <v>2661</v>
      </c>
      <c r="C122" s="2" t="s">
        <v>2720</v>
      </c>
      <c r="D122" s="13"/>
      <c r="E122" s="13"/>
      <c r="F122" s="13"/>
      <c r="G122" s="13"/>
      <c r="H122" s="13">
        <v>4146</v>
      </c>
      <c r="I122" s="13"/>
      <c r="J122" s="13"/>
      <c r="K122" s="13"/>
      <c r="L122" s="13"/>
      <c r="M122" s="13">
        <v>2</v>
      </c>
      <c r="N122" s="13"/>
      <c r="O122" s="13"/>
    </row>
    <row r="123" ht="15" customHeight="1" spans="2:15">
      <c r="B123" s="2"/>
      <c r="C123" s="2" t="s">
        <v>2721</v>
      </c>
      <c r="D123" s="13"/>
      <c r="E123" s="13"/>
      <c r="F123" s="13"/>
      <c r="G123" s="13">
        <v>6219</v>
      </c>
      <c r="H123" s="13"/>
      <c r="I123" s="13"/>
      <c r="J123" s="13"/>
      <c r="K123" s="13"/>
      <c r="L123" s="13"/>
      <c r="M123" s="13"/>
      <c r="N123" s="13">
        <v>2</v>
      </c>
      <c r="O123" s="13"/>
    </row>
    <row r="124" ht="15" customHeight="1" spans="2:15">
      <c r="B124" s="2"/>
      <c r="C124" s="2" t="s">
        <v>2722</v>
      </c>
      <c r="D124" s="13"/>
      <c r="E124" s="13"/>
      <c r="F124" s="13">
        <v>16584</v>
      </c>
      <c r="G124" s="13"/>
      <c r="H124" s="13"/>
      <c r="I124" s="13">
        <v>1</v>
      </c>
      <c r="J124" s="13"/>
      <c r="K124" s="13"/>
      <c r="L124" s="13">
        <v>1</v>
      </c>
      <c r="M124" s="13"/>
      <c r="N124" s="13"/>
      <c r="O124" s="13"/>
    </row>
    <row r="125" ht="15" customHeight="1" spans="2:15">
      <c r="B125" s="2"/>
      <c r="C125" s="2" t="s">
        <v>2723</v>
      </c>
      <c r="D125" s="13"/>
      <c r="E125" s="13">
        <v>4146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>
        <v>1</v>
      </c>
    </row>
    <row r="126" ht="15" customHeight="1" spans="2:15">
      <c r="B126" s="2"/>
      <c r="C126" s="2" t="s">
        <v>2724</v>
      </c>
      <c r="D126" s="13">
        <v>4146</v>
      </c>
      <c r="E126" s="13"/>
      <c r="F126" s="13"/>
      <c r="G126" s="13"/>
      <c r="H126" s="13"/>
      <c r="I126" s="13"/>
      <c r="J126" s="13">
        <v>1</v>
      </c>
      <c r="K126" s="13">
        <v>1</v>
      </c>
      <c r="L126" s="13"/>
      <c r="M126" s="13"/>
      <c r="N126" s="13"/>
      <c r="O126" s="13"/>
    </row>
    <row r="127" ht="15" customHeight="1" spans="2:15">
      <c r="B127" s="302" t="s">
        <v>2719</v>
      </c>
      <c r="C127" s="302" t="s">
        <v>2624</v>
      </c>
      <c r="D127" s="301">
        <v>22803</v>
      </c>
      <c r="E127" s="301">
        <v>22803</v>
      </c>
      <c r="F127" s="301">
        <v>91214</v>
      </c>
      <c r="G127" s="301">
        <v>34205</v>
      </c>
      <c r="H127" s="301">
        <v>22803</v>
      </c>
      <c r="I127" s="301">
        <v>1</v>
      </c>
      <c r="J127" s="301">
        <v>1</v>
      </c>
      <c r="K127" s="301">
        <v>1</v>
      </c>
      <c r="L127" s="301">
        <v>1</v>
      </c>
      <c r="M127" s="301">
        <v>2</v>
      </c>
      <c r="N127" s="301">
        <v>2</v>
      </c>
      <c r="O127" s="301">
        <v>1</v>
      </c>
    </row>
    <row r="128" ht="15" customHeight="1" spans="2:15">
      <c r="B128" s="302" t="s">
        <v>2725</v>
      </c>
      <c r="C128" s="302" t="s">
        <v>2726</v>
      </c>
      <c r="D128" s="301">
        <f>D120+D127</f>
        <v>114011</v>
      </c>
      <c r="E128" s="301">
        <f t="shared" ref="E128:O128" si="16">E120+E127</f>
        <v>125412</v>
      </c>
      <c r="F128" s="301">
        <f t="shared" si="16"/>
        <v>501677</v>
      </c>
      <c r="G128" s="301">
        <f t="shared" si="16"/>
        <v>171021</v>
      </c>
      <c r="H128" s="301">
        <f t="shared" si="16"/>
        <v>114011</v>
      </c>
      <c r="I128" s="301">
        <f t="shared" si="16"/>
        <v>3</v>
      </c>
      <c r="J128" s="301">
        <f t="shared" si="16"/>
        <v>3</v>
      </c>
      <c r="K128" s="301">
        <f t="shared" si="16"/>
        <v>3</v>
      </c>
      <c r="L128" s="301">
        <f t="shared" si="16"/>
        <v>3</v>
      </c>
      <c r="M128" s="301">
        <f t="shared" si="16"/>
        <v>2</v>
      </c>
      <c r="N128" s="301">
        <f t="shared" si="16"/>
        <v>2</v>
      </c>
      <c r="O128" s="301">
        <f t="shared" si="16"/>
        <v>2</v>
      </c>
    </row>
    <row r="129" ht="15" customHeight="1" spans="2:15">
      <c r="B129" s="320"/>
      <c r="C129" s="320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</row>
    <row r="130" ht="15" customHeight="1" spans="2:15">
      <c r="B130" s="320"/>
      <c r="C130" s="320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</row>
    <row r="131" ht="15" customHeight="1" spans="2:15">
      <c r="B131" s="320"/>
      <c r="C131" s="320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</row>
    <row r="132" ht="15" customHeight="1" spans="2:15">
      <c r="B132" s="320"/>
      <c r="C132" s="320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</row>
    <row r="133" ht="15" customHeight="1" spans="2:15">
      <c r="B133" s="320"/>
      <c r="C133" s="320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</row>
    <row r="134" ht="15" customHeight="1" spans="2:15">
      <c r="B134" s="320"/>
      <c r="C134" s="320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</row>
    <row r="135" ht="15" customHeight="1" spans="2:15">
      <c r="B135" s="320"/>
      <c r="C135" s="320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</row>
    <row r="136" ht="15" customHeight="1" spans="2:15">
      <c r="B136" s="320"/>
      <c r="C136" s="320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</row>
    <row r="137" ht="15" customHeight="1" spans="2:15">
      <c r="B137" s="320"/>
      <c r="C137" s="320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</row>
    <row r="138" ht="15" customHeight="1" spans="2:15">
      <c r="B138" s="320"/>
      <c r="C138" s="320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</row>
    <row r="139" ht="15" customHeight="1" spans="2:15">
      <c r="B139" s="320"/>
      <c r="C139" s="320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</row>
    <row r="140" ht="15" customHeight="1" spans="2:15">
      <c r="B140" s="320"/>
      <c r="C140" s="320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</row>
    <row r="141" ht="15" customHeight="1" spans="2:15">
      <c r="B141" s="320"/>
      <c r="C141" s="320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</row>
    <row r="142" ht="15" customHeight="1" spans="2:15">
      <c r="B142" s="320"/>
      <c r="C142" s="320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</row>
    <row r="143" ht="15" customHeight="1" spans="2:15">
      <c r="B143" s="320"/>
      <c r="C143" s="320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</row>
    <row r="144" ht="15" customHeight="1" spans="2:15">
      <c r="B144" s="320"/>
      <c r="C144" s="320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</row>
    <row r="145" ht="15" customHeight="1" spans="2:15">
      <c r="B145" s="229"/>
      <c r="C145" s="320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</row>
    <row r="146" ht="15" customHeight="1" spans="2:15">
      <c r="B146" s="320"/>
      <c r="C146" s="320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</row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R100"/>
  <sheetViews>
    <sheetView zoomScale="85" zoomScaleNormal="85" workbookViewId="0">
      <selection activeCell="AK21" sqref="AK21"/>
    </sheetView>
  </sheetViews>
  <sheetFormatPr defaultColWidth="9" defaultRowHeight="13.5"/>
  <cols>
    <col min="1" max="1" width="1.75" customWidth="1"/>
    <col min="2" max="2" width="5.125" customWidth="1"/>
    <col min="3" max="3" width="5" customWidth="1"/>
    <col min="4" max="4" width="9.375" customWidth="1"/>
    <col min="5" max="5" width="5.875" customWidth="1"/>
    <col min="6" max="6" width="3.625" customWidth="1"/>
    <col min="7" max="7" width="5" customWidth="1"/>
    <col min="8" max="8" width="3.625" customWidth="1"/>
    <col min="9" max="9" width="5.125" customWidth="1"/>
    <col min="10" max="10" width="5" customWidth="1"/>
    <col min="11" max="11" width="9.375" customWidth="1"/>
    <col min="12" max="12" width="5.875" customWidth="1"/>
    <col min="13" max="13" width="3.625" customWidth="1"/>
    <col min="14" max="14" width="4.75" customWidth="1"/>
    <col min="15" max="15" width="3.625" customWidth="1"/>
    <col min="17" max="17" width="10.5" style="143" customWidth="1"/>
    <col min="18" max="18" width="9" style="41"/>
    <col min="19" max="19" width="0.875" style="41" customWidth="1"/>
    <col min="20" max="20" width="11.125" style="41" customWidth="1"/>
    <col min="21" max="21" width="2" customWidth="1"/>
    <col min="22" max="22" width="10.125" customWidth="1"/>
    <col min="24" max="24" width="0.875" customWidth="1"/>
    <col min="25" max="25" width="11" customWidth="1"/>
    <col min="26" max="26" width="2" customWidth="1"/>
    <col min="27" max="27" width="10.125" customWidth="1"/>
    <col min="29" max="29" width="0.875" customWidth="1"/>
    <col min="30" max="30" width="11.125" style="41" customWidth="1"/>
    <col min="31" max="31" width="2" customWidth="1"/>
    <col min="32" max="32" width="10.125" customWidth="1"/>
    <col min="34" max="34" width="0.875" customWidth="1"/>
    <col min="35" max="35" width="11" customWidth="1"/>
    <col min="36" max="36" width="2" customWidth="1"/>
    <col min="37" max="37" width="10.125" customWidth="1"/>
    <col min="39" max="39" width="0.875" customWidth="1"/>
    <col min="40" max="40" width="11" customWidth="1"/>
    <col min="41" max="41" width="5.125" customWidth="1"/>
  </cols>
  <sheetData>
    <row r="1" ht="20.25" customHeight="1"/>
    <row r="2" ht="20.1" customHeight="1" spans="2:70">
      <c r="B2" s="2" t="s">
        <v>2727</v>
      </c>
      <c r="C2" s="2" t="s">
        <v>2728</v>
      </c>
      <c r="D2" s="2" t="s">
        <v>2729</v>
      </c>
      <c r="E2" s="2" t="s">
        <v>2730</v>
      </c>
      <c r="F2" s="30"/>
      <c r="G2" s="296" t="s">
        <v>876</v>
      </c>
      <c r="H2" s="14"/>
      <c r="I2" s="2" t="s">
        <v>2727</v>
      </c>
      <c r="J2" s="2" t="s">
        <v>2728</v>
      </c>
      <c r="K2" s="2" t="s">
        <v>2729</v>
      </c>
      <c r="L2" s="2" t="s">
        <v>2730</v>
      </c>
      <c r="M2" s="30"/>
      <c r="N2" s="297" t="s">
        <v>876</v>
      </c>
      <c r="O2" s="14"/>
      <c r="Q2" s="298" t="s">
        <v>2731</v>
      </c>
      <c r="R2" s="299" t="s">
        <v>2732</v>
      </c>
      <c r="S2" s="299"/>
      <c r="T2" s="300" t="s">
        <v>2733</v>
      </c>
      <c r="V2" s="298" t="s">
        <v>2731</v>
      </c>
      <c r="W2" s="299" t="s">
        <v>2732</v>
      </c>
      <c r="X2" s="299"/>
      <c r="Y2" s="300" t="s">
        <v>2733</v>
      </c>
      <c r="AA2" s="298" t="s">
        <v>2731</v>
      </c>
      <c r="AB2" s="299" t="s">
        <v>2732</v>
      </c>
      <c r="AC2" s="299"/>
      <c r="AD2" s="300" t="s">
        <v>2733</v>
      </c>
      <c r="AF2" s="298" t="s">
        <v>2731</v>
      </c>
      <c r="AG2" s="299" t="s">
        <v>2732</v>
      </c>
      <c r="AH2" s="299"/>
      <c r="AI2" s="300" t="s">
        <v>2733</v>
      </c>
      <c r="AO2" t="s">
        <v>2734</v>
      </c>
      <c r="AP2" s="298" t="s">
        <v>2731</v>
      </c>
      <c r="AQ2" s="299" t="s">
        <v>2732</v>
      </c>
      <c r="AR2" s="299"/>
      <c r="AS2" s="300" t="s">
        <v>2733</v>
      </c>
      <c r="AU2" s="298" t="s">
        <v>2731</v>
      </c>
      <c r="AV2" s="299" t="s">
        <v>2732</v>
      </c>
      <c r="AW2" s="299"/>
      <c r="AX2" s="300" t="s">
        <v>2733</v>
      </c>
      <c r="AZ2" s="298" t="s">
        <v>2731</v>
      </c>
      <c r="BA2" s="299" t="s">
        <v>2732</v>
      </c>
      <c r="BB2" s="299"/>
      <c r="BC2" s="300" t="s">
        <v>2733</v>
      </c>
      <c r="BE2" s="298" t="s">
        <v>2731</v>
      </c>
      <c r="BF2" s="299" t="s">
        <v>2732</v>
      </c>
      <c r="BG2" s="299"/>
      <c r="BH2" s="300" t="s">
        <v>2733</v>
      </c>
      <c r="BJ2" s="298" t="s">
        <v>2731</v>
      </c>
      <c r="BK2" s="299" t="s">
        <v>2732</v>
      </c>
      <c r="BL2" s="299"/>
      <c r="BM2" s="300" t="s">
        <v>2733</v>
      </c>
      <c r="BO2" s="298" t="s">
        <v>2731</v>
      </c>
      <c r="BP2" s="299" t="s">
        <v>2732</v>
      </c>
      <c r="BQ2" s="299"/>
      <c r="BR2" s="300" t="s">
        <v>2733</v>
      </c>
    </row>
    <row r="3" ht="20.1" customHeight="1" spans="2:70">
      <c r="B3" s="301">
        <v>0</v>
      </c>
      <c r="C3" s="302">
        <v>1</v>
      </c>
      <c r="D3" s="301">
        <v>3</v>
      </c>
      <c r="E3" s="301">
        <v>1</v>
      </c>
      <c r="F3" s="303" t="s">
        <v>2735</v>
      </c>
      <c r="G3" s="41"/>
      <c r="I3" s="304">
        <v>20</v>
      </c>
      <c r="J3" s="305">
        <v>21</v>
      </c>
      <c r="K3" s="304">
        <v>20</v>
      </c>
      <c r="L3" s="304">
        <v>6</v>
      </c>
      <c r="M3" s="306" t="s">
        <v>2736</v>
      </c>
      <c r="N3" s="305">
        <v>66</v>
      </c>
      <c r="Q3" s="307" t="s">
        <v>2737</v>
      </c>
      <c r="R3" s="13" t="s">
        <v>2738</v>
      </c>
      <c r="S3" s="13"/>
      <c r="T3" s="308"/>
      <c r="V3" s="307" t="s">
        <v>2739</v>
      </c>
      <c r="W3" s="13" t="s">
        <v>2738</v>
      </c>
      <c r="X3" s="13"/>
      <c r="Y3" s="308"/>
      <c r="AA3" s="307" t="s">
        <v>2740</v>
      </c>
      <c r="AB3" s="13" t="s">
        <v>2738</v>
      </c>
      <c r="AC3" s="13"/>
      <c r="AD3" s="308"/>
      <c r="AF3" s="307" t="s">
        <v>2741</v>
      </c>
      <c r="AG3" s="13" t="s">
        <v>2738</v>
      </c>
      <c r="AH3" s="13"/>
      <c r="AI3" s="308"/>
      <c r="AP3" s="307" t="s">
        <v>2742</v>
      </c>
      <c r="AQ3" s="13" t="s">
        <v>2743</v>
      </c>
      <c r="AR3" s="13"/>
      <c r="AS3" s="308" t="s">
        <v>750</v>
      </c>
      <c r="AU3" s="307" t="s">
        <v>2744</v>
      </c>
      <c r="AV3" s="13" t="s">
        <v>2738</v>
      </c>
      <c r="AW3" s="13"/>
      <c r="AX3" s="308"/>
      <c r="AZ3" s="307" t="s">
        <v>2745</v>
      </c>
      <c r="BA3" s="13" t="s">
        <v>750</v>
      </c>
      <c r="BB3" s="13"/>
      <c r="BC3" s="308" t="s">
        <v>2746</v>
      </c>
      <c r="BE3" s="307" t="s">
        <v>2747</v>
      </c>
      <c r="BF3" s="13" t="s">
        <v>2746</v>
      </c>
      <c r="BG3" s="13"/>
      <c r="BH3" s="308"/>
      <c r="BJ3" s="307" t="s">
        <v>2748</v>
      </c>
      <c r="BK3" s="13" t="s">
        <v>2749</v>
      </c>
      <c r="BL3" s="13"/>
      <c r="BM3" s="308" t="s">
        <v>2749</v>
      </c>
      <c r="BO3" s="307" t="s">
        <v>2750</v>
      </c>
      <c r="BP3" s="13" t="s">
        <v>2751</v>
      </c>
      <c r="BQ3" s="13"/>
      <c r="BR3" s="308"/>
    </row>
    <row r="4" s="41" customFormat="1" ht="20.1" customHeight="1" spans="2:70">
      <c r="B4" s="309">
        <v>1</v>
      </c>
      <c r="C4" s="302">
        <v>2</v>
      </c>
      <c r="D4" s="309">
        <v>6</v>
      </c>
      <c r="E4" s="309">
        <v>1</v>
      </c>
      <c r="F4" s="303" t="s">
        <v>2735</v>
      </c>
      <c r="G4" s="152"/>
      <c r="H4"/>
      <c r="I4" s="309">
        <v>21</v>
      </c>
      <c r="J4" s="302">
        <v>22</v>
      </c>
      <c r="K4" s="301">
        <v>12</v>
      </c>
      <c r="L4" s="301">
        <v>7</v>
      </c>
      <c r="M4" s="310" t="s">
        <v>2736</v>
      </c>
      <c r="N4" s="302">
        <v>67</v>
      </c>
      <c r="O4"/>
      <c r="Q4" s="307" t="s">
        <v>2752</v>
      </c>
      <c r="R4" s="13" t="s">
        <v>750</v>
      </c>
      <c r="S4" s="13"/>
      <c r="T4" s="308" t="s">
        <v>2743</v>
      </c>
      <c r="U4"/>
      <c r="V4" s="307" t="s">
        <v>2753</v>
      </c>
      <c r="W4" s="13" t="s">
        <v>750</v>
      </c>
      <c r="X4" s="13"/>
      <c r="Y4" s="308" t="s">
        <v>2743</v>
      </c>
      <c r="Z4"/>
      <c r="AA4" s="307" t="s">
        <v>2754</v>
      </c>
      <c r="AB4" s="13" t="s">
        <v>750</v>
      </c>
      <c r="AC4" s="13"/>
      <c r="AD4" s="308" t="s">
        <v>2743</v>
      </c>
      <c r="AE4"/>
      <c r="AF4" s="307" t="s">
        <v>2755</v>
      </c>
      <c r="AG4" s="13" t="s">
        <v>750</v>
      </c>
      <c r="AH4" s="13"/>
      <c r="AI4" s="308" t="s">
        <v>2743</v>
      </c>
      <c r="AP4" s="307" t="s">
        <v>2756</v>
      </c>
      <c r="AQ4" s="13" t="s">
        <v>2738</v>
      </c>
      <c r="AR4" s="13"/>
      <c r="AS4" s="308"/>
      <c r="AU4" s="307" t="s">
        <v>2757</v>
      </c>
      <c r="AV4" s="13" t="s">
        <v>750</v>
      </c>
      <c r="AW4" s="13"/>
      <c r="AX4" s="308" t="s">
        <v>2746</v>
      </c>
      <c r="AY4" s="41"/>
      <c r="AZ4" s="307" t="s">
        <v>2758</v>
      </c>
      <c r="BA4" s="13" t="s">
        <v>2746</v>
      </c>
      <c r="BB4" s="13"/>
      <c r="BC4" s="308"/>
      <c r="BD4" s="41"/>
      <c r="BE4" s="307" t="s">
        <v>2759</v>
      </c>
      <c r="BF4" s="13" t="s">
        <v>2749</v>
      </c>
      <c r="BG4" s="13"/>
      <c r="BH4" s="308" t="s">
        <v>2749</v>
      </c>
      <c r="BI4" s="41"/>
      <c r="BJ4" s="307" t="s">
        <v>2760</v>
      </c>
      <c r="BK4" s="13" t="s">
        <v>2751</v>
      </c>
      <c r="BL4" s="13"/>
      <c r="BM4" s="308"/>
      <c r="BN4" s="41"/>
      <c r="BO4" s="307" t="s">
        <v>2761</v>
      </c>
      <c r="BP4" s="13" t="s">
        <v>2743</v>
      </c>
      <c r="BQ4" s="13"/>
      <c r="BR4" s="308" t="s">
        <v>2751</v>
      </c>
    </row>
    <row r="5" s="41" customFormat="1" ht="20.1" customHeight="1" spans="2:70">
      <c r="B5" s="301">
        <v>2</v>
      </c>
      <c r="C5" s="302">
        <v>3</v>
      </c>
      <c r="D5" s="301">
        <v>9</v>
      </c>
      <c r="E5" s="301">
        <v>1</v>
      </c>
      <c r="F5" s="303" t="s">
        <v>2735</v>
      </c>
      <c r="G5"/>
      <c r="H5"/>
      <c r="I5" s="301">
        <v>22</v>
      </c>
      <c r="J5" s="302">
        <v>23</v>
      </c>
      <c r="K5" s="301">
        <v>16</v>
      </c>
      <c r="L5" s="301">
        <v>7</v>
      </c>
      <c r="M5" s="310" t="s">
        <v>2736</v>
      </c>
      <c r="N5"/>
      <c r="O5"/>
      <c r="Q5" s="307" t="s">
        <v>2762</v>
      </c>
      <c r="R5" s="13" t="s">
        <v>2746</v>
      </c>
      <c r="S5" s="13"/>
      <c r="T5" s="308"/>
      <c r="U5"/>
      <c r="V5" s="307" t="s">
        <v>2763</v>
      </c>
      <c r="W5" s="13" t="s">
        <v>2746</v>
      </c>
      <c r="X5" s="13"/>
      <c r="Y5" s="308"/>
      <c r="Z5"/>
      <c r="AA5" s="307" t="s">
        <v>2764</v>
      </c>
      <c r="AB5" s="13" t="s">
        <v>2746</v>
      </c>
      <c r="AC5" s="13"/>
      <c r="AD5" s="308"/>
      <c r="AE5"/>
      <c r="AF5" s="307" t="s">
        <v>2765</v>
      </c>
      <c r="AG5" s="13" t="s">
        <v>2746</v>
      </c>
      <c r="AH5" s="13"/>
      <c r="AI5" s="308"/>
      <c r="AP5" s="307" t="s">
        <v>2766</v>
      </c>
      <c r="AQ5" s="13" t="s">
        <v>750</v>
      </c>
      <c r="AR5" s="13"/>
      <c r="AS5" s="308" t="s">
        <v>2746</v>
      </c>
      <c r="AU5" s="307" t="s">
        <v>2767</v>
      </c>
      <c r="AV5" s="13" t="s">
        <v>2746</v>
      </c>
      <c r="AW5" s="13"/>
      <c r="AX5" s="308"/>
      <c r="AY5" s="41"/>
      <c r="AZ5" s="307" t="s">
        <v>2768</v>
      </c>
      <c r="BA5" s="13" t="s">
        <v>2749</v>
      </c>
      <c r="BB5" s="13"/>
      <c r="BC5" s="308" t="s">
        <v>2749</v>
      </c>
      <c r="BD5" s="41"/>
      <c r="BE5" s="307" t="s">
        <v>2769</v>
      </c>
      <c r="BF5" s="13" t="s">
        <v>2751</v>
      </c>
      <c r="BG5" s="13"/>
      <c r="BH5" s="308"/>
      <c r="BI5" s="41"/>
      <c r="BJ5" s="307" t="s">
        <v>2770</v>
      </c>
      <c r="BK5" s="13" t="s">
        <v>2743</v>
      </c>
      <c r="BL5" s="13"/>
      <c r="BM5" s="308" t="s">
        <v>2751</v>
      </c>
      <c r="BN5" s="41"/>
      <c r="BO5" s="307" t="s">
        <v>2771</v>
      </c>
      <c r="BP5" s="13" t="s">
        <v>2738</v>
      </c>
      <c r="BQ5" s="13"/>
      <c r="BR5" s="308"/>
    </row>
    <row r="6" ht="20.1" customHeight="1" spans="2:70">
      <c r="B6" s="309">
        <v>3</v>
      </c>
      <c r="C6" s="302">
        <v>4</v>
      </c>
      <c r="D6" s="301">
        <v>12</v>
      </c>
      <c r="E6" s="301">
        <v>1</v>
      </c>
      <c r="F6" s="303" t="s">
        <v>2735</v>
      </c>
      <c r="I6" s="309">
        <v>23</v>
      </c>
      <c r="J6" s="302">
        <v>24</v>
      </c>
      <c r="K6" s="301">
        <v>20</v>
      </c>
      <c r="L6" s="301">
        <v>7</v>
      </c>
      <c r="M6" s="310" t="s">
        <v>2736</v>
      </c>
      <c r="Q6" s="307" t="s">
        <v>2772</v>
      </c>
      <c r="R6" s="13" t="s">
        <v>2749</v>
      </c>
      <c r="S6" s="13"/>
      <c r="T6" s="308" t="s">
        <v>2738</v>
      </c>
      <c r="V6" s="307" t="s">
        <v>2773</v>
      </c>
      <c r="W6" s="13" t="s">
        <v>2749</v>
      </c>
      <c r="X6" s="13"/>
      <c r="Y6" s="308" t="s">
        <v>2738</v>
      </c>
      <c r="AA6" s="307" t="s">
        <v>2774</v>
      </c>
      <c r="AB6" s="13" t="s">
        <v>2749</v>
      </c>
      <c r="AC6" s="13"/>
      <c r="AD6" s="308" t="s">
        <v>2738</v>
      </c>
      <c r="AF6" s="307" t="s">
        <v>2775</v>
      </c>
      <c r="AG6" s="13" t="s">
        <v>2749</v>
      </c>
      <c r="AH6" s="13"/>
      <c r="AI6" s="308" t="s">
        <v>2738</v>
      </c>
      <c r="AP6" s="307" t="s">
        <v>2776</v>
      </c>
      <c r="AQ6" s="13" t="s">
        <v>2746</v>
      </c>
      <c r="AR6" s="13"/>
      <c r="AS6" s="308"/>
      <c r="AU6" s="307" t="s">
        <v>2777</v>
      </c>
      <c r="AV6" s="13" t="s">
        <v>2749</v>
      </c>
      <c r="AW6" s="13"/>
      <c r="AX6" s="308" t="s">
        <v>2749</v>
      </c>
      <c r="AZ6" s="307" t="s">
        <v>2778</v>
      </c>
      <c r="BA6" s="13" t="s">
        <v>2751</v>
      </c>
      <c r="BB6" s="13"/>
      <c r="BC6" s="308"/>
      <c r="BE6" s="307" t="s">
        <v>2779</v>
      </c>
      <c r="BF6" s="13" t="s">
        <v>2743</v>
      </c>
      <c r="BG6" s="13"/>
      <c r="BH6" s="308" t="s">
        <v>2751</v>
      </c>
      <c r="BJ6" s="307" t="s">
        <v>2780</v>
      </c>
      <c r="BK6" s="13" t="s">
        <v>2738</v>
      </c>
      <c r="BL6" s="13"/>
      <c r="BM6" s="308"/>
      <c r="BO6" s="307" t="s">
        <v>2781</v>
      </c>
      <c r="BP6" s="13" t="s">
        <v>750</v>
      </c>
      <c r="BQ6" s="13"/>
      <c r="BR6" s="308" t="s">
        <v>2743</v>
      </c>
    </row>
    <row r="7" ht="20.1" customHeight="1" spans="2:70">
      <c r="B7" s="301">
        <v>4</v>
      </c>
      <c r="C7" s="302">
        <v>5</v>
      </c>
      <c r="D7" s="301">
        <v>15</v>
      </c>
      <c r="E7" s="301">
        <v>1</v>
      </c>
      <c r="F7" s="303" t="s">
        <v>2735</v>
      </c>
      <c r="I7" s="304">
        <v>24</v>
      </c>
      <c r="J7" s="305">
        <v>25</v>
      </c>
      <c r="K7" s="304">
        <v>12</v>
      </c>
      <c r="L7" s="304">
        <v>8</v>
      </c>
      <c r="M7" s="310" t="s">
        <v>2736</v>
      </c>
      <c r="Q7" s="307" t="s">
        <v>2782</v>
      </c>
      <c r="R7" s="13" t="s">
        <v>2751</v>
      </c>
      <c r="S7" s="13"/>
      <c r="T7" s="308"/>
      <c r="V7" s="311" t="s">
        <v>2783</v>
      </c>
      <c r="W7" s="13" t="s">
        <v>2751</v>
      </c>
      <c r="X7" s="13"/>
      <c r="Y7" s="308"/>
      <c r="AA7" s="307" t="s">
        <v>2784</v>
      </c>
      <c r="AB7" s="13" t="s">
        <v>2751</v>
      </c>
      <c r="AC7" s="13"/>
      <c r="AD7" s="308"/>
      <c r="AF7" s="307" t="s">
        <v>2785</v>
      </c>
      <c r="AG7" s="13" t="s">
        <v>2751</v>
      </c>
      <c r="AH7" s="13"/>
      <c r="AI7" s="308"/>
      <c r="AP7" s="307" t="s">
        <v>2786</v>
      </c>
      <c r="AQ7" s="13" t="s">
        <v>2749</v>
      </c>
      <c r="AR7" s="13"/>
      <c r="AS7" s="308" t="s">
        <v>2749</v>
      </c>
      <c r="AU7" s="307" t="s">
        <v>2787</v>
      </c>
      <c r="AV7" s="13" t="s">
        <v>2751</v>
      </c>
      <c r="AW7" s="13"/>
      <c r="AX7" s="308"/>
      <c r="AZ7" s="307" t="s">
        <v>2788</v>
      </c>
      <c r="BA7" s="13" t="s">
        <v>2743</v>
      </c>
      <c r="BB7" s="13"/>
      <c r="BC7" s="308" t="s">
        <v>2751</v>
      </c>
      <c r="BE7" s="307" t="s">
        <v>2789</v>
      </c>
      <c r="BF7" s="13" t="s">
        <v>2738</v>
      </c>
      <c r="BG7" s="13"/>
      <c r="BH7" s="308"/>
      <c r="BJ7" s="307" t="s">
        <v>2790</v>
      </c>
      <c r="BK7" s="13" t="s">
        <v>750</v>
      </c>
      <c r="BL7" s="13"/>
      <c r="BM7" s="308" t="s">
        <v>2743</v>
      </c>
      <c r="BO7" s="307" t="s">
        <v>2791</v>
      </c>
      <c r="BP7" s="13" t="s">
        <v>2746</v>
      </c>
      <c r="BQ7" s="13"/>
      <c r="BR7" s="308"/>
    </row>
    <row r="8" ht="20.1" customHeight="1" spans="2:70">
      <c r="B8" s="312">
        <v>5</v>
      </c>
      <c r="C8" s="305">
        <v>6</v>
      </c>
      <c r="D8" s="304">
        <v>12</v>
      </c>
      <c r="E8" s="304">
        <v>2</v>
      </c>
      <c r="F8" s="303" t="s">
        <v>2735</v>
      </c>
      <c r="I8" s="312">
        <v>25</v>
      </c>
      <c r="J8" s="305">
        <v>26</v>
      </c>
      <c r="K8" s="304">
        <v>16</v>
      </c>
      <c r="L8" s="304">
        <v>8</v>
      </c>
      <c r="M8" s="310" t="s">
        <v>2736</v>
      </c>
      <c r="Q8" s="307" t="s">
        <v>2792</v>
      </c>
      <c r="R8" s="13" t="s">
        <v>2743</v>
      </c>
      <c r="S8" s="13"/>
      <c r="T8" s="308" t="s">
        <v>750</v>
      </c>
      <c r="V8" s="307" t="s">
        <v>2793</v>
      </c>
      <c r="W8" s="13" t="s">
        <v>2743</v>
      </c>
      <c r="X8" s="13"/>
      <c r="Y8" s="308" t="s">
        <v>750</v>
      </c>
      <c r="AA8" s="311" t="s">
        <v>2794</v>
      </c>
      <c r="AB8" s="13" t="s">
        <v>2743</v>
      </c>
      <c r="AC8" s="13"/>
      <c r="AD8" s="308" t="s">
        <v>750</v>
      </c>
      <c r="AF8" s="307" t="s">
        <v>2795</v>
      </c>
      <c r="AG8" s="13" t="s">
        <v>2743</v>
      </c>
      <c r="AH8" s="13"/>
      <c r="AI8" s="308" t="s">
        <v>750</v>
      </c>
      <c r="AP8" s="307" t="s">
        <v>2796</v>
      </c>
      <c r="AQ8" s="13" t="s">
        <v>2751</v>
      </c>
      <c r="AR8" s="13"/>
      <c r="AS8" s="308"/>
      <c r="AU8" s="307" t="s">
        <v>2797</v>
      </c>
      <c r="AV8" s="13" t="s">
        <v>2743</v>
      </c>
      <c r="AW8" s="13"/>
      <c r="AX8" s="308" t="s">
        <v>2751</v>
      </c>
      <c r="AZ8" s="307" t="s">
        <v>2798</v>
      </c>
      <c r="BA8" s="13" t="s">
        <v>2738</v>
      </c>
      <c r="BB8" s="13"/>
      <c r="BC8" s="308"/>
      <c r="BE8" s="307" t="s">
        <v>2799</v>
      </c>
      <c r="BF8" s="13" t="s">
        <v>750</v>
      </c>
      <c r="BG8" s="13"/>
      <c r="BH8" s="308" t="s">
        <v>2743</v>
      </c>
      <c r="BJ8" s="307" t="s">
        <v>2800</v>
      </c>
      <c r="BK8" s="13" t="s">
        <v>2746</v>
      </c>
      <c r="BL8" s="13"/>
      <c r="BM8" s="308"/>
      <c r="BO8" s="307" t="s">
        <v>2801</v>
      </c>
      <c r="BP8" s="13" t="s">
        <v>2749</v>
      </c>
      <c r="BQ8" s="13"/>
      <c r="BR8" s="308" t="s">
        <v>2738</v>
      </c>
    </row>
    <row r="9" ht="20.1" customHeight="1" spans="2:70">
      <c r="B9" s="304">
        <v>6</v>
      </c>
      <c r="C9" s="305">
        <v>7</v>
      </c>
      <c r="D9" s="304">
        <v>15</v>
      </c>
      <c r="E9" s="304">
        <v>2</v>
      </c>
      <c r="F9" s="303" t="s">
        <v>2735</v>
      </c>
      <c r="I9" s="304">
        <v>26</v>
      </c>
      <c r="J9" s="305">
        <v>27</v>
      </c>
      <c r="K9" s="304">
        <v>20</v>
      </c>
      <c r="L9" s="304">
        <v>8</v>
      </c>
      <c r="M9" s="310" t="s">
        <v>2736</v>
      </c>
      <c r="Q9" s="307" t="s">
        <v>2802</v>
      </c>
      <c r="R9" s="13" t="s">
        <v>2738</v>
      </c>
      <c r="S9" s="13"/>
      <c r="T9" s="308"/>
      <c r="V9" s="307" t="s">
        <v>2803</v>
      </c>
      <c r="W9" s="13" t="s">
        <v>2738</v>
      </c>
      <c r="X9" s="13"/>
      <c r="Y9" s="308"/>
      <c r="AA9" s="307" t="s">
        <v>2804</v>
      </c>
      <c r="AB9" s="13" t="s">
        <v>2738</v>
      </c>
      <c r="AC9" s="13"/>
      <c r="AD9" s="308"/>
      <c r="AF9" s="307" t="s">
        <v>2805</v>
      </c>
      <c r="AG9" s="13" t="s">
        <v>2738</v>
      </c>
      <c r="AH9" s="13"/>
      <c r="AI9" s="308"/>
      <c r="AP9" s="307" t="s">
        <v>2806</v>
      </c>
      <c r="AQ9" s="13" t="s">
        <v>2743</v>
      </c>
      <c r="AR9" s="13"/>
      <c r="AS9" s="308" t="s">
        <v>2751</v>
      </c>
      <c r="AU9" s="307" t="s">
        <v>2807</v>
      </c>
      <c r="AV9" s="13" t="s">
        <v>2738</v>
      </c>
      <c r="AW9" s="13"/>
      <c r="AX9" s="308"/>
      <c r="AZ9" s="307" t="s">
        <v>2808</v>
      </c>
      <c r="BA9" s="13" t="s">
        <v>750</v>
      </c>
      <c r="BB9" s="13"/>
      <c r="BC9" s="308" t="s">
        <v>2743</v>
      </c>
      <c r="BE9" s="307" t="s">
        <v>2809</v>
      </c>
      <c r="BF9" s="13" t="s">
        <v>2746</v>
      </c>
      <c r="BG9" s="13"/>
      <c r="BH9" s="308"/>
      <c r="BJ9" s="307" t="s">
        <v>2810</v>
      </c>
      <c r="BK9" s="13" t="s">
        <v>2749</v>
      </c>
      <c r="BL9" s="13"/>
      <c r="BM9" s="308" t="s">
        <v>2738</v>
      </c>
      <c r="BO9" s="307" t="s">
        <v>2811</v>
      </c>
      <c r="BP9" s="13" t="s">
        <v>2751</v>
      </c>
      <c r="BQ9" s="13"/>
      <c r="BR9" s="308"/>
    </row>
    <row r="10" ht="20.1" customHeight="1" spans="2:70">
      <c r="B10" s="312">
        <v>7</v>
      </c>
      <c r="C10" s="305">
        <v>8</v>
      </c>
      <c r="D10" s="304">
        <v>18</v>
      </c>
      <c r="E10" s="304">
        <v>2</v>
      </c>
      <c r="F10" s="303" t="s">
        <v>2735</v>
      </c>
      <c r="G10" s="305">
        <v>53</v>
      </c>
      <c r="I10" s="309">
        <v>27</v>
      </c>
      <c r="J10" s="302">
        <v>28</v>
      </c>
      <c r="K10" s="301">
        <v>12</v>
      </c>
      <c r="L10" s="301">
        <v>9</v>
      </c>
      <c r="M10" s="310" t="s">
        <v>2736</v>
      </c>
      <c r="Q10" s="307" t="s">
        <v>2812</v>
      </c>
      <c r="R10" s="13" t="s">
        <v>750</v>
      </c>
      <c r="S10" s="13"/>
      <c r="T10" s="308" t="s">
        <v>2746</v>
      </c>
      <c r="V10" s="307" t="s">
        <v>2813</v>
      </c>
      <c r="W10" s="13" t="s">
        <v>750</v>
      </c>
      <c r="X10" s="13"/>
      <c r="Y10" s="308" t="s">
        <v>2746</v>
      </c>
      <c r="AA10" s="307" t="s">
        <v>2814</v>
      </c>
      <c r="AB10" s="13" t="s">
        <v>750</v>
      </c>
      <c r="AC10" s="13"/>
      <c r="AD10" s="308" t="s">
        <v>2746</v>
      </c>
      <c r="AF10" s="307" t="s">
        <v>2815</v>
      </c>
      <c r="AG10" s="13" t="s">
        <v>750</v>
      </c>
      <c r="AH10" s="13"/>
      <c r="AI10" s="308" t="s">
        <v>2746</v>
      </c>
      <c r="AP10" s="307" t="s">
        <v>2816</v>
      </c>
      <c r="AQ10" s="13" t="s">
        <v>2738</v>
      </c>
      <c r="AR10" s="13"/>
      <c r="AS10" s="308"/>
      <c r="AU10" s="307" t="s">
        <v>2817</v>
      </c>
      <c r="AV10" s="13" t="s">
        <v>750</v>
      </c>
      <c r="AW10" s="13"/>
      <c r="AX10" s="308" t="s">
        <v>2743</v>
      </c>
      <c r="AZ10" s="307" t="s">
        <v>2818</v>
      </c>
      <c r="BA10" s="13" t="s">
        <v>2746</v>
      </c>
      <c r="BB10" s="13"/>
      <c r="BC10" s="308"/>
      <c r="BE10" s="307" t="s">
        <v>2819</v>
      </c>
      <c r="BF10" s="13" t="s">
        <v>2749</v>
      </c>
      <c r="BG10" s="13"/>
      <c r="BH10" s="308" t="s">
        <v>2738</v>
      </c>
      <c r="BJ10" s="307" t="s">
        <v>2820</v>
      </c>
      <c r="BK10" s="13" t="s">
        <v>2751</v>
      </c>
      <c r="BL10" s="13"/>
      <c r="BM10" s="308"/>
      <c r="BO10" s="307" t="s">
        <v>2821</v>
      </c>
      <c r="BP10" s="13" t="s">
        <v>2743</v>
      </c>
      <c r="BQ10" s="13"/>
      <c r="BR10" s="308" t="s">
        <v>750</v>
      </c>
    </row>
    <row r="11" ht="20.1" customHeight="1" spans="2:70">
      <c r="B11" s="304">
        <v>8</v>
      </c>
      <c r="C11" s="305">
        <v>9</v>
      </c>
      <c r="D11" s="304">
        <v>21</v>
      </c>
      <c r="E11" s="304">
        <v>2</v>
      </c>
      <c r="F11" s="303" t="s">
        <v>2735</v>
      </c>
      <c r="I11" s="301">
        <v>28</v>
      </c>
      <c r="J11" s="302">
        <v>29</v>
      </c>
      <c r="K11" s="301">
        <v>16</v>
      </c>
      <c r="L11" s="301">
        <v>9</v>
      </c>
      <c r="M11" s="310" t="s">
        <v>2736</v>
      </c>
      <c r="Q11" s="307" t="s">
        <v>2822</v>
      </c>
      <c r="R11" s="13" t="s">
        <v>2746</v>
      </c>
      <c r="S11" s="13"/>
      <c r="T11" s="308"/>
      <c r="V11" s="307" t="s">
        <v>2823</v>
      </c>
      <c r="W11" s="13" t="s">
        <v>2746</v>
      </c>
      <c r="X11" s="13"/>
      <c r="Y11" s="308"/>
      <c r="AA11" s="307" t="s">
        <v>2824</v>
      </c>
      <c r="AB11" s="13" t="s">
        <v>2746</v>
      </c>
      <c r="AC11" s="13"/>
      <c r="AD11" s="308"/>
      <c r="AF11" s="307" t="s">
        <v>2825</v>
      </c>
      <c r="AG11" s="13" t="s">
        <v>2746</v>
      </c>
      <c r="AH11" s="13"/>
      <c r="AI11" s="308"/>
      <c r="AP11" s="307" t="s">
        <v>2826</v>
      </c>
      <c r="AQ11" s="13" t="s">
        <v>750</v>
      </c>
      <c r="AR11" s="13"/>
      <c r="AS11" s="308" t="s">
        <v>2743</v>
      </c>
      <c r="AU11" s="307" t="s">
        <v>2827</v>
      </c>
      <c r="AV11" s="13" t="s">
        <v>2746</v>
      </c>
      <c r="AW11" s="13"/>
      <c r="AX11" s="308"/>
      <c r="AZ11" s="307" t="s">
        <v>2828</v>
      </c>
      <c r="BA11" s="13" t="s">
        <v>2749</v>
      </c>
      <c r="BB11" s="13"/>
      <c r="BC11" s="308" t="s">
        <v>2738</v>
      </c>
      <c r="BE11" s="307" t="s">
        <v>2829</v>
      </c>
      <c r="BF11" s="13" t="s">
        <v>2751</v>
      </c>
      <c r="BG11" s="13"/>
      <c r="BH11" s="308"/>
      <c r="BJ11" s="307" t="s">
        <v>2830</v>
      </c>
      <c r="BK11" s="13" t="s">
        <v>2743</v>
      </c>
      <c r="BL11" s="13"/>
      <c r="BM11" s="308" t="s">
        <v>750</v>
      </c>
      <c r="BO11" s="307" t="s">
        <v>2831</v>
      </c>
      <c r="BP11" s="13" t="s">
        <v>2738</v>
      </c>
      <c r="BQ11" s="13"/>
      <c r="BR11" s="308"/>
    </row>
    <row r="12" ht="20.1" customHeight="1" spans="2:70">
      <c r="B12" s="309">
        <v>9</v>
      </c>
      <c r="C12" s="302">
        <v>10</v>
      </c>
      <c r="D12" s="301">
        <v>10</v>
      </c>
      <c r="E12" s="301">
        <v>6</v>
      </c>
      <c r="F12" s="306" t="s">
        <v>2736</v>
      </c>
      <c r="G12" s="302">
        <v>55</v>
      </c>
      <c r="I12" s="312">
        <v>29</v>
      </c>
      <c r="J12" s="305">
        <v>30</v>
      </c>
      <c r="K12" s="313">
        <v>12</v>
      </c>
      <c r="L12" s="313">
        <v>15</v>
      </c>
      <c r="M12" s="314" t="s">
        <v>2832</v>
      </c>
      <c r="N12" s="305">
        <v>75</v>
      </c>
      <c r="Q12" s="307" t="s">
        <v>2833</v>
      </c>
      <c r="R12" s="13" t="s">
        <v>2749</v>
      </c>
      <c r="S12" s="13"/>
      <c r="T12" s="308" t="s">
        <v>2749</v>
      </c>
      <c r="V12" s="307" t="s">
        <v>2834</v>
      </c>
      <c r="W12" s="13" t="s">
        <v>2749</v>
      </c>
      <c r="X12" s="13"/>
      <c r="Y12" s="308" t="s">
        <v>2749</v>
      </c>
      <c r="AA12" s="307" t="s">
        <v>2835</v>
      </c>
      <c r="AB12" s="13" t="s">
        <v>2749</v>
      </c>
      <c r="AC12" s="13"/>
      <c r="AD12" s="308" t="s">
        <v>2749</v>
      </c>
      <c r="AF12" s="307" t="s">
        <v>2836</v>
      </c>
      <c r="AG12" s="13" t="s">
        <v>2749</v>
      </c>
      <c r="AH12" s="13"/>
      <c r="AI12" s="308" t="s">
        <v>2749</v>
      </c>
      <c r="AP12" s="307" t="s">
        <v>2837</v>
      </c>
      <c r="AQ12" s="13" t="s">
        <v>2746</v>
      </c>
      <c r="AR12" s="13"/>
      <c r="AS12" s="308"/>
      <c r="AU12" s="307" t="s">
        <v>2838</v>
      </c>
      <c r="AV12" s="13" t="s">
        <v>2749</v>
      </c>
      <c r="AW12" s="13"/>
      <c r="AX12" s="308" t="s">
        <v>2738</v>
      </c>
      <c r="AZ12" s="307" t="s">
        <v>2839</v>
      </c>
      <c r="BA12" s="13" t="s">
        <v>2751</v>
      </c>
      <c r="BB12" s="13"/>
      <c r="BC12" s="308"/>
      <c r="BE12" s="307" t="s">
        <v>2840</v>
      </c>
      <c r="BF12" s="13" t="s">
        <v>2743</v>
      </c>
      <c r="BG12" s="13"/>
      <c r="BH12" s="308" t="s">
        <v>750</v>
      </c>
      <c r="BJ12" s="307" t="s">
        <v>2841</v>
      </c>
      <c r="BK12" s="13" t="s">
        <v>2738</v>
      </c>
      <c r="BL12" s="13"/>
      <c r="BM12" s="308"/>
      <c r="BO12" s="307" t="s">
        <v>2842</v>
      </c>
      <c r="BP12" s="13" t="s">
        <v>750</v>
      </c>
      <c r="BQ12" s="13"/>
      <c r="BR12" s="308" t="s">
        <v>2746</v>
      </c>
    </row>
    <row r="13" ht="20.1" customHeight="1" spans="2:70">
      <c r="B13" s="304">
        <v>10</v>
      </c>
      <c r="C13" s="305">
        <v>11</v>
      </c>
      <c r="D13" s="304">
        <v>6</v>
      </c>
      <c r="E13" s="304">
        <v>4</v>
      </c>
      <c r="F13" s="306" t="s">
        <v>2736</v>
      </c>
      <c r="G13" s="305">
        <v>56</v>
      </c>
      <c r="I13" s="301">
        <v>30</v>
      </c>
      <c r="J13" s="302">
        <v>31</v>
      </c>
      <c r="K13" s="301">
        <v>18</v>
      </c>
      <c r="L13" s="301">
        <v>10</v>
      </c>
      <c r="M13" s="310" t="s">
        <v>2736</v>
      </c>
      <c r="Q13" s="307" t="s">
        <v>2843</v>
      </c>
      <c r="R13" s="13" t="s">
        <v>2751</v>
      </c>
      <c r="S13" s="13"/>
      <c r="T13" s="308"/>
      <c r="V13" s="307" t="s">
        <v>2844</v>
      </c>
      <c r="W13" s="13" t="s">
        <v>2751</v>
      </c>
      <c r="X13" s="13"/>
      <c r="Y13" s="308"/>
      <c r="AA13" s="307" t="s">
        <v>2845</v>
      </c>
      <c r="AB13" s="13" t="s">
        <v>2751</v>
      </c>
      <c r="AC13" s="13"/>
      <c r="AD13" s="308"/>
      <c r="AF13" s="307" t="s">
        <v>2846</v>
      </c>
      <c r="AG13" s="13" t="s">
        <v>2751</v>
      </c>
      <c r="AH13" s="13"/>
      <c r="AI13" s="308"/>
      <c r="AP13" s="307" t="s">
        <v>2847</v>
      </c>
      <c r="AQ13" s="13" t="s">
        <v>2749</v>
      </c>
      <c r="AR13" s="13"/>
      <c r="AS13" s="308" t="s">
        <v>2738</v>
      </c>
      <c r="AU13" s="307" t="s">
        <v>2848</v>
      </c>
      <c r="AV13" s="13" t="s">
        <v>2751</v>
      </c>
      <c r="AW13" s="13"/>
      <c r="AX13" s="308"/>
      <c r="AZ13" s="307" t="s">
        <v>2849</v>
      </c>
      <c r="BA13" s="301" t="s">
        <v>2746</v>
      </c>
      <c r="BB13" s="13"/>
      <c r="BC13" s="308" t="s">
        <v>750</v>
      </c>
      <c r="BE13" s="307" t="s">
        <v>2850</v>
      </c>
      <c r="BF13" s="13" t="s">
        <v>2738</v>
      </c>
      <c r="BG13" s="13"/>
      <c r="BH13" s="308"/>
      <c r="BJ13" s="307" t="s">
        <v>2851</v>
      </c>
      <c r="BK13" s="13" t="s">
        <v>750</v>
      </c>
      <c r="BL13" s="13"/>
      <c r="BM13" s="308" t="s">
        <v>2746</v>
      </c>
      <c r="BO13" s="307" t="s">
        <v>2852</v>
      </c>
      <c r="BP13" s="13" t="s">
        <v>2746</v>
      </c>
      <c r="BQ13" s="13"/>
      <c r="BR13" s="308"/>
    </row>
    <row r="14" ht="20.1" customHeight="1" spans="2:70">
      <c r="B14" s="312">
        <v>11</v>
      </c>
      <c r="C14" s="305">
        <v>12</v>
      </c>
      <c r="D14" s="304">
        <v>10</v>
      </c>
      <c r="E14" s="304">
        <v>4</v>
      </c>
      <c r="F14" s="306" t="s">
        <v>2736</v>
      </c>
      <c r="I14" s="309">
        <v>31</v>
      </c>
      <c r="J14" s="302">
        <v>32</v>
      </c>
      <c r="K14" s="301">
        <v>22</v>
      </c>
      <c r="L14" s="301">
        <v>10</v>
      </c>
      <c r="M14" s="310" t="s">
        <v>2736</v>
      </c>
      <c r="Q14" s="315" t="s">
        <v>2853</v>
      </c>
      <c r="R14" s="316" t="s">
        <v>2743</v>
      </c>
      <c r="S14" s="316"/>
      <c r="T14" s="317" t="s">
        <v>2751</v>
      </c>
      <c r="V14" s="315" t="s">
        <v>2854</v>
      </c>
      <c r="W14" s="316" t="s">
        <v>2743</v>
      </c>
      <c r="X14" s="316"/>
      <c r="Y14" s="317" t="s">
        <v>2751</v>
      </c>
      <c r="AA14" s="315" t="s">
        <v>2855</v>
      </c>
      <c r="AB14" s="316" t="s">
        <v>2743</v>
      </c>
      <c r="AC14" s="316"/>
      <c r="AD14" s="317" t="s">
        <v>2751</v>
      </c>
      <c r="AF14" s="315" t="s">
        <v>2856</v>
      </c>
      <c r="AG14" s="316" t="s">
        <v>2743</v>
      </c>
      <c r="AH14" s="316"/>
      <c r="AI14" s="317" t="s">
        <v>2751</v>
      </c>
      <c r="AP14" s="307" t="s">
        <v>2857</v>
      </c>
      <c r="AQ14" s="13" t="s">
        <v>2751</v>
      </c>
      <c r="AR14" s="13"/>
      <c r="AS14" s="308"/>
      <c r="AU14" s="307" t="s">
        <v>2755</v>
      </c>
      <c r="AV14" s="13" t="s">
        <v>2743</v>
      </c>
      <c r="AW14" s="13"/>
      <c r="AX14" s="308" t="s">
        <v>750</v>
      </c>
      <c r="AZ14" s="307" t="s">
        <v>2858</v>
      </c>
      <c r="BA14" s="13" t="s">
        <v>2738</v>
      </c>
      <c r="BB14" s="13"/>
      <c r="BC14" s="308"/>
      <c r="BE14" s="307" t="s">
        <v>2859</v>
      </c>
      <c r="BF14" s="13" t="s">
        <v>750</v>
      </c>
      <c r="BG14" s="13"/>
      <c r="BH14" s="308" t="s">
        <v>2746</v>
      </c>
      <c r="BJ14" s="307" t="s">
        <v>2860</v>
      </c>
      <c r="BK14" s="13" t="s">
        <v>2746</v>
      </c>
      <c r="BL14" s="13"/>
      <c r="BM14" s="308"/>
      <c r="BO14" s="307" t="s">
        <v>2861</v>
      </c>
      <c r="BP14" s="13" t="s">
        <v>2749</v>
      </c>
      <c r="BQ14" s="13"/>
      <c r="BR14" s="308" t="s">
        <v>2749</v>
      </c>
    </row>
    <row r="15" ht="20.1" customHeight="1" spans="2:70">
      <c r="B15" s="304">
        <v>12</v>
      </c>
      <c r="C15" s="305">
        <v>13</v>
      </c>
      <c r="D15" s="304">
        <v>14</v>
      </c>
      <c r="E15" s="304">
        <v>4</v>
      </c>
      <c r="F15" s="306" t="s">
        <v>2736</v>
      </c>
      <c r="I15" s="301">
        <v>32</v>
      </c>
      <c r="J15" s="302">
        <v>33</v>
      </c>
      <c r="K15" s="301">
        <v>26</v>
      </c>
      <c r="L15" s="301">
        <v>10</v>
      </c>
      <c r="M15" s="310" t="s">
        <v>2736</v>
      </c>
      <c r="AP15" s="315" t="s">
        <v>2862</v>
      </c>
      <c r="AQ15" s="316" t="s">
        <v>2743</v>
      </c>
      <c r="AR15" s="316"/>
      <c r="AS15" s="317" t="s">
        <v>750</v>
      </c>
      <c r="AU15" s="315" t="s">
        <v>2863</v>
      </c>
      <c r="AV15" s="316" t="s">
        <v>2738</v>
      </c>
      <c r="AW15" s="316"/>
      <c r="AX15" s="317"/>
      <c r="AZ15" s="315" t="s">
        <v>2864</v>
      </c>
      <c r="BA15" s="316" t="s">
        <v>750</v>
      </c>
      <c r="BB15" s="316"/>
      <c r="BC15" s="317" t="s">
        <v>2746</v>
      </c>
      <c r="BE15" s="315" t="s">
        <v>2865</v>
      </c>
      <c r="BF15" s="316" t="s">
        <v>2746</v>
      </c>
      <c r="BG15" s="316"/>
      <c r="BH15" s="317"/>
      <c r="BJ15" s="315" t="s">
        <v>2866</v>
      </c>
      <c r="BK15" s="316" t="s">
        <v>2749</v>
      </c>
      <c r="BL15" s="316"/>
      <c r="BM15" s="317" t="s">
        <v>2749</v>
      </c>
      <c r="BO15" s="315" t="s">
        <v>2867</v>
      </c>
      <c r="BP15" s="316" t="s">
        <v>2751</v>
      </c>
      <c r="BQ15" s="316"/>
      <c r="BR15" s="317"/>
    </row>
    <row r="16" ht="20.1" customHeight="1" spans="2:70">
      <c r="B16" s="312">
        <v>13</v>
      </c>
      <c r="C16" s="305">
        <v>14</v>
      </c>
      <c r="D16" s="304">
        <v>18</v>
      </c>
      <c r="E16" s="304">
        <v>4</v>
      </c>
      <c r="F16" s="306" t="s">
        <v>2736</v>
      </c>
      <c r="I16" s="312">
        <v>33</v>
      </c>
      <c r="J16" s="305">
        <v>34</v>
      </c>
      <c r="K16" s="304">
        <v>18</v>
      </c>
      <c r="L16" s="304">
        <v>11</v>
      </c>
      <c r="M16" s="310" t="s">
        <v>2736</v>
      </c>
      <c r="Q16" s="298" t="s">
        <v>2731</v>
      </c>
      <c r="R16" s="299" t="s">
        <v>2732</v>
      </c>
      <c r="S16" s="299"/>
      <c r="T16" s="300" t="s">
        <v>2733</v>
      </c>
      <c r="V16" s="298" t="s">
        <v>2731</v>
      </c>
      <c r="W16" s="299" t="s">
        <v>2732</v>
      </c>
      <c r="X16" s="299"/>
      <c r="Y16" s="300" t="s">
        <v>2733</v>
      </c>
      <c r="AA16" s="298" t="s">
        <v>2731</v>
      </c>
      <c r="AB16" s="299" t="s">
        <v>2732</v>
      </c>
      <c r="AC16" s="299"/>
      <c r="AD16" s="300" t="s">
        <v>2733</v>
      </c>
      <c r="AF16" s="298" t="s">
        <v>2731</v>
      </c>
      <c r="AG16" s="299" t="s">
        <v>2732</v>
      </c>
      <c r="AH16" s="299"/>
      <c r="AI16" s="300" t="s">
        <v>2733</v>
      </c>
      <c r="AP16" s="143"/>
      <c r="AQ16" s="41"/>
      <c r="AR16" s="41"/>
      <c r="AS16" s="41"/>
      <c r="BC16" s="41"/>
    </row>
    <row r="17" ht="20.1" customHeight="1" spans="2:70">
      <c r="B17" s="304">
        <v>14</v>
      </c>
      <c r="C17" s="305">
        <v>15</v>
      </c>
      <c r="D17" s="304">
        <v>22</v>
      </c>
      <c r="E17" s="304">
        <v>4</v>
      </c>
      <c r="F17" s="306" t="s">
        <v>2736</v>
      </c>
      <c r="G17" s="305">
        <v>59</v>
      </c>
      <c r="I17" s="304">
        <v>34</v>
      </c>
      <c r="J17" s="305">
        <v>35</v>
      </c>
      <c r="K17" s="304">
        <v>22</v>
      </c>
      <c r="L17" s="304">
        <v>11</v>
      </c>
      <c r="M17" s="310" t="s">
        <v>2736</v>
      </c>
      <c r="Q17" s="307" t="s">
        <v>2868</v>
      </c>
      <c r="R17" s="13" t="s">
        <v>2738</v>
      </c>
      <c r="S17" s="13"/>
      <c r="T17" s="308"/>
      <c r="V17" s="307"/>
      <c r="W17" s="13" t="s">
        <v>2738</v>
      </c>
      <c r="X17" s="13"/>
      <c r="Y17" s="308"/>
      <c r="AA17" s="307"/>
      <c r="AB17" s="13" t="s">
        <v>2738</v>
      </c>
      <c r="AC17" s="13"/>
      <c r="AD17" s="308"/>
      <c r="AF17" s="307"/>
      <c r="AG17" s="13" t="s">
        <v>2738</v>
      </c>
      <c r="AH17" s="13"/>
      <c r="AI17" s="308"/>
      <c r="AP17" s="298" t="s">
        <v>2731</v>
      </c>
      <c r="AQ17" s="299" t="s">
        <v>2732</v>
      </c>
      <c r="AR17" s="299"/>
      <c r="AS17" s="300" t="s">
        <v>2733</v>
      </c>
      <c r="AU17" s="298" t="s">
        <v>2731</v>
      </c>
      <c r="AV17" s="299" t="s">
        <v>2732</v>
      </c>
      <c r="AW17" s="299"/>
      <c r="AX17" s="300" t="s">
        <v>2733</v>
      </c>
      <c r="AZ17" s="298" t="s">
        <v>2731</v>
      </c>
      <c r="BA17" s="299" t="s">
        <v>2732</v>
      </c>
      <c r="BB17" s="299"/>
      <c r="BC17" s="300" t="s">
        <v>2733</v>
      </c>
      <c r="BE17" s="298" t="s">
        <v>2731</v>
      </c>
      <c r="BF17" s="299" t="s">
        <v>2732</v>
      </c>
      <c r="BG17" s="299"/>
      <c r="BH17" s="300" t="s">
        <v>2733</v>
      </c>
      <c r="BJ17" s="298" t="s">
        <v>2731</v>
      </c>
      <c r="BK17" s="299" t="s">
        <v>2732</v>
      </c>
      <c r="BL17" s="299"/>
      <c r="BM17" s="300" t="s">
        <v>2733</v>
      </c>
      <c r="BO17" s="298" t="s">
        <v>2731</v>
      </c>
      <c r="BP17" s="299" t="s">
        <v>2732</v>
      </c>
      <c r="BQ17" s="299"/>
      <c r="BR17" s="300" t="s">
        <v>2733</v>
      </c>
    </row>
    <row r="18" ht="20.1" customHeight="1" spans="2:70">
      <c r="B18" s="309">
        <v>15</v>
      </c>
      <c r="C18" s="302">
        <v>16</v>
      </c>
      <c r="D18" s="301">
        <v>12</v>
      </c>
      <c r="E18" s="301">
        <v>5</v>
      </c>
      <c r="F18" s="306" t="s">
        <v>2736</v>
      </c>
      <c r="I18" s="312">
        <v>35</v>
      </c>
      <c r="J18" s="305">
        <v>36</v>
      </c>
      <c r="K18" s="304">
        <v>26</v>
      </c>
      <c r="L18" s="304">
        <v>11</v>
      </c>
      <c r="M18" s="310" t="s">
        <v>2736</v>
      </c>
      <c r="Q18" s="307" t="s">
        <v>2869</v>
      </c>
      <c r="R18" s="13" t="s">
        <v>750</v>
      </c>
      <c r="S18" s="13"/>
      <c r="T18" s="308" t="s">
        <v>2743</v>
      </c>
      <c r="V18" s="307"/>
      <c r="W18" s="13" t="s">
        <v>750</v>
      </c>
      <c r="X18" s="13"/>
      <c r="Y18" s="308" t="s">
        <v>2743</v>
      </c>
      <c r="AA18" s="307"/>
      <c r="AB18" s="13" t="s">
        <v>750</v>
      </c>
      <c r="AC18" s="13"/>
      <c r="AD18" s="308" t="s">
        <v>2743</v>
      </c>
      <c r="AF18" s="307"/>
      <c r="AG18" s="13" t="s">
        <v>750</v>
      </c>
      <c r="AH18" s="13"/>
      <c r="AI18" s="308" t="s">
        <v>2743</v>
      </c>
      <c r="AP18" s="307" t="s">
        <v>2870</v>
      </c>
      <c r="AQ18" s="13" t="s">
        <v>2743</v>
      </c>
      <c r="AR18" s="13"/>
      <c r="AS18" s="308" t="s">
        <v>2751</v>
      </c>
      <c r="AU18" s="307" t="s">
        <v>2737</v>
      </c>
      <c r="AV18" s="13" t="s">
        <v>2738</v>
      </c>
      <c r="AW18" s="13"/>
      <c r="AX18" s="308"/>
      <c r="AZ18" s="307" t="s">
        <v>2753</v>
      </c>
      <c r="BA18" s="13" t="s">
        <v>750</v>
      </c>
      <c r="BB18" s="13"/>
      <c r="BC18" s="308" t="s">
        <v>2743</v>
      </c>
      <c r="BE18" s="307" t="s">
        <v>2764</v>
      </c>
      <c r="BF18" s="13" t="s">
        <v>2746</v>
      </c>
      <c r="BG18" s="13"/>
      <c r="BH18" s="308"/>
      <c r="BJ18" s="307"/>
      <c r="BK18" s="13"/>
      <c r="BL18" s="13"/>
      <c r="BM18" s="308"/>
      <c r="BO18" s="307"/>
      <c r="BP18" s="13"/>
      <c r="BQ18" s="13"/>
      <c r="BR18" s="308"/>
    </row>
    <row r="19" ht="20.1" customHeight="1" spans="2:70">
      <c r="B19" s="301">
        <v>16</v>
      </c>
      <c r="C19" s="302">
        <v>17</v>
      </c>
      <c r="D19" s="301">
        <v>16</v>
      </c>
      <c r="E19" s="301">
        <v>5</v>
      </c>
      <c r="F19" s="306" t="s">
        <v>2736</v>
      </c>
      <c r="I19" s="301">
        <v>36</v>
      </c>
      <c r="J19" s="302">
        <v>37</v>
      </c>
      <c r="K19" s="301">
        <v>18</v>
      </c>
      <c r="L19" s="301">
        <v>12</v>
      </c>
      <c r="M19" s="310" t="s">
        <v>2736</v>
      </c>
      <c r="P19" s="41">
        <v>2027</v>
      </c>
      <c r="Q19" s="307" t="s">
        <v>2871</v>
      </c>
      <c r="R19" s="13" t="s">
        <v>2746</v>
      </c>
      <c r="S19" s="13"/>
      <c r="T19" s="308"/>
      <c r="V19" s="307"/>
      <c r="W19" s="13" t="s">
        <v>2746</v>
      </c>
      <c r="X19" s="13"/>
      <c r="Y19" s="308"/>
      <c r="AA19" s="307"/>
      <c r="AB19" s="13" t="s">
        <v>2746</v>
      </c>
      <c r="AC19" s="13"/>
      <c r="AD19" s="308"/>
      <c r="AF19" s="307"/>
      <c r="AG19" s="13" t="s">
        <v>2746</v>
      </c>
      <c r="AH19" s="13"/>
      <c r="AI19" s="308"/>
      <c r="AP19" s="307" t="s">
        <v>2872</v>
      </c>
      <c r="AQ19" s="13" t="s">
        <v>2738</v>
      </c>
      <c r="AR19" s="13"/>
      <c r="AS19" s="308"/>
      <c r="AU19" s="307" t="s">
        <v>2752</v>
      </c>
      <c r="AV19" s="13" t="s">
        <v>750</v>
      </c>
      <c r="AW19" s="13"/>
      <c r="AX19" s="308" t="s">
        <v>2743</v>
      </c>
      <c r="AZ19" s="307" t="s">
        <v>2763</v>
      </c>
      <c r="BA19" s="13" t="s">
        <v>2746</v>
      </c>
      <c r="BB19" s="13"/>
      <c r="BC19" s="308"/>
      <c r="BE19" s="307" t="s">
        <v>2774</v>
      </c>
      <c r="BF19" s="13" t="s">
        <v>2749</v>
      </c>
      <c r="BG19" s="13"/>
      <c r="BH19" s="308"/>
      <c r="BJ19" s="307"/>
      <c r="BK19" s="13"/>
      <c r="BL19" s="13"/>
      <c r="BM19" s="308"/>
      <c r="BO19" s="307"/>
      <c r="BP19" s="13"/>
      <c r="BQ19" s="13"/>
      <c r="BR19" s="308"/>
    </row>
    <row r="20" ht="20.1" customHeight="1" spans="2:70">
      <c r="B20" s="309">
        <v>17</v>
      </c>
      <c r="C20" s="302">
        <v>18</v>
      </c>
      <c r="D20" s="301">
        <v>20</v>
      </c>
      <c r="E20" s="301">
        <v>5</v>
      </c>
      <c r="F20" s="306" t="s">
        <v>2736</v>
      </c>
      <c r="I20" s="309">
        <v>37</v>
      </c>
      <c r="J20" s="302">
        <v>38</v>
      </c>
      <c r="K20" s="301">
        <v>22</v>
      </c>
      <c r="L20" s="301">
        <v>12</v>
      </c>
      <c r="M20" s="310" t="s">
        <v>2736</v>
      </c>
      <c r="Q20" s="307"/>
      <c r="R20" s="13" t="s">
        <v>2749</v>
      </c>
      <c r="S20" s="13"/>
      <c r="T20" s="308" t="s">
        <v>2738</v>
      </c>
      <c r="V20" s="307"/>
      <c r="W20" s="13" t="s">
        <v>2749</v>
      </c>
      <c r="X20" s="13"/>
      <c r="Y20" s="308" t="s">
        <v>2738</v>
      </c>
      <c r="AA20" s="307"/>
      <c r="AB20" s="13" t="s">
        <v>2749</v>
      </c>
      <c r="AC20" s="13"/>
      <c r="AD20" s="308" t="s">
        <v>2738</v>
      </c>
      <c r="AF20" s="307"/>
      <c r="AG20" s="13" t="s">
        <v>2749</v>
      </c>
      <c r="AH20" s="13"/>
      <c r="AI20" s="308" t="s">
        <v>2738</v>
      </c>
      <c r="AP20" s="307" t="s">
        <v>2873</v>
      </c>
      <c r="AQ20" s="13" t="s">
        <v>750</v>
      </c>
      <c r="AR20" s="13"/>
      <c r="AS20" s="308" t="s">
        <v>2743</v>
      </c>
      <c r="AU20" s="307" t="s">
        <v>2762</v>
      </c>
      <c r="AV20" s="13" t="s">
        <v>2746</v>
      </c>
      <c r="AW20" s="13"/>
      <c r="AX20" s="308"/>
      <c r="AZ20" s="307" t="s">
        <v>2773</v>
      </c>
      <c r="BA20" s="13" t="s">
        <v>2749</v>
      </c>
      <c r="BB20" s="13"/>
      <c r="BC20" s="308" t="s">
        <v>2738</v>
      </c>
      <c r="BE20" s="307"/>
      <c r="BF20" s="13" t="s">
        <v>2751</v>
      </c>
      <c r="BG20" s="13"/>
      <c r="BH20" s="308"/>
      <c r="BJ20" s="307"/>
      <c r="BK20" s="13"/>
      <c r="BL20" s="13"/>
      <c r="BM20" s="308"/>
      <c r="BO20" s="307"/>
      <c r="BP20" s="13"/>
      <c r="BQ20" s="13"/>
      <c r="BR20" s="308"/>
    </row>
    <row r="21" ht="20.1" customHeight="1" spans="2:70">
      <c r="B21" s="304">
        <v>18</v>
      </c>
      <c r="C21" s="305">
        <v>19</v>
      </c>
      <c r="D21" s="304">
        <v>16</v>
      </c>
      <c r="E21" s="304">
        <v>6</v>
      </c>
      <c r="F21" s="306" t="s">
        <v>2736</v>
      </c>
      <c r="I21" s="301">
        <v>38</v>
      </c>
      <c r="J21" s="302">
        <v>39</v>
      </c>
      <c r="K21" s="301">
        <v>26</v>
      </c>
      <c r="L21" s="301">
        <v>12</v>
      </c>
      <c r="M21" s="310" t="s">
        <v>2736</v>
      </c>
      <c r="Q21" s="307"/>
      <c r="R21" s="13" t="s">
        <v>2751</v>
      </c>
      <c r="S21" s="13"/>
      <c r="T21" s="308"/>
      <c r="V21" s="307"/>
      <c r="W21" s="13" t="s">
        <v>2751</v>
      </c>
      <c r="X21" s="13"/>
      <c r="Y21" s="308"/>
      <c r="AA21" s="307"/>
      <c r="AB21" s="13" t="s">
        <v>2751</v>
      </c>
      <c r="AC21" s="13"/>
      <c r="AD21" s="308"/>
      <c r="AF21" s="307"/>
      <c r="AG21" s="13" t="s">
        <v>2751</v>
      </c>
      <c r="AH21" s="13"/>
      <c r="AI21" s="308"/>
      <c r="AP21" s="307" t="s">
        <v>2874</v>
      </c>
      <c r="AQ21" s="13" t="s">
        <v>2746</v>
      </c>
      <c r="AR21" s="13"/>
      <c r="AS21" s="308"/>
      <c r="AU21" s="307" t="s">
        <v>2772</v>
      </c>
      <c r="AV21" s="13" t="s">
        <v>2749</v>
      </c>
      <c r="AW21" s="13"/>
      <c r="AX21" s="308" t="s">
        <v>2738</v>
      </c>
      <c r="AZ21" s="311" t="s">
        <v>2783</v>
      </c>
      <c r="BA21" s="13" t="s">
        <v>2751</v>
      </c>
      <c r="BB21" s="13"/>
      <c r="BC21" s="308"/>
      <c r="BE21" s="307"/>
      <c r="BF21" s="13" t="s">
        <v>2743</v>
      </c>
      <c r="BG21" s="13"/>
      <c r="BH21" s="308"/>
      <c r="BJ21" s="307"/>
      <c r="BK21" s="13"/>
      <c r="BL21" s="13"/>
      <c r="BM21" s="308"/>
      <c r="BO21" s="307"/>
      <c r="BP21" s="13"/>
      <c r="BQ21" s="13"/>
      <c r="BR21" s="308"/>
    </row>
    <row r="22" ht="20.1" customHeight="1" spans="2:70">
      <c r="B22" s="309">
        <v>19</v>
      </c>
      <c r="C22" s="302">
        <v>20</v>
      </c>
      <c r="D22" s="301">
        <v>10</v>
      </c>
      <c r="E22" s="301">
        <v>11</v>
      </c>
      <c r="F22" s="306" t="s">
        <v>2832</v>
      </c>
      <c r="G22" s="302">
        <v>65</v>
      </c>
      <c r="I22" s="312">
        <v>39</v>
      </c>
      <c r="J22" s="305">
        <v>40</v>
      </c>
      <c r="K22" s="304">
        <v>15</v>
      </c>
      <c r="L22" s="304">
        <v>20</v>
      </c>
      <c r="M22" s="310" t="s">
        <v>2832</v>
      </c>
      <c r="N22" s="305">
        <v>85</v>
      </c>
      <c r="Q22" s="307"/>
      <c r="R22" s="13" t="s">
        <v>2743</v>
      </c>
      <c r="S22" s="13"/>
      <c r="T22" s="308" t="s">
        <v>750</v>
      </c>
      <c r="V22" s="307"/>
      <c r="W22" s="13" t="s">
        <v>2743</v>
      </c>
      <c r="X22" s="13"/>
      <c r="Y22" s="308" t="s">
        <v>750</v>
      </c>
      <c r="AA22" s="307"/>
      <c r="AB22" s="13" t="s">
        <v>2743</v>
      </c>
      <c r="AC22" s="13"/>
      <c r="AD22" s="308" t="s">
        <v>750</v>
      </c>
      <c r="AF22" s="307"/>
      <c r="AG22" s="13" t="s">
        <v>2743</v>
      </c>
      <c r="AH22" s="13"/>
      <c r="AI22" s="308" t="s">
        <v>750</v>
      </c>
      <c r="AP22" s="307" t="s">
        <v>2875</v>
      </c>
      <c r="AQ22" s="13" t="s">
        <v>2749</v>
      </c>
      <c r="AR22" s="13"/>
      <c r="AS22" s="308" t="s">
        <v>2738</v>
      </c>
      <c r="AU22" s="307" t="s">
        <v>2782</v>
      </c>
      <c r="AV22" s="13" t="s">
        <v>2751</v>
      </c>
      <c r="AW22" s="13"/>
      <c r="AX22" s="308"/>
      <c r="AZ22" s="307" t="s">
        <v>2793</v>
      </c>
      <c r="BA22" s="13" t="s">
        <v>2743</v>
      </c>
      <c r="BB22" s="13"/>
      <c r="BC22" s="308" t="s">
        <v>750</v>
      </c>
      <c r="BE22" s="307"/>
      <c r="BF22" s="13" t="s">
        <v>2738</v>
      </c>
      <c r="BG22" s="13"/>
      <c r="BH22" s="308"/>
      <c r="BJ22" s="307"/>
      <c r="BK22" s="13"/>
      <c r="BL22" s="13"/>
      <c r="BM22" s="308"/>
      <c r="BO22" s="307"/>
      <c r="BP22" s="13"/>
      <c r="BQ22" s="13"/>
      <c r="BR22" s="308"/>
    </row>
    <row r="23" ht="20.1" customHeight="1" spans="2:70">
      <c r="Q23" s="307"/>
      <c r="R23" s="13" t="s">
        <v>2738</v>
      </c>
      <c r="S23" s="13"/>
      <c r="T23" s="308"/>
      <c r="V23" s="307"/>
      <c r="W23" s="13" t="s">
        <v>2738</v>
      </c>
      <c r="X23" s="13"/>
      <c r="Y23" s="308"/>
      <c r="AA23" s="307"/>
      <c r="AB23" s="13" t="s">
        <v>2738</v>
      </c>
      <c r="AC23" s="13"/>
      <c r="AD23" s="308"/>
      <c r="AF23" s="307"/>
      <c r="AG23" s="13" t="s">
        <v>2738</v>
      </c>
      <c r="AH23" s="13"/>
      <c r="AI23" s="308"/>
      <c r="AP23" s="307" t="s">
        <v>2876</v>
      </c>
      <c r="AQ23" s="13" t="s">
        <v>2751</v>
      </c>
      <c r="AR23" s="13"/>
      <c r="AS23" s="308"/>
      <c r="AU23" s="307" t="s">
        <v>2792</v>
      </c>
      <c r="AV23" s="13" t="s">
        <v>2743</v>
      </c>
      <c r="AW23" s="13"/>
      <c r="AX23" s="308" t="s">
        <v>750</v>
      </c>
      <c r="AZ23" s="307" t="s">
        <v>2803</v>
      </c>
      <c r="BA23" s="13" t="s">
        <v>2738</v>
      </c>
      <c r="BB23" s="13"/>
      <c r="BC23" s="308"/>
      <c r="BE23" s="307"/>
      <c r="BF23" s="13" t="s">
        <v>750</v>
      </c>
      <c r="BG23" s="13"/>
      <c r="BH23" s="308"/>
      <c r="BJ23" s="307"/>
      <c r="BK23" s="13"/>
      <c r="BL23" s="13"/>
      <c r="BM23" s="308"/>
      <c r="BO23" s="307"/>
      <c r="BP23" s="13"/>
      <c r="BQ23" s="13"/>
      <c r="BR23" s="308"/>
    </row>
    <row r="24" ht="20.1" customHeight="1" spans="2:70">
      <c r="C24" s="318"/>
      <c r="D24" s="2" t="s">
        <v>2729</v>
      </c>
      <c r="E24" s="2" t="s">
        <v>2730</v>
      </c>
      <c r="Q24" s="307"/>
      <c r="R24" s="13" t="s">
        <v>750</v>
      </c>
      <c r="S24" s="13"/>
      <c r="T24" s="308" t="s">
        <v>2746</v>
      </c>
      <c r="V24" s="307"/>
      <c r="W24" s="13" t="s">
        <v>750</v>
      </c>
      <c r="X24" s="13"/>
      <c r="Y24" s="308" t="s">
        <v>2746</v>
      </c>
      <c r="AA24" s="307"/>
      <c r="AB24" s="13" t="s">
        <v>750</v>
      </c>
      <c r="AC24" s="13"/>
      <c r="AD24" s="308" t="s">
        <v>2746</v>
      </c>
      <c r="AF24" s="307"/>
      <c r="AG24" s="13" t="s">
        <v>750</v>
      </c>
      <c r="AH24" s="13"/>
      <c r="AI24" s="308" t="s">
        <v>2746</v>
      </c>
      <c r="AP24" s="307" t="s">
        <v>2877</v>
      </c>
      <c r="AQ24" s="13" t="s">
        <v>2743</v>
      </c>
      <c r="AR24" s="13"/>
      <c r="AS24" s="308" t="s">
        <v>750</v>
      </c>
      <c r="AU24" s="307" t="s">
        <v>2802</v>
      </c>
      <c r="AV24" s="13" t="s">
        <v>2738</v>
      </c>
      <c r="AW24" s="13"/>
      <c r="AX24" s="308"/>
      <c r="AZ24" s="307" t="s">
        <v>2813</v>
      </c>
      <c r="BA24" s="13" t="s">
        <v>750</v>
      </c>
      <c r="BB24" s="13"/>
      <c r="BC24" s="308" t="s">
        <v>2746</v>
      </c>
      <c r="BE24" s="307"/>
      <c r="BF24" s="13" t="s">
        <v>2746</v>
      </c>
      <c r="BG24" s="13"/>
      <c r="BH24" s="308"/>
      <c r="BJ24" s="307"/>
      <c r="BK24" s="13"/>
      <c r="BL24" s="13"/>
      <c r="BM24" s="308"/>
      <c r="BO24" s="307"/>
      <c r="BP24" s="13"/>
      <c r="BQ24" s="13"/>
      <c r="BR24" s="308"/>
    </row>
    <row r="25" ht="20.1" customHeight="1" spans="2:70">
      <c r="C25" s="37" t="s">
        <v>900</v>
      </c>
      <c r="D25" s="37">
        <f>SUM(D3:D22)+SUM(K3:K22)</f>
        <v>634</v>
      </c>
      <c r="E25" s="37">
        <f>SUM(E3:E22)+SUM(L3:L22)</f>
        <v>274</v>
      </c>
      <c r="Q25" s="307"/>
      <c r="R25" s="13" t="s">
        <v>2746</v>
      </c>
      <c r="S25" s="13"/>
      <c r="T25" s="308"/>
      <c r="V25" s="307"/>
      <c r="W25" s="13" t="s">
        <v>2746</v>
      </c>
      <c r="X25" s="13"/>
      <c r="Y25" s="308"/>
      <c r="AA25" s="307"/>
      <c r="AB25" s="13" t="s">
        <v>2746</v>
      </c>
      <c r="AC25" s="13"/>
      <c r="AD25" s="308"/>
      <c r="AF25" s="307"/>
      <c r="AG25" s="13" t="s">
        <v>2746</v>
      </c>
      <c r="AH25" s="13"/>
      <c r="AI25" s="308"/>
      <c r="AP25" s="307" t="s">
        <v>2878</v>
      </c>
      <c r="AQ25" s="13" t="s">
        <v>2738</v>
      </c>
      <c r="AR25" s="13"/>
      <c r="AS25" s="308"/>
      <c r="AU25" s="307" t="s">
        <v>2812</v>
      </c>
      <c r="AV25" s="13" t="s">
        <v>750</v>
      </c>
      <c r="AW25" s="13"/>
      <c r="AX25" s="308" t="s">
        <v>2746</v>
      </c>
      <c r="AZ25" s="307" t="s">
        <v>2823</v>
      </c>
      <c r="BA25" s="13" t="s">
        <v>2746</v>
      </c>
      <c r="BB25" s="13"/>
      <c r="BC25" s="308"/>
      <c r="BE25" s="307"/>
      <c r="BF25" s="13" t="s">
        <v>2749</v>
      </c>
      <c r="BG25" s="13"/>
      <c r="BH25" s="308"/>
      <c r="BJ25" s="307"/>
      <c r="BK25" s="13"/>
      <c r="BL25" s="13"/>
      <c r="BM25" s="308"/>
      <c r="BO25" s="307"/>
      <c r="BP25" s="13"/>
      <c r="BQ25" s="13"/>
      <c r="BR25" s="308"/>
    </row>
    <row r="26" ht="20.1" customHeight="1" spans="2:70">
      <c r="Q26" s="307"/>
      <c r="R26" s="13" t="s">
        <v>2749</v>
      </c>
      <c r="S26" s="13"/>
      <c r="T26" s="308" t="s">
        <v>2749</v>
      </c>
      <c r="V26" s="307"/>
      <c r="W26" s="13" t="s">
        <v>2749</v>
      </c>
      <c r="X26" s="13"/>
      <c r="Y26" s="308" t="s">
        <v>2749</v>
      </c>
      <c r="AA26" s="307"/>
      <c r="AB26" s="13" t="s">
        <v>2749</v>
      </c>
      <c r="AC26" s="13"/>
      <c r="AD26" s="308" t="s">
        <v>2749</v>
      </c>
      <c r="AF26" s="307"/>
      <c r="AG26" s="13" t="s">
        <v>2749</v>
      </c>
      <c r="AH26" s="13"/>
      <c r="AI26" s="308" t="s">
        <v>2749</v>
      </c>
      <c r="AP26" s="307" t="s">
        <v>2879</v>
      </c>
      <c r="AQ26" s="13" t="s">
        <v>750</v>
      </c>
      <c r="AR26" s="13"/>
      <c r="AS26" s="308" t="s">
        <v>2746</v>
      </c>
      <c r="AU26" s="307" t="s">
        <v>2822</v>
      </c>
      <c r="AV26" s="13" t="s">
        <v>2746</v>
      </c>
      <c r="AW26" s="13"/>
      <c r="AX26" s="308"/>
      <c r="AZ26" s="307" t="s">
        <v>2834</v>
      </c>
      <c r="BA26" s="13" t="s">
        <v>2749</v>
      </c>
      <c r="BB26" s="13"/>
      <c r="BC26" s="308" t="s">
        <v>2749</v>
      </c>
      <c r="BE26" s="307"/>
      <c r="BF26" s="13" t="s">
        <v>2751</v>
      </c>
      <c r="BG26" s="13"/>
      <c r="BH26" s="308"/>
      <c r="BJ26" s="307"/>
      <c r="BK26" s="13"/>
      <c r="BL26" s="13"/>
      <c r="BM26" s="308"/>
      <c r="BO26" s="307"/>
      <c r="BP26" s="13"/>
      <c r="BQ26" s="13"/>
      <c r="BR26" s="308"/>
    </row>
    <row r="27" ht="20.1" customHeight="1" spans="2:70">
      <c r="Q27" s="307"/>
      <c r="R27" s="13" t="s">
        <v>2751</v>
      </c>
      <c r="S27" s="13"/>
      <c r="T27" s="308"/>
      <c r="V27" s="307"/>
      <c r="W27" s="13" t="s">
        <v>2751</v>
      </c>
      <c r="X27" s="13"/>
      <c r="Y27" s="308"/>
      <c r="AA27" s="307"/>
      <c r="AB27" s="13" t="s">
        <v>2751</v>
      </c>
      <c r="AC27" s="13"/>
      <c r="AD27" s="308"/>
      <c r="AF27" s="307"/>
      <c r="AG27" s="13" t="s">
        <v>2751</v>
      </c>
      <c r="AH27" s="13"/>
      <c r="AI27" s="308"/>
      <c r="AP27" s="307" t="s">
        <v>2880</v>
      </c>
      <c r="AQ27" s="13" t="s">
        <v>2746</v>
      </c>
      <c r="AR27" s="13"/>
      <c r="AS27" s="308"/>
      <c r="AU27" s="307" t="s">
        <v>2833</v>
      </c>
      <c r="AV27" s="13" t="s">
        <v>2749</v>
      </c>
      <c r="AW27" s="13"/>
      <c r="AX27" s="308" t="s">
        <v>2749</v>
      </c>
      <c r="AZ27" s="307" t="s">
        <v>2844</v>
      </c>
      <c r="BA27" s="13" t="s">
        <v>2751</v>
      </c>
      <c r="BB27" s="13"/>
      <c r="BC27" s="308"/>
      <c r="BE27" s="307"/>
      <c r="BF27" s="13" t="s">
        <v>2743</v>
      </c>
      <c r="BG27" s="13"/>
      <c r="BH27" s="308"/>
      <c r="BJ27" s="307"/>
      <c r="BK27" s="13"/>
      <c r="BL27" s="13"/>
      <c r="BM27" s="308"/>
      <c r="BO27" s="307"/>
      <c r="BP27" s="13"/>
      <c r="BQ27" s="13"/>
      <c r="BR27" s="308"/>
    </row>
    <row r="28" ht="20.1" customHeight="1" spans="2:70">
      <c r="Q28" s="315"/>
      <c r="R28" s="316" t="s">
        <v>2743</v>
      </c>
      <c r="S28" s="316"/>
      <c r="T28" s="317" t="s">
        <v>2751</v>
      </c>
      <c r="V28" s="315"/>
      <c r="W28" s="316" t="s">
        <v>2743</v>
      </c>
      <c r="X28" s="316"/>
      <c r="Y28" s="317" t="s">
        <v>2751</v>
      </c>
      <c r="AA28" s="315"/>
      <c r="AB28" s="316" t="s">
        <v>2743</v>
      </c>
      <c r="AC28" s="316"/>
      <c r="AD28" s="317" t="s">
        <v>2751</v>
      </c>
      <c r="AF28" s="315"/>
      <c r="AG28" s="316" t="s">
        <v>2743</v>
      </c>
      <c r="AH28" s="316"/>
      <c r="AI28" s="317" t="s">
        <v>2751</v>
      </c>
      <c r="AP28" s="307" t="s">
        <v>2881</v>
      </c>
      <c r="AQ28" s="13" t="s">
        <v>2749</v>
      </c>
      <c r="AR28" s="13"/>
      <c r="AS28" s="308" t="s">
        <v>2749</v>
      </c>
      <c r="AU28" s="307" t="s">
        <v>2843</v>
      </c>
      <c r="AV28" s="13" t="s">
        <v>2751</v>
      </c>
      <c r="AW28" s="13"/>
      <c r="AX28" s="308"/>
      <c r="AZ28" s="307" t="s">
        <v>2854</v>
      </c>
      <c r="BA28" s="13" t="s">
        <v>2743</v>
      </c>
      <c r="BB28" s="13"/>
      <c r="BC28" s="308" t="s">
        <v>2751</v>
      </c>
      <c r="BE28" s="307"/>
      <c r="BF28" s="13" t="s">
        <v>2738</v>
      </c>
      <c r="BG28" s="13"/>
      <c r="BH28" s="308"/>
      <c r="BJ28" s="307"/>
      <c r="BK28" s="13"/>
      <c r="BL28" s="13"/>
      <c r="BM28" s="308"/>
      <c r="BO28" s="307"/>
      <c r="BP28" s="13"/>
      <c r="BQ28" s="13"/>
      <c r="BR28" s="308"/>
    </row>
    <row r="29" ht="20.1" customHeight="1" spans="2:70">
      <c r="P29" s="41"/>
      <c r="AA29" s="143"/>
      <c r="AB29" s="41"/>
      <c r="AC29" s="41"/>
      <c r="AP29" s="307" t="s">
        <v>2882</v>
      </c>
      <c r="AQ29" s="13" t="s">
        <v>2751</v>
      </c>
      <c r="AR29" s="13"/>
      <c r="AS29" s="308"/>
      <c r="AU29" s="307" t="s">
        <v>2853</v>
      </c>
      <c r="AV29" s="13" t="s">
        <v>2743</v>
      </c>
      <c r="AW29" s="13"/>
      <c r="AX29" s="308" t="s">
        <v>2751</v>
      </c>
      <c r="AZ29" s="307" t="s">
        <v>2740</v>
      </c>
      <c r="BA29" s="13" t="s">
        <v>2738</v>
      </c>
      <c r="BB29" s="13"/>
      <c r="BC29" s="308"/>
      <c r="BE29" s="307"/>
      <c r="BF29" s="13" t="s">
        <v>750</v>
      </c>
      <c r="BG29" s="13"/>
      <c r="BH29" s="308"/>
      <c r="BJ29" s="307"/>
      <c r="BK29" s="13"/>
      <c r="BL29" s="13"/>
      <c r="BM29" s="308"/>
      <c r="BO29" s="307"/>
      <c r="BP29" s="13"/>
      <c r="BQ29" s="13"/>
      <c r="BR29" s="308"/>
    </row>
    <row r="30" ht="20.1" customHeight="1" spans="2:70">
      <c r="Q30" s="298" t="s">
        <v>2731</v>
      </c>
      <c r="R30" s="299" t="s">
        <v>2732</v>
      </c>
      <c r="S30" s="299"/>
      <c r="T30" s="300" t="s">
        <v>2733</v>
      </c>
      <c r="V30" s="298" t="s">
        <v>2731</v>
      </c>
      <c r="W30" s="299" t="s">
        <v>2732</v>
      </c>
      <c r="X30" s="299"/>
      <c r="Y30" s="300" t="s">
        <v>2733</v>
      </c>
      <c r="AA30" s="298" t="s">
        <v>2731</v>
      </c>
      <c r="AB30" s="299" t="s">
        <v>2732</v>
      </c>
      <c r="AC30" s="299"/>
      <c r="AD30" s="300" t="s">
        <v>2733</v>
      </c>
      <c r="AF30" s="298" t="s">
        <v>2731</v>
      </c>
      <c r="AG30" s="299" t="s">
        <v>2732</v>
      </c>
      <c r="AH30" s="299"/>
      <c r="AI30" s="300" t="s">
        <v>2733</v>
      </c>
      <c r="AP30" s="315" t="s">
        <v>2883</v>
      </c>
      <c r="AQ30" s="316" t="s">
        <v>2743</v>
      </c>
      <c r="AR30" s="316"/>
      <c r="AS30" s="317" t="s">
        <v>2751</v>
      </c>
      <c r="AU30" s="315" t="s">
        <v>2739</v>
      </c>
      <c r="AV30" s="316" t="s">
        <v>2738</v>
      </c>
      <c r="AW30" s="316"/>
      <c r="AX30" s="317"/>
      <c r="AZ30" s="315" t="s">
        <v>2754</v>
      </c>
      <c r="BA30" s="316" t="s">
        <v>750</v>
      </c>
      <c r="BB30" s="316"/>
      <c r="BC30" s="317" t="s">
        <v>2743</v>
      </c>
      <c r="BE30" s="315"/>
      <c r="BF30" s="316"/>
      <c r="BG30" s="316"/>
      <c r="BH30" s="317"/>
      <c r="BJ30" s="315"/>
      <c r="BK30" s="316"/>
      <c r="BL30" s="316"/>
      <c r="BM30" s="317"/>
      <c r="BO30" s="315"/>
      <c r="BP30" s="316"/>
      <c r="BQ30" s="316"/>
      <c r="BR30" s="317"/>
    </row>
    <row r="31" ht="20.1" customHeight="1" spans="2:70">
      <c r="Q31" s="307"/>
      <c r="R31" s="13" t="s">
        <v>2738</v>
      </c>
      <c r="S31" s="13"/>
      <c r="T31" s="308"/>
      <c r="V31" s="307"/>
      <c r="W31" s="13" t="s">
        <v>2738</v>
      </c>
      <c r="X31" s="13"/>
      <c r="Y31" s="308"/>
      <c r="AA31" s="307"/>
      <c r="AB31" s="13" t="s">
        <v>2738</v>
      </c>
      <c r="AC31" s="13"/>
      <c r="AD31" s="308"/>
      <c r="AF31" s="307"/>
      <c r="AG31" s="13" t="s">
        <v>2738</v>
      </c>
      <c r="AH31" s="13"/>
      <c r="AI31" s="308"/>
    </row>
    <row r="32" ht="20.1" customHeight="1" spans="2:70">
      <c r="Q32" s="307"/>
      <c r="R32" s="13" t="s">
        <v>750</v>
      </c>
      <c r="S32" s="13"/>
      <c r="T32" s="308" t="s">
        <v>2743</v>
      </c>
      <c r="V32" s="307"/>
      <c r="W32" s="13" t="s">
        <v>750</v>
      </c>
      <c r="X32" s="13"/>
      <c r="Y32" s="308" t="s">
        <v>2743</v>
      </c>
      <c r="AA32" s="307"/>
      <c r="AB32" s="13" t="s">
        <v>750</v>
      </c>
      <c r="AC32" s="13"/>
      <c r="AD32" s="308" t="s">
        <v>2743</v>
      </c>
      <c r="AF32" s="307"/>
      <c r="AG32" s="13" t="s">
        <v>750</v>
      </c>
      <c r="AH32" s="13"/>
      <c r="AI32" s="308" t="s">
        <v>2743</v>
      </c>
    </row>
    <row r="33" ht="20.1" customHeight="1" spans="14:35">
      <c r="Q33" s="307"/>
      <c r="R33" s="13" t="s">
        <v>2746</v>
      </c>
      <c r="S33" s="13"/>
      <c r="T33" s="308"/>
      <c r="V33" s="307"/>
      <c r="W33" s="13" t="s">
        <v>2746</v>
      </c>
      <c r="X33" s="13"/>
      <c r="Y33" s="308"/>
      <c r="AA33" s="307"/>
      <c r="AB33" s="13" t="s">
        <v>2746</v>
      </c>
      <c r="AC33" s="13"/>
      <c r="AD33" s="308"/>
      <c r="AF33" s="307"/>
      <c r="AG33" s="13" t="s">
        <v>2746</v>
      </c>
      <c r="AH33" s="13"/>
      <c r="AI33" s="308"/>
    </row>
    <row r="34" ht="20.1" customHeight="1" spans="14:35">
      <c r="Q34" s="307"/>
      <c r="R34" s="13" t="s">
        <v>2749</v>
      </c>
      <c r="S34" s="13"/>
      <c r="T34" s="308" t="s">
        <v>2738</v>
      </c>
      <c r="V34" s="307"/>
      <c r="W34" s="13" t="s">
        <v>2749</v>
      </c>
      <c r="X34" s="13"/>
      <c r="Y34" s="308" t="s">
        <v>2738</v>
      </c>
      <c r="AA34" s="307"/>
      <c r="AB34" s="13" t="s">
        <v>2749</v>
      </c>
      <c r="AC34" s="13"/>
      <c r="AD34" s="308" t="s">
        <v>2738</v>
      </c>
      <c r="AF34" s="307"/>
      <c r="AG34" s="13" t="s">
        <v>2749</v>
      </c>
      <c r="AH34" s="13"/>
      <c r="AI34" s="308" t="s">
        <v>2738</v>
      </c>
    </row>
    <row r="35" ht="20.1" customHeight="1" spans="14:35">
      <c r="Q35" s="307"/>
      <c r="R35" s="13" t="s">
        <v>2751</v>
      </c>
      <c r="S35" s="13"/>
      <c r="T35" s="308"/>
      <c r="V35" s="307"/>
      <c r="W35" s="13" t="s">
        <v>2751</v>
      </c>
      <c r="X35" s="13"/>
      <c r="Y35" s="308"/>
      <c r="AA35" s="307"/>
      <c r="AB35" s="13" t="s">
        <v>2751</v>
      </c>
      <c r="AC35" s="13"/>
      <c r="AD35" s="308"/>
      <c r="AF35" s="307"/>
      <c r="AG35" s="13" t="s">
        <v>2751</v>
      </c>
      <c r="AH35" s="13"/>
      <c r="AI35" s="308"/>
    </row>
    <row r="36" ht="20.1" customHeight="1" spans="14:35">
      <c r="Q36" s="307"/>
      <c r="R36" s="13" t="s">
        <v>2743</v>
      </c>
      <c r="S36" s="13"/>
      <c r="T36" s="308" t="s">
        <v>750</v>
      </c>
      <c r="V36" s="307"/>
      <c r="W36" s="13" t="s">
        <v>2743</v>
      </c>
      <c r="X36" s="13"/>
      <c r="Y36" s="308" t="s">
        <v>750</v>
      </c>
      <c r="AA36" s="307"/>
      <c r="AB36" s="13" t="s">
        <v>2743</v>
      </c>
      <c r="AC36" s="13"/>
      <c r="AD36" s="308" t="s">
        <v>750</v>
      </c>
      <c r="AF36" s="307"/>
      <c r="AG36" s="13" t="s">
        <v>2743</v>
      </c>
      <c r="AH36" s="13"/>
      <c r="AI36" s="308" t="s">
        <v>750</v>
      </c>
    </row>
    <row r="37" ht="20.1" customHeight="1" spans="14:35">
      <c r="Q37" s="307"/>
      <c r="R37" s="13" t="s">
        <v>2738</v>
      </c>
      <c r="S37" s="13"/>
      <c r="T37" s="308"/>
      <c r="V37" s="307"/>
      <c r="W37" s="13" t="s">
        <v>2738</v>
      </c>
      <c r="X37" s="13"/>
      <c r="Y37" s="308"/>
      <c r="AA37" s="307"/>
      <c r="AB37" s="13" t="s">
        <v>2738</v>
      </c>
      <c r="AC37" s="13"/>
      <c r="AD37" s="308"/>
      <c r="AF37" s="307"/>
      <c r="AG37" s="13" t="s">
        <v>2738</v>
      </c>
      <c r="AH37" s="13"/>
      <c r="AI37" s="308"/>
    </row>
    <row r="38" ht="20.1" customHeight="1" spans="14:35">
      <c r="Q38" s="307"/>
      <c r="R38" s="13" t="s">
        <v>750</v>
      </c>
      <c r="S38" s="13"/>
      <c r="T38" s="308" t="s">
        <v>2746</v>
      </c>
      <c r="V38" s="307"/>
      <c r="W38" s="13" t="s">
        <v>750</v>
      </c>
      <c r="X38" s="13"/>
      <c r="Y38" s="308" t="s">
        <v>2746</v>
      </c>
      <c r="AA38" s="307"/>
      <c r="AB38" s="13" t="s">
        <v>750</v>
      </c>
      <c r="AC38" s="13"/>
      <c r="AD38" s="308" t="s">
        <v>2746</v>
      </c>
      <c r="AF38" s="307"/>
      <c r="AG38" s="13" t="s">
        <v>750</v>
      </c>
      <c r="AH38" s="13"/>
      <c r="AI38" s="308" t="s">
        <v>2746</v>
      </c>
    </row>
    <row r="39" ht="20.1" customHeight="1" spans="14:35">
      <c r="Q39" s="307"/>
      <c r="R39" s="13" t="s">
        <v>2746</v>
      </c>
      <c r="S39" s="13"/>
      <c r="T39" s="308"/>
      <c r="V39" s="307"/>
      <c r="W39" s="13" t="s">
        <v>2746</v>
      </c>
      <c r="X39" s="13"/>
      <c r="Y39" s="308"/>
      <c r="AA39" s="307"/>
      <c r="AB39" s="13" t="s">
        <v>2746</v>
      </c>
      <c r="AC39" s="13"/>
      <c r="AD39" s="308"/>
      <c r="AF39" s="307"/>
      <c r="AG39" s="13" t="s">
        <v>2746</v>
      </c>
      <c r="AH39" s="13"/>
      <c r="AI39" s="308"/>
    </row>
    <row r="40" ht="20.1" customHeight="1" spans="14:35">
      <c r="Q40" s="307"/>
      <c r="R40" s="13" t="s">
        <v>2749</v>
      </c>
      <c r="S40" s="13"/>
      <c r="T40" s="308" t="s">
        <v>2749</v>
      </c>
      <c r="V40" s="307"/>
      <c r="W40" s="13" t="s">
        <v>2749</v>
      </c>
      <c r="X40" s="13"/>
      <c r="Y40" s="308" t="s">
        <v>2749</v>
      </c>
      <c r="AA40" s="307"/>
      <c r="AB40" s="13" t="s">
        <v>2749</v>
      </c>
      <c r="AC40" s="13"/>
      <c r="AD40" s="308" t="s">
        <v>2749</v>
      </c>
      <c r="AF40" s="307"/>
      <c r="AG40" s="13" t="s">
        <v>2749</v>
      </c>
      <c r="AH40" s="13"/>
      <c r="AI40" s="308" t="s">
        <v>2749</v>
      </c>
    </row>
    <row r="41" ht="20.1" customHeight="1" spans="14:35">
      <c r="Q41" s="307"/>
      <c r="R41" s="13" t="s">
        <v>2751</v>
      </c>
      <c r="S41" s="13"/>
      <c r="T41" s="308"/>
      <c r="V41" s="307"/>
      <c r="W41" s="13" t="s">
        <v>2751</v>
      </c>
      <c r="X41" s="13"/>
      <c r="Y41" s="308"/>
      <c r="AA41" s="307"/>
      <c r="AB41" s="13" t="s">
        <v>2751</v>
      </c>
      <c r="AC41" s="13"/>
      <c r="AD41" s="308"/>
      <c r="AF41" s="307"/>
      <c r="AG41" s="13" t="s">
        <v>2751</v>
      </c>
      <c r="AH41" s="13"/>
      <c r="AI41" s="308"/>
    </row>
    <row r="42" ht="20.1" customHeight="1" spans="14:35">
      <c r="Q42" s="315"/>
      <c r="R42" s="316" t="s">
        <v>2743</v>
      </c>
      <c r="S42" s="316"/>
      <c r="T42" s="317" t="s">
        <v>2751</v>
      </c>
      <c r="V42" s="315"/>
      <c r="W42" s="316" t="s">
        <v>2743</v>
      </c>
      <c r="X42" s="316"/>
      <c r="Y42" s="317" t="s">
        <v>2751</v>
      </c>
      <c r="AA42" s="315"/>
      <c r="AB42" s="316" t="s">
        <v>2743</v>
      </c>
      <c r="AC42" s="316"/>
      <c r="AD42" s="317" t="s">
        <v>2751</v>
      </c>
      <c r="AF42" s="315"/>
      <c r="AG42" s="316" t="s">
        <v>2743</v>
      </c>
      <c r="AH42" s="316"/>
      <c r="AI42" s="317" t="s">
        <v>2751</v>
      </c>
    </row>
    <row r="43" ht="20.1" customHeight="1" spans="14:35">
      <c r="AA43" s="143"/>
      <c r="AB43" s="41"/>
      <c r="AC43" s="41"/>
    </row>
    <row r="44" ht="20.1" customHeight="1" spans="14:35">
      <c r="P44" s="41"/>
      <c r="Q44" s="298" t="s">
        <v>2731</v>
      </c>
      <c r="R44" s="299" t="s">
        <v>2732</v>
      </c>
      <c r="S44" s="299"/>
      <c r="T44" s="300" t="s">
        <v>2733</v>
      </c>
      <c r="V44" s="298" t="s">
        <v>2731</v>
      </c>
      <c r="W44" s="299" t="s">
        <v>2732</v>
      </c>
      <c r="X44" s="299"/>
      <c r="Y44" s="300" t="s">
        <v>2733</v>
      </c>
      <c r="AA44" s="298" t="s">
        <v>2731</v>
      </c>
      <c r="AB44" s="299" t="s">
        <v>2732</v>
      </c>
      <c r="AC44" s="299"/>
      <c r="AD44" s="300" t="s">
        <v>2733</v>
      </c>
      <c r="AF44" s="298" t="s">
        <v>2731</v>
      </c>
      <c r="AG44" s="299" t="s">
        <v>2732</v>
      </c>
      <c r="AH44" s="299"/>
      <c r="AI44" s="300" t="s">
        <v>2733</v>
      </c>
    </row>
    <row r="45" ht="20.1" customHeight="1" spans="14:35">
      <c r="N45" s="319"/>
      <c r="Q45" s="307"/>
      <c r="R45" s="13" t="s">
        <v>2738</v>
      </c>
      <c r="S45" s="13"/>
      <c r="T45" s="308"/>
      <c r="V45" s="307"/>
      <c r="W45" s="13" t="s">
        <v>2738</v>
      </c>
      <c r="X45" s="13"/>
      <c r="Y45" s="308"/>
      <c r="AA45" s="307"/>
      <c r="AB45" s="13" t="s">
        <v>2738</v>
      </c>
      <c r="AC45" s="13"/>
      <c r="AD45" s="308"/>
      <c r="AF45" s="307"/>
      <c r="AG45" s="13" t="s">
        <v>2738</v>
      </c>
      <c r="AH45" s="13"/>
      <c r="AI45" s="308"/>
    </row>
    <row r="46" ht="20.1" customHeight="1" spans="14:35">
      <c r="N46" s="14"/>
      <c r="Q46" s="307"/>
      <c r="R46" s="13" t="s">
        <v>750</v>
      </c>
      <c r="S46" s="13"/>
      <c r="T46" s="308" t="s">
        <v>2743</v>
      </c>
      <c r="V46" s="307"/>
      <c r="W46" s="13" t="s">
        <v>750</v>
      </c>
      <c r="X46" s="13"/>
      <c r="Y46" s="308" t="s">
        <v>2743</v>
      </c>
      <c r="AA46" s="307"/>
      <c r="AB46" s="13" t="s">
        <v>750</v>
      </c>
      <c r="AC46" s="13"/>
      <c r="AD46" s="308" t="s">
        <v>2743</v>
      </c>
      <c r="AF46" s="307"/>
      <c r="AG46" s="13" t="s">
        <v>750</v>
      </c>
      <c r="AH46" s="13"/>
      <c r="AI46" s="308" t="s">
        <v>2743</v>
      </c>
    </row>
    <row r="47" ht="20.1" customHeight="1" spans="14:35">
      <c r="Q47" s="307"/>
      <c r="R47" s="13" t="s">
        <v>2746</v>
      </c>
      <c r="S47" s="13"/>
      <c r="T47" s="308"/>
      <c r="V47" s="307"/>
      <c r="W47" s="13" t="s">
        <v>2746</v>
      </c>
      <c r="X47" s="13"/>
      <c r="Y47" s="308"/>
      <c r="AA47" s="307"/>
      <c r="AB47" s="13" t="s">
        <v>2746</v>
      </c>
      <c r="AC47" s="13"/>
      <c r="AD47" s="308"/>
      <c r="AF47" s="307"/>
      <c r="AG47" s="13" t="s">
        <v>2746</v>
      </c>
      <c r="AH47" s="13"/>
      <c r="AI47" s="308"/>
    </row>
    <row r="48" ht="20.1" customHeight="1" spans="14:35">
      <c r="Q48" s="307"/>
      <c r="R48" s="13" t="s">
        <v>2749</v>
      </c>
      <c r="S48" s="13"/>
      <c r="T48" s="308" t="s">
        <v>2738</v>
      </c>
      <c r="V48" s="307"/>
      <c r="W48" s="13" t="s">
        <v>2749</v>
      </c>
      <c r="X48" s="13"/>
      <c r="Y48" s="308" t="s">
        <v>2738</v>
      </c>
      <c r="AA48" s="307"/>
      <c r="AB48" s="13" t="s">
        <v>2749</v>
      </c>
      <c r="AC48" s="13"/>
      <c r="AD48" s="308" t="s">
        <v>2738</v>
      </c>
      <c r="AF48" s="307"/>
      <c r="AG48" s="13" t="s">
        <v>2749</v>
      </c>
      <c r="AH48" s="13"/>
      <c r="AI48" s="308" t="s">
        <v>2738</v>
      </c>
    </row>
    <row r="49" ht="20.1" customHeight="1" spans="14:35">
      <c r="Q49" s="307"/>
      <c r="R49" s="13" t="s">
        <v>2751</v>
      </c>
      <c r="S49" s="13"/>
      <c r="T49" s="308"/>
      <c r="V49" s="307"/>
      <c r="W49" s="13" t="s">
        <v>2751</v>
      </c>
      <c r="X49" s="13"/>
      <c r="Y49" s="308"/>
      <c r="AA49" s="307"/>
      <c r="AB49" s="13" t="s">
        <v>2751</v>
      </c>
      <c r="AC49" s="13"/>
      <c r="AD49" s="308"/>
      <c r="AF49" s="307"/>
      <c r="AG49" s="13" t="s">
        <v>2751</v>
      </c>
      <c r="AH49" s="13"/>
      <c r="AI49" s="308"/>
    </row>
    <row r="50" ht="20.1" customHeight="1" spans="14:35">
      <c r="Q50" s="307"/>
      <c r="R50" s="13" t="s">
        <v>2743</v>
      </c>
      <c r="S50" s="13"/>
      <c r="T50" s="308" t="s">
        <v>750</v>
      </c>
      <c r="V50" s="307"/>
      <c r="W50" s="13" t="s">
        <v>2743</v>
      </c>
      <c r="X50" s="13"/>
      <c r="Y50" s="308" t="s">
        <v>750</v>
      </c>
      <c r="AA50" s="307"/>
      <c r="AB50" s="13" t="s">
        <v>2743</v>
      </c>
      <c r="AC50" s="13"/>
      <c r="AD50" s="308" t="s">
        <v>750</v>
      </c>
      <c r="AF50" s="307"/>
      <c r="AG50" s="13" t="s">
        <v>2743</v>
      </c>
      <c r="AH50" s="13"/>
      <c r="AI50" s="308" t="s">
        <v>750</v>
      </c>
    </row>
    <row r="51" ht="20.1" customHeight="1" spans="14:35">
      <c r="Q51" s="307"/>
      <c r="R51" s="13" t="s">
        <v>2738</v>
      </c>
      <c r="S51" s="13"/>
      <c r="T51" s="308"/>
      <c r="V51" s="307"/>
      <c r="W51" s="13" t="s">
        <v>2738</v>
      </c>
      <c r="X51" s="13"/>
      <c r="Y51" s="308"/>
      <c r="AA51" s="307"/>
      <c r="AB51" s="13" t="s">
        <v>2738</v>
      </c>
      <c r="AC51" s="13"/>
      <c r="AD51" s="308"/>
      <c r="AF51" s="307"/>
      <c r="AG51" s="13" t="s">
        <v>2738</v>
      </c>
      <c r="AH51" s="13"/>
      <c r="AI51" s="308"/>
    </row>
    <row r="52" ht="20.1" customHeight="1" spans="14:35">
      <c r="Q52" s="307"/>
      <c r="R52" s="13" t="s">
        <v>750</v>
      </c>
      <c r="S52" s="13"/>
      <c r="T52" s="308" t="s">
        <v>2746</v>
      </c>
      <c r="V52" s="307"/>
      <c r="W52" s="13" t="s">
        <v>750</v>
      </c>
      <c r="X52" s="13"/>
      <c r="Y52" s="308" t="s">
        <v>2746</v>
      </c>
      <c r="AA52" s="307"/>
      <c r="AB52" s="13" t="s">
        <v>750</v>
      </c>
      <c r="AC52" s="13"/>
      <c r="AD52" s="308" t="s">
        <v>2746</v>
      </c>
      <c r="AF52" s="307"/>
      <c r="AG52" s="13" t="s">
        <v>750</v>
      </c>
      <c r="AH52" s="13"/>
      <c r="AI52" s="308" t="s">
        <v>2746</v>
      </c>
    </row>
    <row r="53" ht="20.1" customHeight="1" spans="14:35">
      <c r="Q53" s="307"/>
      <c r="R53" s="13" t="s">
        <v>2746</v>
      </c>
      <c r="S53" s="13"/>
      <c r="T53" s="308"/>
      <c r="V53" s="307"/>
      <c r="W53" s="13" t="s">
        <v>2746</v>
      </c>
      <c r="X53" s="13"/>
      <c r="Y53" s="308"/>
      <c r="AA53" s="307"/>
      <c r="AB53" s="13" t="s">
        <v>2746</v>
      </c>
      <c r="AC53" s="13"/>
      <c r="AD53" s="308"/>
      <c r="AF53" s="307"/>
      <c r="AG53" s="13" t="s">
        <v>2746</v>
      </c>
      <c r="AH53" s="13"/>
      <c r="AI53" s="308"/>
    </row>
    <row r="54" ht="20.1" customHeight="1" spans="14:35">
      <c r="Q54" s="307"/>
      <c r="R54" s="13" t="s">
        <v>2749</v>
      </c>
      <c r="S54" s="13"/>
      <c r="T54" s="308" t="s">
        <v>2749</v>
      </c>
      <c r="V54" s="307"/>
      <c r="W54" s="13" t="s">
        <v>2749</v>
      </c>
      <c r="X54" s="13"/>
      <c r="Y54" s="308" t="s">
        <v>2749</v>
      </c>
      <c r="AA54" s="307"/>
      <c r="AB54" s="13" t="s">
        <v>2749</v>
      </c>
      <c r="AC54" s="13"/>
      <c r="AD54" s="308" t="s">
        <v>2749</v>
      </c>
      <c r="AF54" s="307"/>
      <c r="AG54" s="13" t="s">
        <v>2749</v>
      </c>
      <c r="AH54" s="13"/>
      <c r="AI54" s="308" t="s">
        <v>2749</v>
      </c>
    </row>
    <row r="55" ht="20.1" customHeight="1" spans="14:35">
      <c r="Q55" s="307"/>
      <c r="R55" s="13" t="s">
        <v>2751</v>
      </c>
      <c r="S55" s="13"/>
      <c r="T55" s="308"/>
      <c r="V55" s="307"/>
      <c r="W55" s="13" t="s">
        <v>2751</v>
      </c>
      <c r="X55" s="13"/>
      <c r="Y55" s="308"/>
      <c r="AA55" s="307"/>
      <c r="AB55" s="13" t="s">
        <v>2751</v>
      </c>
      <c r="AC55" s="13"/>
      <c r="AD55" s="308"/>
      <c r="AF55" s="307"/>
      <c r="AG55" s="13" t="s">
        <v>2751</v>
      </c>
      <c r="AH55" s="13"/>
      <c r="AI55" s="308"/>
    </row>
    <row r="56" ht="20.1" customHeight="1" spans="14:35">
      <c r="Q56" s="315"/>
      <c r="R56" s="316" t="s">
        <v>2743</v>
      </c>
      <c r="S56" s="316"/>
      <c r="T56" s="317" t="s">
        <v>2751</v>
      </c>
      <c r="V56" s="315"/>
      <c r="W56" s="316" t="s">
        <v>2743</v>
      </c>
      <c r="X56" s="316"/>
      <c r="Y56" s="317" t="s">
        <v>2751</v>
      </c>
      <c r="AA56" s="315"/>
      <c r="AB56" s="316" t="s">
        <v>2743</v>
      </c>
      <c r="AC56" s="316"/>
      <c r="AD56" s="317" t="s">
        <v>2751</v>
      </c>
      <c r="AF56" s="315"/>
      <c r="AG56" s="316" t="s">
        <v>2743</v>
      </c>
      <c r="AH56" s="316"/>
      <c r="AI56" s="317" t="s">
        <v>2751</v>
      </c>
    </row>
    <row r="57" ht="20.1" customHeight="1" spans="14:35">
      <c r="P57" s="41"/>
      <c r="AA57" s="143"/>
      <c r="AB57" s="41"/>
      <c r="AC57" s="41"/>
    </row>
    <row r="58" ht="20.1" customHeight="1" spans="14:35">
      <c r="Q58" s="298" t="s">
        <v>2731</v>
      </c>
      <c r="R58" s="299" t="s">
        <v>2732</v>
      </c>
      <c r="S58" s="299"/>
      <c r="T58" s="300" t="s">
        <v>2733</v>
      </c>
      <c r="V58" s="298" t="s">
        <v>2731</v>
      </c>
      <c r="W58" s="299" t="s">
        <v>2732</v>
      </c>
      <c r="X58" s="299"/>
      <c r="Y58" s="300" t="s">
        <v>2733</v>
      </c>
      <c r="AA58" s="298" t="s">
        <v>2731</v>
      </c>
      <c r="AB58" s="299" t="s">
        <v>2732</v>
      </c>
      <c r="AC58" s="299"/>
      <c r="AD58" s="300" t="s">
        <v>2733</v>
      </c>
      <c r="AF58" s="298" t="s">
        <v>2731</v>
      </c>
      <c r="AG58" s="299" t="s">
        <v>2732</v>
      </c>
      <c r="AH58" s="299"/>
      <c r="AI58" s="300" t="s">
        <v>2733</v>
      </c>
    </row>
    <row r="59" ht="20.1" customHeight="1" spans="14:35">
      <c r="N59" s="319"/>
      <c r="Q59" s="307"/>
      <c r="R59" s="13" t="s">
        <v>2738</v>
      </c>
      <c r="S59" s="13"/>
      <c r="T59" s="308"/>
      <c r="V59" s="307"/>
      <c r="W59" s="13" t="s">
        <v>2738</v>
      </c>
      <c r="X59" s="13"/>
      <c r="Y59" s="308"/>
      <c r="AA59" s="307"/>
      <c r="AB59" s="13" t="s">
        <v>2738</v>
      </c>
      <c r="AC59" s="13"/>
      <c r="AD59" s="308"/>
      <c r="AF59" s="307"/>
      <c r="AG59" s="13" t="s">
        <v>2738</v>
      </c>
      <c r="AH59" s="13"/>
      <c r="AI59" s="308"/>
    </row>
    <row r="60" ht="20.1" customHeight="1" spans="14:35">
      <c r="N60" s="14"/>
      <c r="Q60" s="307"/>
      <c r="R60" s="13" t="s">
        <v>750</v>
      </c>
      <c r="S60" s="13"/>
      <c r="T60" s="308" t="s">
        <v>2743</v>
      </c>
      <c r="V60" s="307"/>
      <c r="W60" s="13" t="s">
        <v>750</v>
      </c>
      <c r="X60" s="13"/>
      <c r="Y60" s="308" t="s">
        <v>2743</v>
      </c>
      <c r="AA60" s="307"/>
      <c r="AB60" s="13" t="s">
        <v>750</v>
      </c>
      <c r="AC60" s="13"/>
      <c r="AD60" s="308" t="s">
        <v>2743</v>
      </c>
      <c r="AF60" s="307"/>
      <c r="AG60" s="13" t="s">
        <v>750</v>
      </c>
      <c r="AH60" s="13"/>
      <c r="AI60" s="308" t="s">
        <v>2743</v>
      </c>
    </row>
    <row r="61" ht="20.1" customHeight="1" spans="14:35">
      <c r="Q61" s="307"/>
      <c r="R61" s="13" t="s">
        <v>2746</v>
      </c>
      <c r="S61" s="13"/>
      <c r="T61" s="308"/>
      <c r="V61" s="307"/>
      <c r="W61" s="13" t="s">
        <v>2746</v>
      </c>
      <c r="X61" s="13"/>
      <c r="Y61" s="308"/>
      <c r="AA61" s="307"/>
      <c r="AB61" s="13" t="s">
        <v>2746</v>
      </c>
      <c r="AC61" s="13"/>
      <c r="AD61" s="308"/>
      <c r="AF61" s="307"/>
      <c r="AG61" s="13" t="s">
        <v>2746</v>
      </c>
      <c r="AH61" s="13"/>
      <c r="AI61" s="308"/>
    </row>
    <row r="62" ht="20.1" customHeight="1" spans="14:35">
      <c r="Q62" s="307"/>
      <c r="R62" s="13" t="s">
        <v>2749</v>
      </c>
      <c r="S62" s="13"/>
      <c r="T62" s="308" t="s">
        <v>2738</v>
      </c>
      <c r="V62" s="307"/>
      <c r="W62" s="13" t="s">
        <v>2749</v>
      </c>
      <c r="X62" s="13"/>
      <c r="Y62" s="308" t="s">
        <v>2738</v>
      </c>
      <c r="AA62" s="307"/>
      <c r="AB62" s="13" t="s">
        <v>2749</v>
      </c>
      <c r="AC62" s="13"/>
      <c r="AD62" s="308" t="s">
        <v>2738</v>
      </c>
      <c r="AF62" s="307"/>
      <c r="AG62" s="13" t="s">
        <v>2749</v>
      </c>
      <c r="AH62" s="13"/>
      <c r="AI62" s="308" t="s">
        <v>2738</v>
      </c>
    </row>
    <row r="63" ht="20.1" customHeight="1" spans="14:35">
      <c r="Q63" s="307"/>
      <c r="R63" s="13" t="s">
        <v>2751</v>
      </c>
      <c r="S63" s="13"/>
      <c r="T63" s="308"/>
      <c r="V63" s="307"/>
      <c r="W63" s="13" t="s">
        <v>2751</v>
      </c>
      <c r="X63" s="13"/>
      <c r="Y63" s="308"/>
      <c r="AA63" s="307"/>
      <c r="AB63" s="13" t="s">
        <v>2751</v>
      </c>
      <c r="AC63" s="13"/>
      <c r="AD63" s="308"/>
      <c r="AF63" s="307"/>
      <c r="AG63" s="13" t="s">
        <v>2751</v>
      </c>
      <c r="AH63" s="13"/>
      <c r="AI63" s="308"/>
    </row>
    <row r="64" ht="20.1" customHeight="1" spans="14:35">
      <c r="Q64" s="307"/>
      <c r="R64" s="13" t="s">
        <v>2743</v>
      </c>
      <c r="S64" s="13"/>
      <c r="T64" s="308" t="s">
        <v>750</v>
      </c>
      <c r="V64" s="307"/>
      <c r="W64" s="13" t="s">
        <v>2743</v>
      </c>
      <c r="X64" s="13"/>
      <c r="Y64" s="308" t="s">
        <v>750</v>
      </c>
      <c r="AA64" s="307"/>
      <c r="AB64" s="13" t="s">
        <v>2743</v>
      </c>
      <c r="AC64" s="13"/>
      <c r="AD64" s="308" t="s">
        <v>750</v>
      </c>
      <c r="AF64" s="307"/>
      <c r="AG64" s="13" t="s">
        <v>2743</v>
      </c>
      <c r="AH64" s="13"/>
      <c r="AI64" s="308" t="s">
        <v>750</v>
      </c>
    </row>
    <row r="65" ht="20.1" customHeight="1" spans="14:35">
      <c r="Q65" s="307"/>
      <c r="R65" s="13" t="s">
        <v>2738</v>
      </c>
      <c r="S65" s="13"/>
      <c r="T65" s="308"/>
      <c r="V65" s="307"/>
      <c r="W65" s="13" t="s">
        <v>2738</v>
      </c>
      <c r="X65" s="13"/>
      <c r="Y65" s="308"/>
      <c r="AA65" s="307"/>
      <c r="AB65" s="13" t="s">
        <v>2738</v>
      </c>
      <c r="AC65" s="13"/>
      <c r="AD65" s="308"/>
      <c r="AF65" s="307"/>
      <c r="AG65" s="13" t="s">
        <v>2738</v>
      </c>
      <c r="AH65" s="13"/>
      <c r="AI65" s="308"/>
    </row>
    <row r="66" ht="20.1" customHeight="1" spans="14:35">
      <c r="Q66" s="307"/>
      <c r="R66" s="13" t="s">
        <v>750</v>
      </c>
      <c r="S66" s="13"/>
      <c r="T66" s="308" t="s">
        <v>2746</v>
      </c>
      <c r="V66" s="307"/>
      <c r="W66" s="13" t="s">
        <v>750</v>
      </c>
      <c r="X66" s="13"/>
      <c r="Y66" s="308" t="s">
        <v>2746</v>
      </c>
      <c r="AA66" s="307"/>
      <c r="AB66" s="13" t="s">
        <v>750</v>
      </c>
      <c r="AC66" s="13"/>
      <c r="AD66" s="308" t="s">
        <v>2746</v>
      </c>
      <c r="AF66" s="307"/>
      <c r="AG66" s="13" t="s">
        <v>750</v>
      </c>
      <c r="AH66" s="13"/>
      <c r="AI66" s="308" t="s">
        <v>2746</v>
      </c>
    </row>
    <row r="67" ht="20.1" customHeight="1" spans="14:35">
      <c r="Q67" s="307"/>
      <c r="R67" s="13" t="s">
        <v>2746</v>
      </c>
      <c r="S67" s="13"/>
      <c r="T67" s="308"/>
      <c r="V67" s="307"/>
      <c r="W67" s="13" t="s">
        <v>2746</v>
      </c>
      <c r="X67" s="13"/>
      <c r="Y67" s="308"/>
      <c r="AA67" s="307"/>
      <c r="AB67" s="13" t="s">
        <v>2746</v>
      </c>
      <c r="AC67" s="13"/>
      <c r="AD67" s="308"/>
      <c r="AF67" s="307"/>
      <c r="AG67" s="13" t="s">
        <v>2746</v>
      </c>
      <c r="AH67" s="13"/>
      <c r="AI67" s="308"/>
    </row>
    <row r="68" ht="20.1" customHeight="1" spans="14:35">
      <c r="Q68" s="307"/>
      <c r="R68" s="13" t="s">
        <v>2749</v>
      </c>
      <c r="S68" s="13"/>
      <c r="T68" s="308" t="s">
        <v>2749</v>
      </c>
      <c r="V68" s="307"/>
      <c r="W68" s="13" t="s">
        <v>2749</v>
      </c>
      <c r="X68" s="13"/>
      <c r="Y68" s="308" t="s">
        <v>2749</v>
      </c>
      <c r="AA68" s="307"/>
      <c r="AB68" s="13" t="s">
        <v>2749</v>
      </c>
      <c r="AC68" s="13"/>
      <c r="AD68" s="308" t="s">
        <v>2749</v>
      </c>
      <c r="AF68" s="307"/>
      <c r="AG68" s="13" t="s">
        <v>2749</v>
      </c>
      <c r="AH68" s="13"/>
      <c r="AI68" s="308" t="s">
        <v>2749</v>
      </c>
    </row>
    <row r="69" ht="20.1" customHeight="1" spans="14:35">
      <c r="Q69" s="307"/>
      <c r="R69" s="13" t="s">
        <v>2751</v>
      </c>
      <c r="S69" s="13"/>
      <c r="T69" s="308"/>
      <c r="V69" s="307"/>
      <c r="W69" s="13" t="s">
        <v>2751</v>
      </c>
      <c r="X69" s="13"/>
      <c r="Y69" s="308"/>
      <c r="AA69" s="307"/>
      <c r="AB69" s="13" t="s">
        <v>2751</v>
      </c>
      <c r="AC69" s="13"/>
      <c r="AD69" s="308"/>
      <c r="AF69" s="307"/>
      <c r="AG69" s="13" t="s">
        <v>2751</v>
      </c>
      <c r="AH69" s="13"/>
      <c r="AI69" s="308"/>
    </row>
    <row r="70" ht="20.1" customHeight="1" spans="14:35">
      <c r="Q70" s="315"/>
      <c r="R70" s="316" t="s">
        <v>2743</v>
      </c>
      <c r="S70" s="316"/>
      <c r="T70" s="317" t="s">
        <v>2751</v>
      </c>
      <c r="V70" s="315"/>
      <c r="W70" s="316" t="s">
        <v>2743</v>
      </c>
      <c r="X70" s="316"/>
      <c r="Y70" s="317" t="s">
        <v>2751</v>
      </c>
      <c r="AA70" s="315"/>
      <c r="AB70" s="316" t="s">
        <v>2743</v>
      </c>
      <c r="AC70" s="316"/>
      <c r="AD70" s="317" t="s">
        <v>2751</v>
      </c>
      <c r="AF70" s="315"/>
      <c r="AG70" s="316" t="s">
        <v>2743</v>
      </c>
      <c r="AH70" s="316"/>
      <c r="AI70" s="317" t="s">
        <v>2751</v>
      </c>
    </row>
    <row r="71" ht="20.1" customHeight="1" spans="14:35">
      <c r="P71" s="41"/>
    </row>
    <row r="72" ht="20.1" customHeight="1"/>
    <row r="73" ht="20.1" customHeight="1" spans="14:35">
      <c r="N73" s="319"/>
    </row>
    <row r="74" ht="20.1" customHeight="1" spans="14:35">
      <c r="N74" s="14"/>
    </row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 spans="14:16">
      <c r="P85" s="41"/>
    </row>
    <row r="86" ht="20.1" customHeight="1"/>
    <row r="87" ht="20.1" customHeight="1" spans="14:16">
      <c r="N87" s="319"/>
    </row>
    <row r="88" ht="20.1" customHeight="1" spans="14:16">
      <c r="N88" s="14"/>
    </row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 spans="16:16">
      <c r="P99" s="41"/>
    </row>
    <row r="100" ht="20.1" customHeight="1"/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A6" workbookViewId="0">
      <selection activeCell="H15" sqref="H15"/>
    </sheetView>
  </sheetViews>
  <sheetFormatPr defaultColWidth="9" defaultRowHeight="13.5"/>
  <cols>
    <col min="1" max="1" width="2.5" style="41" customWidth="1"/>
    <col min="2" max="2" width="7.625" style="271" customWidth="1"/>
    <col min="3" max="8" width="35.625" style="41" customWidth="1"/>
    <col min="9" max="11" width="12.625" style="41" customWidth="1"/>
  </cols>
  <sheetData>
    <row r="1" ht="20.1" customHeight="1"/>
    <row r="2" s="268" customFormat="1" ht="20.1" customHeight="1" spans="1:11">
      <c r="A2" s="272"/>
      <c r="B2" s="273"/>
      <c r="C2" s="274" t="s">
        <v>2738</v>
      </c>
      <c r="D2" s="275" t="s">
        <v>750</v>
      </c>
      <c r="E2" s="276" t="s">
        <v>2746</v>
      </c>
      <c r="F2" s="277" t="s">
        <v>2749</v>
      </c>
      <c r="G2" s="278" t="s">
        <v>2751</v>
      </c>
      <c r="H2" s="172" t="s">
        <v>2743</v>
      </c>
      <c r="I2" s="272"/>
      <c r="J2" s="272"/>
      <c r="K2" s="272"/>
    </row>
    <row r="3" s="269" customFormat="1" ht="45" customHeight="1" spans="1:11">
      <c r="A3" s="271"/>
      <c r="B3" s="279" t="s">
        <v>2884</v>
      </c>
      <c r="C3" s="280" t="s">
        <v>2885</v>
      </c>
      <c r="D3" s="281" t="s">
        <v>2886</v>
      </c>
      <c r="E3" s="282" t="s">
        <v>2887</v>
      </c>
      <c r="F3" s="283" t="s">
        <v>2888</v>
      </c>
      <c r="G3" s="284" t="s">
        <v>2889</v>
      </c>
      <c r="H3" s="285" t="s">
        <v>2890</v>
      </c>
      <c r="I3" s="271"/>
      <c r="J3" s="271"/>
      <c r="K3" s="271"/>
    </row>
    <row r="4" s="269" customFormat="1" ht="45" customHeight="1" spans="1:11">
      <c r="A4" s="271"/>
      <c r="B4" s="286" t="s">
        <v>2891</v>
      </c>
      <c r="C4" s="280" t="s">
        <v>2892</v>
      </c>
      <c r="D4" s="281" t="s">
        <v>2893</v>
      </c>
      <c r="E4" s="282" t="s">
        <v>2894</v>
      </c>
      <c r="F4" s="283" t="s">
        <v>2895</v>
      </c>
      <c r="G4" s="284" t="s">
        <v>2896</v>
      </c>
      <c r="H4" s="285" t="s">
        <v>2897</v>
      </c>
      <c r="I4" s="271"/>
      <c r="J4" s="271"/>
      <c r="K4" s="271"/>
    </row>
    <row r="5" s="269" customFormat="1" ht="45" customHeight="1" spans="1:11">
      <c r="A5" s="271"/>
      <c r="B5" s="286" t="s">
        <v>2898</v>
      </c>
      <c r="C5" s="280" t="s">
        <v>2899</v>
      </c>
      <c r="D5" s="281" t="s">
        <v>2900</v>
      </c>
      <c r="E5" s="282" t="s">
        <v>2901</v>
      </c>
      <c r="F5" s="283" t="s">
        <v>2902</v>
      </c>
      <c r="G5" s="284" t="s">
        <v>2903</v>
      </c>
      <c r="H5" s="285" t="s">
        <v>2904</v>
      </c>
      <c r="I5" s="271"/>
      <c r="J5" s="271"/>
      <c r="K5" s="271"/>
    </row>
    <row r="6" s="269" customFormat="1" ht="45" customHeight="1" spans="1:11">
      <c r="A6" s="271"/>
      <c r="B6" s="286" t="s">
        <v>2905</v>
      </c>
      <c r="C6" s="280" t="s">
        <v>2906</v>
      </c>
      <c r="D6" s="281" t="s">
        <v>2907</v>
      </c>
      <c r="E6" s="282" t="s">
        <v>2908</v>
      </c>
      <c r="F6" s="283" t="s">
        <v>2909</v>
      </c>
      <c r="G6" s="284" t="s">
        <v>2910</v>
      </c>
      <c r="H6" s="285" t="s">
        <v>2911</v>
      </c>
      <c r="I6" s="271"/>
      <c r="J6" s="271"/>
      <c r="K6" s="271"/>
    </row>
    <row r="7" s="270" customFormat="1" ht="75" customHeight="1" spans="1:11">
      <c r="A7" s="287"/>
      <c r="B7" s="288" t="s">
        <v>2912</v>
      </c>
      <c r="C7" s="289" t="s">
        <v>2913</v>
      </c>
      <c r="D7" s="290" t="s">
        <v>2914</v>
      </c>
      <c r="E7" s="291" t="s">
        <v>2915</v>
      </c>
      <c r="F7" s="292" t="s">
        <v>2916</v>
      </c>
      <c r="G7" s="293" t="s">
        <v>2917</v>
      </c>
      <c r="H7" s="294" t="s">
        <v>2918</v>
      </c>
      <c r="I7" s="287"/>
      <c r="J7" s="287"/>
      <c r="K7" s="287"/>
    </row>
    <row r="8" spans="1:11">
      <c r="C8" s="295"/>
    </row>
    <row r="9" spans="1:11">
      <c r="C9" s="295"/>
    </row>
    <row r="11" ht="20.1" customHeight="1" spans="1:11">
      <c r="B11" s="273"/>
      <c r="C11" s="274" t="s">
        <v>2738</v>
      </c>
      <c r="D11" s="275" t="s">
        <v>750</v>
      </c>
      <c r="E11" s="276" t="s">
        <v>2746</v>
      </c>
    </row>
    <row r="12" ht="45" customHeight="1" spans="1:11">
      <c r="B12" s="279" t="s">
        <v>2884</v>
      </c>
      <c r="C12" s="280" t="s">
        <v>2885</v>
      </c>
      <c r="D12" s="281" t="s">
        <v>2886</v>
      </c>
      <c r="E12" s="282" t="s">
        <v>2887</v>
      </c>
    </row>
    <row r="13" ht="45" customHeight="1" spans="1:11">
      <c r="B13" s="286" t="s">
        <v>2891</v>
      </c>
      <c r="C13" s="280" t="s">
        <v>2892</v>
      </c>
      <c r="D13" s="281" t="s">
        <v>2893</v>
      </c>
      <c r="E13" s="282" t="s">
        <v>2894</v>
      </c>
    </row>
    <row r="14" ht="45" customHeight="1" spans="1:11">
      <c r="B14" s="286" t="s">
        <v>2898</v>
      </c>
      <c r="C14" s="280" t="s">
        <v>2899</v>
      </c>
      <c r="D14" s="281" t="s">
        <v>2900</v>
      </c>
      <c r="E14" s="282" t="s">
        <v>2901</v>
      </c>
    </row>
    <row r="15" ht="45" customHeight="1" spans="1:11">
      <c r="B15" s="286" t="s">
        <v>2905</v>
      </c>
      <c r="C15" s="280" t="s">
        <v>2906</v>
      </c>
      <c r="D15" s="281" t="s">
        <v>2907</v>
      </c>
      <c r="E15" s="282" t="s">
        <v>2908</v>
      </c>
    </row>
    <row r="16" ht="75" customHeight="1" spans="1:11">
      <c r="B16" s="288" t="s">
        <v>2912</v>
      </c>
      <c r="C16" s="289" t="s">
        <v>2913</v>
      </c>
      <c r="D16" s="290" t="s">
        <v>2914</v>
      </c>
      <c r="E16" s="291" t="s">
        <v>2915</v>
      </c>
    </row>
    <row r="17" spans="2:5">
      <c r="C17" s="295"/>
    </row>
    <row r="18" ht="20.1" customHeight="1" spans="2:5">
      <c r="B18" s="273"/>
      <c r="C18" s="277" t="s">
        <v>2749</v>
      </c>
      <c r="D18" s="278" t="s">
        <v>2751</v>
      </c>
      <c r="E18" s="172" t="s">
        <v>2743</v>
      </c>
    </row>
    <row r="19" ht="45" customHeight="1" spans="2:5">
      <c r="B19" s="279" t="s">
        <v>2884</v>
      </c>
      <c r="C19" s="283" t="s">
        <v>2888</v>
      </c>
      <c r="D19" s="284" t="s">
        <v>2889</v>
      </c>
      <c r="E19" s="285" t="s">
        <v>2890</v>
      </c>
    </row>
    <row r="20" ht="45" customHeight="1" spans="2:5">
      <c r="B20" s="286" t="s">
        <v>2891</v>
      </c>
      <c r="C20" s="283" t="s">
        <v>2895</v>
      </c>
      <c r="D20" s="284" t="s">
        <v>2896</v>
      </c>
      <c r="E20" s="285" t="s">
        <v>2897</v>
      </c>
    </row>
    <row r="21" ht="45" customHeight="1" spans="2:5">
      <c r="B21" s="286" t="s">
        <v>2898</v>
      </c>
      <c r="C21" s="283" t="s">
        <v>2902</v>
      </c>
      <c r="D21" s="284" t="s">
        <v>2903</v>
      </c>
      <c r="E21" s="285" t="s">
        <v>2904</v>
      </c>
    </row>
    <row r="22" ht="45" customHeight="1" spans="2:5">
      <c r="B22" s="286" t="s">
        <v>2905</v>
      </c>
      <c r="C22" s="283" t="s">
        <v>2909</v>
      </c>
      <c r="D22" s="284" t="s">
        <v>2910</v>
      </c>
      <c r="E22" s="285" t="s">
        <v>2911</v>
      </c>
    </row>
    <row r="23" ht="75" customHeight="1" spans="2:5">
      <c r="B23" s="288" t="s">
        <v>2912</v>
      </c>
      <c r="C23" s="292" t="s">
        <v>2916</v>
      </c>
      <c r="D23" s="293" t="s">
        <v>2917</v>
      </c>
      <c r="E23" s="294" t="s">
        <v>2918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07"/>
  <sheetViews>
    <sheetView workbookViewId="0">
      <selection activeCell="H205" sqref="H205"/>
    </sheetView>
  </sheetViews>
  <sheetFormatPr defaultColWidth="9" defaultRowHeight="14.25"/>
  <cols>
    <col min="1" max="1" width="9" style="259"/>
    <col min="2" max="2" width="18.625" style="259" customWidth="1"/>
    <col min="3" max="5" width="15.625" style="260" customWidth="1"/>
    <col min="6" max="6" width="17.625" style="260" customWidth="1"/>
    <col min="7" max="9" width="15.625" style="260" customWidth="1"/>
    <col min="10" max="16384" width="9" style="259"/>
  </cols>
  <sheetData>
    <row r="3" ht="18" customHeight="1" spans="2:9">
      <c r="B3" s="261"/>
      <c r="C3" s="262" t="s">
        <v>2919</v>
      </c>
      <c r="D3" s="262" t="s">
        <v>2920</v>
      </c>
      <c r="E3" s="262" t="s">
        <v>2921</v>
      </c>
      <c r="F3" s="262" t="s">
        <v>191</v>
      </c>
      <c r="G3" s="262" t="s">
        <v>192</v>
      </c>
      <c r="H3" s="262" t="s">
        <v>189</v>
      </c>
      <c r="I3" s="262" t="s">
        <v>2922</v>
      </c>
    </row>
    <row r="4" ht="18" customHeight="1" spans="2:9">
      <c r="B4" s="263" t="s">
        <v>2923</v>
      </c>
      <c r="C4" s="263">
        <v>70</v>
      </c>
      <c r="D4" s="263">
        <v>10325</v>
      </c>
      <c r="E4" s="263">
        <v>406</v>
      </c>
      <c r="F4" s="263">
        <v>93222</v>
      </c>
      <c r="G4" s="263">
        <v>93222</v>
      </c>
      <c r="H4" s="263">
        <v>745780</v>
      </c>
      <c r="I4" s="263">
        <v>9</v>
      </c>
    </row>
    <row r="5" ht="18" customHeight="1" spans="2:9">
      <c r="B5" s="261"/>
      <c r="C5" s="263">
        <v>90</v>
      </c>
      <c r="D5" s="263">
        <v>19470</v>
      </c>
      <c r="E5" s="263">
        <v>739</v>
      </c>
      <c r="F5" s="263">
        <v>170847</v>
      </c>
      <c r="G5" s="263">
        <v>170847</v>
      </c>
      <c r="H5" s="263">
        <v>1366780</v>
      </c>
      <c r="I5" s="263">
        <v>15</v>
      </c>
    </row>
    <row r="6" ht="18" customHeight="1"/>
    <row r="7" ht="18" customHeight="1"/>
    <row r="8" ht="18" customHeight="1"/>
    <row r="9" ht="18" customHeight="1" spans="2:9">
      <c r="B9" s="261"/>
      <c r="C9" s="263" t="s">
        <v>2924</v>
      </c>
      <c r="D9" s="263" t="s">
        <v>2920</v>
      </c>
      <c r="E9" s="263" t="s">
        <v>2921</v>
      </c>
      <c r="F9" s="263" t="s">
        <v>2925</v>
      </c>
      <c r="G9" s="264"/>
    </row>
    <row r="10" ht="18" customHeight="1" spans="2:9">
      <c r="B10" s="262" t="s">
        <v>2926</v>
      </c>
      <c r="C10" s="262">
        <v>40</v>
      </c>
      <c r="D10" s="262">
        <v>1220</v>
      </c>
      <c r="E10" s="262">
        <v>40</v>
      </c>
      <c r="F10" s="262">
        <v>200</v>
      </c>
    </row>
    <row r="11" ht="18" customHeight="1" spans="2:9">
      <c r="B11" s="263" t="s">
        <v>2927</v>
      </c>
      <c r="C11" s="263">
        <v>50</v>
      </c>
      <c r="D11" s="263">
        <v>1775</v>
      </c>
      <c r="E11" s="263">
        <v>50</v>
      </c>
      <c r="F11" s="263">
        <v>250</v>
      </c>
    </row>
    <row r="12" ht="18" customHeight="1" spans="2:9">
      <c r="B12" s="263" t="s">
        <v>2928</v>
      </c>
      <c r="C12" s="263">
        <v>60</v>
      </c>
      <c r="D12" s="263">
        <v>2430</v>
      </c>
      <c r="E12" s="263">
        <v>60</v>
      </c>
      <c r="F12" s="263">
        <v>300</v>
      </c>
    </row>
    <row r="13" ht="18" customHeight="1" spans="2:9">
      <c r="B13" s="263" t="s">
        <v>2929</v>
      </c>
      <c r="C13" s="263">
        <v>70</v>
      </c>
      <c r="D13" s="263">
        <v>3185</v>
      </c>
      <c r="E13" s="263">
        <v>70</v>
      </c>
      <c r="F13" s="263">
        <v>350</v>
      </c>
    </row>
    <row r="14" ht="18" customHeight="1" spans="2:9">
      <c r="B14" s="263" t="s">
        <v>2930</v>
      </c>
      <c r="C14" s="263">
        <v>80</v>
      </c>
      <c r="D14" s="263">
        <v>4040</v>
      </c>
      <c r="E14" s="263">
        <v>80</v>
      </c>
      <c r="F14" s="263">
        <v>400</v>
      </c>
    </row>
    <row r="15" ht="18" customHeight="1" spans="2:9">
      <c r="B15" s="263" t="s">
        <v>2931</v>
      </c>
      <c r="C15" s="263">
        <v>90</v>
      </c>
      <c r="D15" s="263">
        <v>4995</v>
      </c>
      <c r="E15" s="263">
        <v>90</v>
      </c>
      <c r="F15" s="263">
        <v>450</v>
      </c>
    </row>
    <row r="16" ht="18" customHeight="1"/>
    <row r="17" ht="18" customHeight="1"/>
    <row r="20" spans="2:9">
      <c r="B20" s="265" t="s">
        <v>2919</v>
      </c>
      <c r="C20" s="265" t="s">
        <v>191</v>
      </c>
      <c r="D20" s="265" t="s">
        <v>192</v>
      </c>
      <c r="E20" s="265" t="s">
        <v>189</v>
      </c>
      <c r="F20" s="265" t="s">
        <v>2922</v>
      </c>
      <c r="G20" s="265" t="s">
        <v>2920</v>
      </c>
      <c r="H20" s="265" t="s">
        <v>2921</v>
      </c>
      <c r="I20" s="265" t="s">
        <v>2932</v>
      </c>
    </row>
    <row r="21" spans="2:9">
      <c r="B21" s="265">
        <v>1</v>
      </c>
      <c r="C21" s="265">
        <v>472</v>
      </c>
      <c r="D21" s="265">
        <v>472</v>
      </c>
      <c r="E21" s="265">
        <v>3776</v>
      </c>
      <c r="F21" s="265">
        <v>0</v>
      </c>
      <c r="G21" s="265">
        <v>12</v>
      </c>
      <c r="H21" s="265">
        <v>1</v>
      </c>
      <c r="I21" s="265"/>
    </row>
    <row r="22" spans="2:9">
      <c r="B22" s="265">
        <v>2</v>
      </c>
      <c r="C22" s="265">
        <v>945</v>
      </c>
      <c r="D22" s="265">
        <v>945</v>
      </c>
      <c r="E22" s="265">
        <v>7564</v>
      </c>
      <c r="F22" s="265">
        <v>0</v>
      </c>
      <c r="G22" s="265">
        <f t="shared" ref="G22:G29" si="0">G21+2</f>
        <v>14</v>
      </c>
      <c r="H22" s="265">
        <v>1</v>
      </c>
      <c r="I22" s="265"/>
    </row>
    <row r="23" spans="2:9">
      <c r="B23" s="265">
        <v>3</v>
      </c>
      <c r="C23" s="265">
        <v>1432</v>
      </c>
      <c r="D23" s="265">
        <v>1432</v>
      </c>
      <c r="E23" s="265">
        <v>11460</v>
      </c>
      <c r="F23" s="265">
        <v>0</v>
      </c>
      <c r="G23" s="265">
        <f t="shared" si="0"/>
        <v>16</v>
      </c>
      <c r="H23" s="265">
        <v>1</v>
      </c>
      <c r="I23" s="265"/>
    </row>
    <row r="24" spans="2:9">
      <c r="B24" s="265">
        <v>4</v>
      </c>
      <c r="C24" s="265">
        <v>1932</v>
      </c>
      <c r="D24" s="265">
        <v>1932</v>
      </c>
      <c r="E24" s="265">
        <v>15460</v>
      </c>
      <c r="F24" s="265">
        <v>0</v>
      </c>
      <c r="G24" s="265">
        <f t="shared" si="0"/>
        <v>18</v>
      </c>
      <c r="H24" s="265">
        <v>1</v>
      </c>
      <c r="I24" s="265"/>
    </row>
    <row r="25" spans="2:9">
      <c r="B25" s="265">
        <v>5</v>
      </c>
      <c r="C25" s="265">
        <v>2445</v>
      </c>
      <c r="D25" s="265">
        <v>2445</v>
      </c>
      <c r="E25" s="265">
        <v>19564</v>
      </c>
      <c r="F25" s="265">
        <v>0</v>
      </c>
      <c r="G25" s="265">
        <f t="shared" si="0"/>
        <v>20</v>
      </c>
      <c r="H25" s="265">
        <v>1</v>
      </c>
      <c r="I25" s="265"/>
    </row>
    <row r="26" spans="2:9">
      <c r="B26" s="265">
        <v>6</v>
      </c>
      <c r="C26" s="265">
        <v>2972</v>
      </c>
      <c r="D26" s="265">
        <v>2972</v>
      </c>
      <c r="E26" s="265">
        <v>23780</v>
      </c>
      <c r="F26" s="265">
        <v>0</v>
      </c>
      <c r="G26" s="265">
        <f t="shared" si="0"/>
        <v>22</v>
      </c>
      <c r="H26" s="265">
        <v>1</v>
      </c>
      <c r="I26" s="265"/>
    </row>
    <row r="27" spans="2:9">
      <c r="B27" s="265">
        <v>7</v>
      </c>
      <c r="C27" s="265">
        <v>3513</v>
      </c>
      <c r="D27" s="265">
        <v>3513</v>
      </c>
      <c r="E27" s="265">
        <v>28108</v>
      </c>
      <c r="F27" s="265">
        <v>0</v>
      </c>
      <c r="G27" s="265">
        <f t="shared" si="0"/>
        <v>24</v>
      </c>
      <c r="H27" s="265">
        <v>1</v>
      </c>
      <c r="I27" s="265"/>
    </row>
    <row r="28" spans="2:9">
      <c r="B28" s="265">
        <v>8</v>
      </c>
      <c r="C28" s="265">
        <v>4069</v>
      </c>
      <c r="D28" s="265">
        <v>4069</v>
      </c>
      <c r="E28" s="265">
        <v>32556</v>
      </c>
      <c r="F28" s="265">
        <v>0</v>
      </c>
      <c r="G28" s="265">
        <f t="shared" si="0"/>
        <v>26</v>
      </c>
      <c r="H28" s="265">
        <v>1</v>
      </c>
      <c r="I28" s="265"/>
    </row>
    <row r="29" spans="2:9">
      <c r="B29" s="265">
        <v>9</v>
      </c>
      <c r="C29" s="265">
        <v>4640</v>
      </c>
      <c r="D29" s="265">
        <v>4640</v>
      </c>
      <c r="E29" s="265">
        <v>37124</v>
      </c>
      <c r="F29" s="265">
        <v>0</v>
      </c>
      <c r="G29" s="265">
        <f t="shared" si="0"/>
        <v>28</v>
      </c>
      <c r="H29" s="265">
        <v>1</v>
      </c>
      <c r="I29" s="265"/>
    </row>
    <row r="30" spans="2:9">
      <c r="B30" s="265">
        <v>10</v>
      </c>
      <c r="C30" s="265">
        <v>5226</v>
      </c>
      <c r="D30" s="265">
        <v>5226</v>
      </c>
      <c r="E30" s="265">
        <v>41812</v>
      </c>
      <c r="F30" s="265">
        <v>1</v>
      </c>
      <c r="G30" s="265">
        <v>30</v>
      </c>
      <c r="H30" s="265">
        <v>5</v>
      </c>
      <c r="I30" s="265"/>
    </row>
    <row r="31" spans="2:9">
      <c r="B31" s="265">
        <v>11</v>
      </c>
      <c r="C31" s="265">
        <v>5828</v>
      </c>
      <c r="D31" s="265">
        <v>5828</v>
      </c>
      <c r="E31" s="265">
        <v>46628</v>
      </c>
      <c r="F31" s="265">
        <v>1</v>
      </c>
      <c r="G31" s="265">
        <v>33</v>
      </c>
      <c r="H31" s="265">
        <v>2</v>
      </c>
      <c r="I31" s="265"/>
    </row>
    <row r="32" spans="2:9">
      <c r="B32" s="265">
        <v>12</v>
      </c>
      <c r="C32" s="265">
        <v>6446</v>
      </c>
      <c r="D32" s="265">
        <v>6446</v>
      </c>
      <c r="E32" s="265">
        <v>51572</v>
      </c>
      <c r="F32" s="265">
        <v>1</v>
      </c>
      <c r="G32" s="265">
        <f t="shared" ref="G32:G40" si="1">G31+3</f>
        <v>36</v>
      </c>
      <c r="H32" s="265">
        <v>2</v>
      </c>
      <c r="I32" s="265"/>
    </row>
    <row r="33" spans="2:9">
      <c r="B33" s="265">
        <v>13</v>
      </c>
      <c r="C33" s="265">
        <v>7081</v>
      </c>
      <c r="D33" s="265">
        <v>7081</v>
      </c>
      <c r="E33" s="265">
        <v>56652</v>
      </c>
      <c r="F33" s="265">
        <v>1</v>
      </c>
      <c r="G33" s="265">
        <f t="shared" si="1"/>
        <v>39</v>
      </c>
      <c r="H33" s="265">
        <v>2</v>
      </c>
      <c r="I33" s="265"/>
    </row>
    <row r="34" spans="2:9">
      <c r="B34" s="265">
        <v>14</v>
      </c>
      <c r="C34" s="265">
        <v>7733</v>
      </c>
      <c r="D34" s="265">
        <v>7733</v>
      </c>
      <c r="E34" s="265">
        <v>61868</v>
      </c>
      <c r="F34" s="265">
        <v>1</v>
      </c>
      <c r="G34" s="265">
        <f t="shared" si="1"/>
        <v>42</v>
      </c>
      <c r="H34" s="265">
        <v>2</v>
      </c>
      <c r="I34" s="265"/>
    </row>
    <row r="35" spans="2:9">
      <c r="B35" s="265">
        <v>15</v>
      </c>
      <c r="C35" s="265">
        <v>8403</v>
      </c>
      <c r="D35" s="265">
        <v>8403</v>
      </c>
      <c r="E35" s="265">
        <v>67228</v>
      </c>
      <c r="F35" s="265">
        <v>1</v>
      </c>
      <c r="G35" s="265">
        <f t="shared" si="1"/>
        <v>45</v>
      </c>
      <c r="H35" s="265">
        <v>2</v>
      </c>
      <c r="I35" s="265"/>
    </row>
    <row r="36" spans="2:9">
      <c r="B36" s="265">
        <v>16</v>
      </c>
      <c r="C36" s="265">
        <v>9091</v>
      </c>
      <c r="D36" s="265">
        <v>9091</v>
      </c>
      <c r="E36" s="265">
        <v>72732</v>
      </c>
      <c r="F36" s="265">
        <v>1</v>
      </c>
      <c r="G36" s="265">
        <f t="shared" si="1"/>
        <v>48</v>
      </c>
      <c r="H36" s="265">
        <v>2</v>
      </c>
      <c r="I36" s="265"/>
    </row>
    <row r="37" spans="2:9">
      <c r="B37" s="265">
        <v>17</v>
      </c>
      <c r="C37" s="265">
        <v>9798</v>
      </c>
      <c r="D37" s="265">
        <v>9798</v>
      </c>
      <c r="E37" s="265">
        <v>78388</v>
      </c>
      <c r="F37" s="265">
        <v>1</v>
      </c>
      <c r="G37" s="265">
        <f t="shared" si="1"/>
        <v>51</v>
      </c>
      <c r="H37" s="265">
        <v>2</v>
      </c>
      <c r="I37" s="265"/>
    </row>
    <row r="38" spans="2:9">
      <c r="B38" s="265">
        <v>18</v>
      </c>
      <c r="C38" s="265">
        <v>10524</v>
      </c>
      <c r="D38" s="265">
        <v>10524</v>
      </c>
      <c r="E38" s="265">
        <v>84196</v>
      </c>
      <c r="F38" s="265">
        <v>1</v>
      </c>
      <c r="G38" s="265">
        <f t="shared" si="1"/>
        <v>54</v>
      </c>
      <c r="H38" s="265">
        <v>2</v>
      </c>
      <c r="I38" s="265"/>
    </row>
    <row r="39" spans="2:9">
      <c r="B39" s="265">
        <v>19</v>
      </c>
      <c r="C39" s="265">
        <v>11269</v>
      </c>
      <c r="D39" s="265">
        <v>11269</v>
      </c>
      <c r="E39" s="265">
        <v>90156</v>
      </c>
      <c r="F39" s="265">
        <v>1</v>
      </c>
      <c r="G39" s="265">
        <f t="shared" si="1"/>
        <v>57</v>
      </c>
      <c r="H39" s="265">
        <v>2</v>
      </c>
      <c r="I39" s="265"/>
    </row>
    <row r="40" spans="2:9">
      <c r="B40" s="265">
        <v>20</v>
      </c>
      <c r="C40" s="265">
        <v>12034</v>
      </c>
      <c r="D40" s="265">
        <v>12034</v>
      </c>
      <c r="E40" s="265">
        <v>96276</v>
      </c>
      <c r="F40" s="265">
        <v>2</v>
      </c>
      <c r="G40" s="265">
        <f t="shared" si="1"/>
        <v>60</v>
      </c>
      <c r="H40" s="265">
        <v>10</v>
      </c>
      <c r="I40" s="265"/>
    </row>
    <row r="41" spans="2:9">
      <c r="B41" s="265">
        <v>21</v>
      </c>
      <c r="C41" s="265">
        <v>12820</v>
      </c>
      <c r="D41" s="265">
        <v>12820</v>
      </c>
      <c r="E41" s="265">
        <v>102564</v>
      </c>
      <c r="F41" s="265">
        <v>2</v>
      </c>
      <c r="G41" s="265">
        <v>64</v>
      </c>
      <c r="H41" s="265">
        <v>3</v>
      </c>
      <c r="I41" s="265"/>
    </row>
    <row r="42" spans="2:9">
      <c r="B42" s="265">
        <v>22</v>
      </c>
      <c r="C42" s="265">
        <v>13627</v>
      </c>
      <c r="D42" s="265">
        <v>13627</v>
      </c>
      <c r="E42" s="265">
        <v>109020</v>
      </c>
      <c r="F42" s="265">
        <v>2</v>
      </c>
      <c r="G42" s="265">
        <f t="shared" ref="G42:G50" si="2">G41+4</f>
        <v>68</v>
      </c>
      <c r="H42" s="265">
        <v>3</v>
      </c>
      <c r="I42" s="265"/>
    </row>
    <row r="43" spans="2:9">
      <c r="B43" s="265">
        <v>23</v>
      </c>
      <c r="C43" s="265">
        <v>14456</v>
      </c>
      <c r="D43" s="265">
        <v>14456</v>
      </c>
      <c r="E43" s="265">
        <v>115652</v>
      </c>
      <c r="F43" s="265">
        <v>2</v>
      </c>
      <c r="G43" s="265">
        <f t="shared" si="2"/>
        <v>72</v>
      </c>
      <c r="H43" s="265">
        <v>3</v>
      </c>
      <c r="I43" s="265"/>
    </row>
    <row r="44" spans="2:9">
      <c r="B44" s="265">
        <v>24</v>
      </c>
      <c r="C44" s="265">
        <v>15307</v>
      </c>
      <c r="D44" s="265">
        <v>15307</v>
      </c>
      <c r="E44" s="265">
        <v>122460</v>
      </c>
      <c r="F44" s="265">
        <v>2</v>
      </c>
      <c r="G44" s="265">
        <f t="shared" si="2"/>
        <v>76</v>
      </c>
      <c r="H44" s="265">
        <v>3</v>
      </c>
      <c r="I44" s="265"/>
    </row>
    <row r="45" spans="2:9">
      <c r="B45" s="265">
        <v>25</v>
      </c>
      <c r="C45" s="265">
        <v>16181</v>
      </c>
      <c r="D45" s="265">
        <v>16181</v>
      </c>
      <c r="E45" s="265">
        <v>129452</v>
      </c>
      <c r="F45" s="265">
        <v>2</v>
      </c>
      <c r="G45" s="265">
        <f t="shared" si="2"/>
        <v>80</v>
      </c>
      <c r="H45" s="265">
        <v>3</v>
      </c>
      <c r="I45" s="265"/>
    </row>
    <row r="46" spans="2:9">
      <c r="B46" s="265">
        <v>26</v>
      </c>
      <c r="C46" s="265">
        <v>17079</v>
      </c>
      <c r="D46" s="265">
        <v>17079</v>
      </c>
      <c r="E46" s="265">
        <v>136636</v>
      </c>
      <c r="F46" s="265">
        <v>2</v>
      </c>
      <c r="G46" s="265">
        <f t="shared" si="2"/>
        <v>84</v>
      </c>
      <c r="H46" s="265">
        <v>3</v>
      </c>
      <c r="I46" s="265"/>
    </row>
    <row r="47" spans="2:9">
      <c r="B47" s="265">
        <v>27</v>
      </c>
      <c r="C47" s="265">
        <v>18001</v>
      </c>
      <c r="D47" s="265">
        <v>18001</v>
      </c>
      <c r="E47" s="265">
        <v>144012</v>
      </c>
      <c r="F47" s="265">
        <v>2</v>
      </c>
      <c r="G47" s="265">
        <f t="shared" si="2"/>
        <v>88</v>
      </c>
      <c r="H47" s="265">
        <v>3</v>
      </c>
      <c r="I47" s="265"/>
    </row>
    <row r="48" spans="2:9">
      <c r="B48" s="265">
        <v>28</v>
      </c>
      <c r="C48" s="265">
        <v>18948</v>
      </c>
      <c r="D48" s="265">
        <v>18948</v>
      </c>
      <c r="E48" s="265">
        <v>151588</v>
      </c>
      <c r="F48" s="265">
        <v>2</v>
      </c>
      <c r="G48" s="265">
        <f t="shared" si="2"/>
        <v>92</v>
      </c>
      <c r="H48" s="265">
        <v>3</v>
      </c>
      <c r="I48" s="265"/>
    </row>
    <row r="49" spans="2:9">
      <c r="B49" s="265">
        <v>29</v>
      </c>
      <c r="C49" s="265">
        <v>19921</v>
      </c>
      <c r="D49" s="265">
        <v>19921</v>
      </c>
      <c r="E49" s="265">
        <v>159372</v>
      </c>
      <c r="F49" s="265">
        <v>2</v>
      </c>
      <c r="G49" s="265">
        <f t="shared" si="2"/>
        <v>96</v>
      </c>
      <c r="H49" s="265">
        <v>3</v>
      </c>
      <c r="I49" s="265"/>
    </row>
    <row r="50" spans="2:9">
      <c r="B50" s="265">
        <v>30</v>
      </c>
      <c r="C50" s="265">
        <v>20920</v>
      </c>
      <c r="D50" s="265">
        <v>20920</v>
      </c>
      <c r="E50" s="265">
        <v>167364</v>
      </c>
      <c r="F50" s="265">
        <v>3</v>
      </c>
      <c r="G50" s="265">
        <f t="shared" si="2"/>
        <v>100</v>
      </c>
      <c r="H50" s="265">
        <v>15</v>
      </c>
      <c r="I50" s="265"/>
    </row>
    <row r="51" spans="2:9">
      <c r="B51" s="265">
        <v>31</v>
      </c>
      <c r="C51" s="265">
        <v>21946</v>
      </c>
      <c r="D51" s="265">
        <v>21946</v>
      </c>
      <c r="E51" s="265">
        <v>175572</v>
      </c>
      <c r="F51" s="265">
        <v>3</v>
      </c>
      <c r="G51" s="265">
        <v>105</v>
      </c>
      <c r="H51" s="265">
        <v>4</v>
      </c>
      <c r="I51" s="265"/>
    </row>
    <row r="52" spans="2:9">
      <c r="B52" s="265">
        <v>32</v>
      </c>
      <c r="C52" s="265">
        <v>23000</v>
      </c>
      <c r="D52" s="265">
        <v>23000</v>
      </c>
      <c r="E52" s="265">
        <v>184004</v>
      </c>
      <c r="F52" s="265">
        <v>3</v>
      </c>
      <c r="G52" s="265">
        <f t="shared" ref="G52:G60" si="3">G51+5</f>
        <v>110</v>
      </c>
      <c r="H52" s="265">
        <v>4</v>
      </c>
      <c r="I52" s="265"/>
    </row>
    <row r="53" spans="2:9">
      <c r="B53" s="265">
        <v>33</v>
      </c>
      <c r="C53" s="265">
        <v>24082</v>
      </c>
      <c r="D53" s="265">
        <v>24082</v>
      </c>
      <c r="E53" s="265">
        <v>192660</v>
      </c>
      <c r="F53" s="265">
        <v>3</v>
      </c>
      <c r="G53" s="265">
        <f t="shared" si="3"/>
        <v>115</v>
      </c>
      <c r="H53" s="265">
        <v>4</v>
      </c>
      <c r="I53" s="265"/>
    </row>
    <row r="54" spans="2:9">
      <c r="B54" s="265">
        <v>34</v>
      </c>
      <c r="C54" s="265">
        <v>25193</v>
      </c>
      <c r="D54" s="265">
        <v>25193</v>
      </c>
      <c r="E54" s="265">
        <v>201548</v>
      </c>
      <c r="F54" s="265">
        <v>3</v>
      </c>
      <c r="G54" s="265">
        <f t="shared" si="3"/>
        <v>120</v>
      </c>
      <c r="H54" s="265">
        <v>4</v>
      </c>
      <c r="I54" s="265"/>
    </row>
    <row r="55" spans="2:9">
      <c r="B55" s="265">
        <v>35</v>
      </c>
      <c r="C55" s="265">
        <v>26334</v>
      </c>
      <c r="D55" s="265">
        <v>26334</v>
      </c>
      <c r="E55" s="265">
        <v>210676</v>
      </c>
      <c r="F55" s="265">
        <v>3</v>
      </c>
      <c r="G55" s="265">
        <f t="shared" si="3"/>
        <v>125</v>
      </c>
      <c r="H55" s="265">
        <v>4</v>
      </c>
      <c r="I55" s="265"/>
    </row>
    <row r="56" spans="2:9">
      <c r="B56" s="265">
        <v>36</v>
      </c>
      <c r="C56" s="265">
        <v>27506</v>
      </c>
      <c r="D56" s="265">
        <v>27506</v>
      </c>
      <c r="E56" s="265">
        <v>220052</v>
      </c>
      <c r="F56" s="265">
        <v>3</v>
      </c>
      <c r="G56" s="265">
        <f t="shared" si="3"/>
        <v>130</v>
      </c>
      <c r="H56" s="265">
        <v>4</v>
      </c>
      <c r="I56" s="265"/>
    </row>
    <row r="57" spans="2:9">
      <c r="B57" s="265">
        <v>37</v>
      </c>
      <c r="C57" s="265">
        <v>28710</v>
      </c>
      <c r="D57" s="265">
        <v>28710</v>
      </c>
      <c r="E57" s="265">
        <v>229684</v>
      </c>
      <c r="F57" s="265">
        <v>3</v>
      </c>
      <c r="G57" s="265">
        <f t="shared" si="3"/>
        <v>135</v>
      </c>
      <c r="H57" s="265">
        <v>4</v>
      </c>
      <c r="I57" s="265"/>
    </row>
    <row r="58" spans="2:9">
      <c r="B58" s="265">
        <v>38</v>
      </c>
      <c r="C58" s="265">
        <v>29946</v>
      </c>
      <c r="D58" s="265">
        <v>29946</v>
      </c>
      <c r="E58" s="265">
        <v>239572</v>
      </c>
      <c r="F58" s="265">
        <v>3</v>
      </c>
      <c r="G58" s="265">
        <f t="shared" si="3"/>
        <v>140</v>
      </c>
      <c r="H58" s="265">
        <v>4</v>
      </c>
      <c r="I58" s="265"/>
    </row>
    <row r="59" spans="2:9">
      <c r="B59" s="265">
        <v>39</v>
      </c>
      <c r="C59" s="265">
        <v>31216</v>
      </c>
      <c r="D59" s="265">
        <v>31216</v>
      </c>
      <c r="E59" s="265">
        <v>249732</v>
      </c>
      <c r="F59" s="265">
        <v>3</v>
      </c>
      <c r="G59" s="265">
        <f t="shared" si="3"/>
        <v>145</v>
      </c>
      <c r="H59" s="265">
        <v>4</v>
      </c>
      <c r="I59" s="265"/>
    </row>
    <row r="60" spans="2:9">
      <c r="B60" s="265">
        <v>40</v>
      </c>
      <c r="C60" s="265">
        <v>32520</v>
      </c>
      <c r="D60" s="265">
        <v>32520</v>
      </c>
      <c r="E60" s="265">
        <v>260164</v>
      </c>
      <c r="F60" s="265">
        <v>4</v>
      </c>
      <c r="G60" s="265">
        <f t="shared" si="3"/>
        <v>150</v>
      </c>
      <c r="H60" s="265">
        <v>20</v>
      </c>
      <c r="I60" s="265"/>
    </row>
    <row r="61" spans="2:9">
      <c r="B61" s="265">
        <v>41</v>
      </c>
      <c r="C61" s="265">
        <v>33859</v>
      </c>
      <c r="D61" s="265">
        <v>33859</v>
      </c>
      <c r="E61" s="265">
        <v>270876</v>
      </c>
      <c r="F61" s="265">
        <v>4</v>
      </c>
      <c r="G61" s="265">
        <v>156</v>
      </c>
      <c r="H61" s="265">
        <v>5</v>
      </c>
      <c r="I61" s="265"/>
    </row>
    <row r="62" spans="2:9">
      <c r="B62" s="265">
        <v>42</v>
      </c>
      <c r="C62" s="265">
        <v>35234</v>
      </c>
      <c r="D62" s="265">
        <v>35234</v>
      </c>
      <c r="E62" s="265">
        <v>281876</v>
      </c>
      <c r="F62" s="265">
        <v>4</v>
      </c>
      <c r="G62" s="265">
        <f t="shared" ref="G62:G70" si="4">G61+6</f>
        <v>162</v>
      </c>
      <c r="H62" s="265">
        <v>5</v>
      </c>
      <c r="I62" s="265"/>
    </row>
    <row r="63" spans="2:9">
      <c r="B63" s="265">
        <v>43</v>
      </c>
      <c r="C63" s="265">
        <v>36646</v>
      </c>
      <c r="D63" s="265">
        <v>36646</v>
      </c>
      <c r="E63" s="265">
        <v>293172</v>
      </c>
      <c r="F63" s="265">
        <v>4</v>
      </c>
      <c r="G63" s="265">
        <f t="shared" si="4"/>
        <v>168</v>
      </c>
      <c r="H63" s="265">
        <v>5</v>
      </c>
      <c r="I63" s="265"/>
    </row>
    <row r="64" spans="2:9">
      <c r="B64" s="265">
        <v>44</v>
      </c>
      <c r="C64" s="265">
        <v>38097</v>
      </c>
      <c r="D64" s="265">
        <v>38097</v>
      </c>
      <c r="E64" s="265">
        <v>304780</v>
      </c>
      <c r="F64" s="265">
        <v>4</v>
      </c>
      <c r="G64" s="265">
        <f t="shared" si="4"/>
        <v>174</v>
      </c>
      <c r="H64" s="265">
        <v>5</v>
      </c>
      <c r="I64" s="265"/>
    </row>
    <row r="65" spans="2:9">
      <c r="B65" s="265">
        <v>45</v>
      </c>
      <c r="C65" s="265">
        <v>39587</v>
      </c>
      <c r="D65" s="265">
        <v>39587</v>
      </c>
      <c r="E65" s="265">
        <v>316700</v>
      </c>
      <c r="F65" s="265">
        <v>4</v>
      </c>
      <c r="G65" s="265">
        <f t="shared" si="4"/>
        <v>180</v>
      </c>
      <c r="H65" s="265">
        <v>5</v>
      </c>
      <c r="I65" s="265"/>
    </row>
    <row r="66" spans="2:9">
      <c r="B66" s="265">
        <v>46</v>
      </c>
      <c r="C66" s="265">
        <v>41117</v>
      </c>
      <c r="D66" s="265">
        <v>41117</v>
      </c>
      <c r="E66" s="265">
        <v>328940</v>
      </c>
      <c r="F66" s="265">
        <v>4</v>
      </c>
      <c r="G66" s="265">
        <f t="shared" si="4"/>
        <v>186</v>
      </c>
      <c r="H66" s="265">
        <v>5</v>
      </c>
      <c r="I66" s="265"/>
    </row>
    <row r="67" spans="2:9">
      <c r="B67" s="265">
        <v>47</v>
      </c>
      <c r="C67" s="265">
        <v>42688</v>
      </c>
      <c r="D67" s="265">
        <v>42688</v>
      </c>
      <c r="E67" s="265">
        <v>341508</v>
      </c>
      <c r="F67" s="265">
        <v>4</v>
      </c>
      <c r="G67" s="265">
        <f t="shared" si="4"/>
        <v>192</v>
      </c>
      <c r="H67" s="265">
        <v>5</v>
      </c>
      <c r="I67" s="265"/>
    </row>
    <row r="68" spans="2:9">
      <c r="B68" s="265">
        <v>48</v>
      </c>
      <c r="C68" s="265">
        <v>44302</v>
      </c>
      <c r="D68" s="265">
        <v>44302</v>
      </c>
      <c r="E68" s="265">
        <v>354420</v>
      </c>
      <c r="F68" s="265">
        <v>4</v>
      </c>
      <c r="G68" s="265">
        <f t="shared" si="4"/>
        <v>198</v>
      </c>
      <c r="H68" s="265">
        <v>5</v>
      </c>
      <c r="I68" s="265"/>
    </row>
    <row r="69" spans="2:9">
      <c r="B69" s="265">
        <v>49</v>
      </c>
      <c r="C69" s="265">
        <v>45959</v>
      </c>
      <c r="D69" s="265">
        <v>45959</v>
      </c>
      <c r="E69" s="265">
        <v>367676</v>
      </c>
      <c r="F69" s="265">
        <v>4</v>
      </c>
      <c r="G69" s="265">
        <f t="shared" si="4"/>
        <v>204</v>
      </c>
      <c r="H69" s="265">
        <v>5</v>
      </c>
      <c r="I69" s="265"/>
    </row>
    <row r="70" spans="2:9">
      <c r="B70" s="265">
        <v>50</v>
      </c>
      <c r="C70" s="265">
        <v>47661</v>
      </c>
      <c r="D70" s="265">
        <v>47661</v>
      </c>
      <c r="E70" s="265">
        <v>381292</v>
      </c>
      <c r="F70" s="265">
        <v>5</v>
      </c>
      <c r="G70" s="265">
        <f t="shared" si="4"/>
        <v>210</v>
      </c>
      <c r="H70" s="265">
        <v>25</v>
      </c>
      <c r="I70" s="265"/>
    </row>
    <row r="71" spans="2:9">
      <c r="B71" s="265">
        <v>51</v>
      </c>
      <c r="C71" s="265">
        <v>49409</v>
      </c>
      <c r="D71" s="265">
        <v>49409</v>
      </c>
      <c r="E71" s="265">
        <v>395276</v>
      </c>
      <c r="F71" s="265">
        <v>5</v>
      </c>
      <c r="G71" s="265">
        <v>217</v>
      </c>
      <c r="H71" s="265">
        <v>6</v>
      </c>
      <c r="I71" s="265"/>
    </row>
    <row r="72" spans="2:9">
      <c r="B72" s="265">
        <v>52</v>
      </c>
      <c r="C72" s="265">
        <v>51204</v>
      </c>
      <c r="D72" s="265">
        <v>51204</v>
      </c>
      <c r="E72" s="265">
        <v>409636</v>
      </c>
      <c r="F72" s="265">
        <v>5</v>
      </c>
      <c r="G72" s="265">
        <f t="shared" ref="G72:G80" si="5">G71+7</f>
        <v>224</v>
      </c>
      <c r="H72" s="265">
        <v>6</v>
      </c>
      <c r="I72" s="265"/>
    </row>
    <row r="73" spans="2:9">
      <c r="B73" s="265">
        <v>53</v>
      </c>
      <c r="C73" s="265">
        <v>53048</v>
      </c>
      <c r="D73" s="265">
        <v>53048</v>
      </c>
      <c r="E73" s="265">
        <v>424388</v>
      </c>
      <c r="F73" s="265">
        <v>5</v>
      </c>
      <c r="G73" s="265">
        <f t="shared" si="5"/>
        <v>231</v>
      </c>
      <c r="H73" s="265">
        <v>6</v>
      </c>
      <c r="I73" s="265"/>
    </row>
    <row r="74" spans="2:9">
      <c r="B74" s="265">
        <v>54</v>
      </c>
      <c r="C74" s="265">
        <v>54941</v>
      </c>
      <c r="D74" s="265">
        <v>54941</v>
      </c>
      <c r="E74" s="265">
        <v>439532</v>
      </c>
      <c r="F74" s="265">
        <v>5</v>
      </c>
      <c r="G74" s="265">
        <f t="shared" si="5"/>
        <v>238</v>
      </c>
      <c r="H74" s="265">
        <v>6</v>
      </c>
      <c r="I74" s="265"/>
    </row>
    <row r="75" spans="2:9">
      <c r="B75" s="265">
        <v>55</v>
      </c>
      <c r="C75" s="265">
        <v>56886</v>
      </c>
      <c r="D75" s="265">
        <v>56886</v>
      </c>
      <c r="E75" s="265">
        <v>455092</v>
      </c>
      <c r="F75" s="265">
        <v>5</v>
      </c>
      <c r="G75" s="265">
        <f t="shared" si="5"/>
        <v>245</v>
      </c>
      <c r="H75" s="265">
        <v>6</v>
      </c>
      <c r="I75" s="265"/>
    </row>
    <row r="76" spans="2:9">
      <c r="B76" s="265">
        <v>56</v>
      </c>
      <c r="C76" s="265">
        <v>58883</v>
      </c>
      <c r="D76" s="265">
        <v>58883</v>
      </c>
      <c r="E76" s="265">
        <v>471068</v>
      </c>
      <c r="F76" s="265">
        <v>5</v>
      </c>
      <c r="G76" s="265">
        <f t="shared" si="5"/>
        <v>252</v>
      </c>
      <c r="H76" s="265">
        <v>6</v>
      </c>
      <c r="I76" s="265"/>
    </row>
    <row r="77" spans="2:9">
      <c r="B77" s="265">
        <v>57</v>
      </c>
      <c r="C77" s="265">
        <v>60934</v>
      </c>
      <c r="D77" s="265">
        <v>60934</v>
      </c>
      <c r="E77" s="265">
        <v>487476</v>
      </c>
      <c r="F77" s="265">
        <v>5</v>
      </c>
      <c r="G77" s="265">
        <f t="shared" si="5"/>
        <v>259</v>
      </c>
      <c r="H77" s="265">
        <v>6</v>
      </c>
      <c r="I77" s="265"/>
    </row>
    <row r="78" spans="2:9">
      <c r="B78" s="265">
        <v>58</v>
      </c>
      <c r="C78" s="265">
        <v>63040</v>
      </c>
      <c r="D78" s="265">
        <v>63040</v>
      </c>
      <c r="E78" s="265">
        <v>504324</v>
      </c>
      <c r="F78" s="265">
        <v>5</v>
      </c>
      <c r="G78" s="265">
        <f t="shared" si="5"/>
        <v>266</v>
      </c>
      <c r="H78" s="265">
        <v>6</v>
      </c>
      <c r="I78" s="265"/>
    </row>
    <row r="79" spans="2:9">
      <c r="B79" s="265">
        <v>59</v>
      </c>
      <c r="C79" s="265">
        <v>65203</v>
      </c>
      <c r="D79" s="265">
        <v>65203</v>
      </c>
      <c r="E79" s="265">
        <v>521628</v>
      </c>
      <c r="F79" s="265">
        <v>5</v>
      </c>
      <c r="G79" s="265">
        <f t="shared" si="5"/>
        <v>273</v>
      </c>
      <c r="H79" s="265">
        <v>6</v>
      </c>
      <c r="I79" s="265"/>
    </row>
    <row r="80" spans="2:9">
      <c r="B80" s="265">
        <v>60</v>
      </c>
      <c r="C80" s="265">
        <v>67425</v>
      </c>
      <c r="D80" s="265">
        <v>67425</v>
      </c>
      <c r="E80" s="265">
        <v>539404</v>
      </c>
      <c r="F80" s="265">
        <v>7</v>
      </c>
      <c r="G80" s="265">
        <f t="shared" si="5"/>
        <v>280</v>
      </c>
      <c r="H80" s="265">
        <v>30</v>
      </c>
      <c r="I80" s="265"/>
    </row>
    <row r="81" spans="2:9">
      <c r="B81" s="265">
        <v>61</v>
      </c>
      <c r="C81" s="265">
        <v>69707</v>
      </c>
      <c r="D81" s="265">
        <v>69707</v>
      </c>
      <c r="E81" s="265">
        <v>537660</v>
      </c>
      <c r="F81" s="265">
        <v>7</v>
      </c>
      <c r="G81" s="265">
        <v>288</v>
      </c>
      <c r="H81" s="265">
        <v>8</v>
      </c>
      <c r="I81" s="265"/>
    </row>
    <row r="82" spans="2:9">
      <c r="B82" s="265">
        <v>62</v>
      </c>
      <c r="C82" s="265">
        <v>72050</v>
      </c>
      <c r="D82" s="265">
        <v>72050</v>
      </c>
      <c r="E82" s="265">
        <v>576404</v>
      </c>
      <c r="F82" s="265">
        <v>7</v>
      </c>
      <c r="G82" s="265">
        <f t="shared" ref="G82:G90" si="6">G81+8</f>
        <v>296</v>
      </c>
      <c r="H82" s="265">
        <v>8</v>
      </c>
      <c r="I82" s="265"/>
    </row>
    <row r="83" spans="2:9">
      <c r="B83" s="265">
        <v>63</v>
      </c>
      <c r="C83" s="265">
        <v>74456</v>
      </c>
      <c r="D83" s="265">
        <v>74456</v>
      </c>
      <c r="E83" s="265">
        <v>595652</v>
      </c>
      <c r="F83" s="265">
        <v>7</v>
      </c>
      <c r="G83" s="265">
        <f t="shared" si="6"/>
        <v>304</v>
      </c>
      <c r="H83" s="265">
        <v>8</v>
      </c>
      <c r="I83" s="265"/>
    </row>
    <row r="84" spans="2:9">
      <c r="B84" s="265">
        <v>64</v>
      </c>
      <c r="C84" s="265">
        <v>76927</v>
      </c>
      <c r="D84" s="265">
        <v>76927</v>
      </c>
      <c r="E84" s="265">
        <v>615420</v>
      </c>
      <c r="F84" s="265">
        <v>7</v>
      </c>
      <c r="G84" s="265">
        <f t="shared" si="6"/>
        <v>312</v>
      </c>
      <c r="H84" s="265">
        <v>8</v>
      </c>
      <c r="I84" s="265"/>
    </row>
    <row r="85" spans="2:9">
      <c r="B85" s="265">
        <v>65</v>
      </c>
      <c r="C85" s="265">
        <v>79465</v>
      </c>
      <c r="D85" s="265">
        <v>79465</v>
      </c>
      <c r="E85" s="265">
        <v>635724</v>
      </c>
      <c r="F85" s="265">
        <v>7</v>
      </c>
      <c r="G85" s="265">
        <f t="shared" si="6"/>
        <v>320</v>
      </c>
      <c r="H85" s="265">
        <v>8</v>
      </c>
      <c r="I85" s="265"/>
    </row>
    <row r="86" spans="2:9">
      <c r="B86" s="265">
        <v>66</v>
      </c>
      <c r="C86" s="265">
        <v>82072</v>
      </c>
      <c r="D86" s="265">
        <v>82072</v>
      </c>
      <c r="E86" s="265">
        <v>656580</v>
      </c>
      <c r="F86" s="265">
        <v>7</v>
      </c>
      <c r="G86" s="265">
        <f t="shared" si="6"/>
        <v>328</v>
      </c>
      <c r="H86" s="265">
        <v>8</v>
      </c>
      <c r="I86" s="265"/>
    </row>
    <row r="87" spans="2:9">
      <c r="B87" s="265">
        <v>67</v>
      </c>
      <c r="C87" s="265">
        <v>84749</v>
      </c>
      <c r="D87" s="265">
        <v>84749</v>
      </c>
      <c r="E87" s="265">
        <v>677996</v>
      </c>
      <c r="F87" s="265">
        <v>7</v>
      </c>
      <c r="G87" s="265">
        <f t="shared" si="6"/>
        <v>336</v>
      </c>
      <c r="H87" s="265">
        <v>8</v>
      </c>
      <c r="I87" s="265"/>
    </row>
    <row r="88" spans="2:9">
      <c r="B88" s="265">
        <v>68</v>
      </c>
      <c r="C88" s="265">
        <v>87498</v>
      </c>
      <c r="D88" s="265">
        <v>87498</v>
      </c>
      <c r="E88" s="265">
        <v>699988</v>
      </c>
      <c r="F88" s="265">
        <v>7</v>
      </c>
      <c r="G88" s="265">
        <f t="shared" si="6"/>
        <v>344</v>
      </c>
      <c r="H88" s="265">
        <v>8</v>
      </c>
      <c r="I88" s="265"/>
    </row>
    <row r="89" spans="2:9">
      <c r="B89" s="265">
        <v>69</v>
      </c>
      <c r="C89" s="265">
        <v>90322</v>
      </c>
      <c r="D89" s="265">
        <v>90322</v>
      </c>
      <c r="E89" s="265">
        <v>722580</v>
      </c>
      <c r="F89" s="265">
        <v>7</v>
      </c>
      <c r="G89" s="265">
        <f t="shared" si="6"/>
        <v>352</v>
      </c>
      <c r="H89" s="265">
        <v>8</v>
      </c>
      <c r="I89" s="265"/>
    </row>
    <row r="90" spans="2:9">
      <c r="B90" s="265">
        <v>70</v>
      </c>
      <c r="C90" s="265">
        <v>93222</v>
      </c>
      <c r="D90" s="265">
        <v>93222</v>
      </c>
      <c r="E90" s="265">
        <v>745780</v>
      </c>
      <c r="F90" s="265">
        <v>9</v>
      </c>
      <c r="G90" s="265">
        <f t="shared" si="6"/>
        <v>360</v>
      </c>
      <c r="H90" s="265">
        <v>40</v>
      </c>
      <c r="I90" s="265" t="s">
        <v>2923</v>
      </c>
    </row>
    <row r="91" spans="2:9">
      <c r="B91" s="265">
        <v>71</v>
      </c>
      <c r="C91" s="265">
        <v>96200</v>
      </c>
      <c r="D91" s="265">
        <v>96200</v>
      </c>
      <c r="E91" s="265">
        <v>769604</v>
      </c>
      <c r="F91" s="265">
        <v>9</v>
      </c>
      <c r="G91" s="265">
        <f t="shared" ref="G91:G100" si="7">G90+9</f>
        <v>369</v>
      </c>
      <c r="H91" s="265">
        <v>10</v>
      </c>
      <c r="I91" s="265"/>
    </row>
    <row r="92" spans="2:9">
      <c r="B92" s="265">
        <v>72</v>
      </c>
      <c r="C92" s="265">
        <v>99259</v>
      </c>
      <c r="D92" s="265">
        <v>99259</v>
      </c>
      <c r="E92" s="265">
        <v>794076</v>
      </c>
      <c r="F92" s="265">
        <v>9</v>
      </c>
      <c r="G92" s="265">
        <f t="shared" si="7"/>
        <v>378</v>
      </c>
      <c r="H92" s="265">
        <v>10</v>
      </c>
      <c r="I92" s="265"/>
    </row>
    <row r="93" spans="2:9">
      <c r="B93" s="265">
        <v>73</v>
      </c>
      <c r="C93" s="265">
        <v>102400</v>
      </c>
      <c r="D93" s="265">
        <v>102400</v>
      </c>
      <c r="E93" s="265">
        <v>819204</v>
      </c>
      <c r="F93" s="265">
        <v>9</v>
      </c>
      <c r="G93" s="265">
        <f t="shared" si="7"/>
        <v>387</v>
      </c>
      <c r="H93" s="265">
        <v>10</v>
      </c>
      <c r="I93" s="265"/>
    </row>
    <row r="94" spans="2:9">
      <c r="B94" s="265">
        <v>74</v>
      </c>
      <c r="C94" s="265">
        <v>105626</v>
      </c>
      <c r="D94" s="265">
        <v>105626</v>
      </c>
      <c r="E94" s="265">
        <v>845012</v>
      </c>
      <c r="F94" s="265">
        <v>9</v>
      </c>
      <c r="G94" s="265">
        <f t="shared" si="7"/>
        <v>396</v>
      </c>
      <c r="H94" s="265">
        <v>10</v>
      </c>
      <c r="I94" s="265"/>
    </row>
    <row r="95" spans="2:9">
      <c r="B95" s="265">
        <v>75</v>
      </c>
      <c r="C95" s="265">
        <v>108939</v>
      </c>
      <c r="D95" s="265">
        <v>108939</v>
      </c>
      <c r="E95" s="265">
        <v>871516</v>
      </c>
      <c r="F95" s="265">
        <v>9</v>
      </c>
      <c r="G95" s="265">
        <f t="shared" si="7"/>
        <v>405</v>
      </c>
      <c r="H95" s="265">
        <v>10</v>
      </c>
      <c r="I95" s="265"/>
    </row>
    <row r="96" spans="2:9">
      <c r="B96" s="265">
        <v>76</v>
      </c>
      <c r="C96" s="265">
        <v>112341</v>
      </c>
      <c r="D96" s="265">
        <v>112341</v>
      </c>
      <c r="E96" s="265">
        <v>898732</v>
      </c>
      <c r="F96" s="265">
        <v>9</v>
      </c>
      <c r="G96" s="265">
        <f t="shared" si="7"/>
        <v>414</v>
      </c>
      <c r="H96" s="265">
        <v>10</v>
      </c>
      <c r="I96" s="265"/>
    </row>
    <row r="97" spans="2:9">
      <c r="B97" s="265">
        <v>77</v>
      </c>
      <c r="C97" s="265">
        <v>115835</v>
      </c>
      <c r="D97" s="265">
        <v>115835</v>
      </c>
      <c r="E97" s="265">
        <v>926684</v>
      </c>
      <c r="F97" s="265">
        <v>9</v>
      </c>
      <c r="G97" s="265">
        <f t="shared" si="7"/>
        <v>423</v>
      </c>
      <c r="H97" s="265">
        <v>10</v>
      </c>
      <c r="I97" s="265"/>
    </row>
    <row r="98" spans="2:9">
      <c r="B98" s="265">
        <v>78</v>
      </c>
      <c r="C98" s="265">
        <v>119424</v>
      </c>
      <c r="D98" s="265">
        <v>119424</v>
      </c>
      <c r="E98" s="265">
        <v>955396</v>
      </c>
      <c r="F98" s="265">
        <v>9</v>
      </c>
      <c r="G98" s="265">
        <f t="shared" si="7"/>
        <v>432</v>
      </c>
      <c r="H98" s="265">
        <v>10</v>
      </c>
      <c r="I98" s="265"/>
    </row>
    <row r="99" spans="2:9">
      <c r="B99" s="265">
        <v>79</v>
      </c>
      <c r="C99" s="265">
        <v>123110</v>
      </c>
      <c r="D99" s="265">
        <v>123110</v>
      </c>
      <c r="E99" s="265">
        <v>984884</v>
      </c>
      <c r="F99" s="265">
        <v>9</v>
      </c>
      <c r="G99" s="265">
        <f t="shared" si="7"/>
        <v>441</v>
      </c>
      <c r="H99" s="265">
        <v>10</v>
      </c>
      <c r="I99" s="265"/>
    </row>
    <row r="100" spans="2:9">
      <c r="B100" s="265">
        <v>80</v>
      </c>
      <c r="C100" s="265">
        <v>126895</v>
      </c>
      <c r="D100" s="265">
        <v>126895</v>
      </c>
      <c r="E100" s="265">
        <v>1015164</v>
      </c>
      <c r="F100" s="265">
        <v>12</v>
      </c>
      <c r="G100" s="265">
        <f t="shared" si="7"/>
        <v>450</v>
      </c>
      <c r="H100" s="265">
        <v>55</v>
      </c>
      <c r="I100" s="265"/>
    </row>
    <row r="101" spans="2:9">
      <c r="B101" s="265">
        <v>81</v>
      </c>
      <c r="C101" s="265">
        <v>130782</v>
      </c>
      <c r="D101" s="265">
        <v>130782</v>
      </c>
      <c r="E101" s="265">
        <v>1046260</v>
      </c>
      <c r="F101" s="265">
        <v>12</v>
      </c>
      <c r="G101" s="265">
        <f t="shared" ref="G101:G110" si="8">G100+10</f>
        <v>460</v>
      </c>
      <c r="H101" s="265">
        <v>12</v>
      </c>
      <c r="I101" s="265"/>
    </row>
    <row r="102" spans="2:9">
      <c r="B102" s="265">
        <v>82</v>
      </c>
      <c r="C102" s="265">
        <v>134774</v>
      </c>
      <c r="D102" s="265">
        <v>134774</v>
      </c>
      <c r="E102" s="265">
        <v>1078196</v>
      </c>
      <c r="F102" s="265">
        <v>12</v>
      </c>
      <c r="G102" s="265">
        <f t="shared" si="8"/>
        <v>470</v>
      </c>
      <c r="H102" s="265">
        <v>12</v>
      </c>
      <c r="I102" s="265"/>
    </row>
    <row r="103" spans="2:9">
      <c r="B103" s="265">
        <v>83</v>
      </c>
      <c r="C103" s="265">
        <v>138874</v>
      </c>
      <c r="D103" s="265">
        <v>138874</v>
      </c>
      <c r="E103" s="265">
        <v>1110996</v>
      </c>
      <c r="F103" s="265">
        <v>12</v>
      </c>
      <c r="G103" s="265">
        <f t="shared" si="8"/>
        <v>480</v>
      </c>
      <c r="H103" s="265">
        <v>12</v>
      </c>
      <c r="I103" s="265"/>
    </row>
    <row r="104" spans="2:9">
      <c r="B104" s="265">
        <v>84</v>
      </c>
      <c r="C104" s="265">
        <v>143085</v>
      </c>
      <c r="D104" s="265">
        <v>143085</v>
      </c>
      <c r="E104" s="265">
        <v>1144684</v>
      </c>
      <c r="F104" s="265">
        <v>12</v>
      </c>
      <c r="G104" s="265">
        <f t="shared" si="8"/>
        <v>490</v>
      </c>
      <c r="H104" s="265">
        <v>12</v>
      </c>
      <c r="I104" s="265"/>
    </row>
    <row r="105" spans="2:9">
      <c r="B105" s="265">
        <v>85</v>
      </c>
      <c r="C105" s="265">
        <v>147409</v>
      </c>
      <c r="D105" s="265">
        <v>147409</v>
      </c>
      <c r="E105" s="265">
        <v>1179276</v>
      </c>
      <c r="F105" s="265">
        <v>12</v>
      </c>
      <c r="G105" s="265">
        <f t="shared" si="8"/>
        <v>500</v>
      </c>
      <c r="H105" s="265">
        <v>12</v>
      </c>
      <c r="I105" s="265"/>
    </row>
    <row r="106" spans="2:9">
      <c r="B106" s="265">
        <v>86</v>
      </c>
      <c r="C106" s="265">
        <v>151850</v>
      </c>
      <c r="D106" s="265">
        <v>151850</v>
      </c>
      <c r="E106" s="265">
        <v>1214804</v>
      </c>
      <c r="F106" s="265">
        <v>12</v>
      </c>
      <c r="G106" s="265">
        <f t="shared" si="8"/>
        <v>510</v>
      </c>
      <c r="H106" s="265">
        <v>12</v>
      </c>
      <c r="I106" s="265"/>
    </row>
    <row r="107" spans="2:9">
      <c r="B107" s="265">
        <v>87</v>
      </c>
      <c r="C107" s="265">
        <v>156411</v>
      </c>
      <c r="D107" s="265">
        <v>156411</v>
      </c>
      <c r="E107" s="265">
        <v>1251292</v>
      </c>
      <c r="F107" s="265">
        <v>12</v>
      </c>
      <c r="G107" s="265">
        <f t="shared" si="8"/>
        <v>520</v>
      </c>
      <c r="H107" s="265">
        <v>12</v>
      </c>
      <c r="I107" s="265"/>
    </row>
    <row r="108" spans="2:9">
      <c r="B108" s="265">
        <v>88</v>
      </c>
      <c r="C108" s="265">
        <v>161095</v>
      </c>
      <c r="D108" s="265">
        <v>161095</v>
      </c>
      <c r="E108" s="265">
        <v>1288764</v>
      </c>
      <c r="F108" s="265">
        <v>12</v>
      </c>
      <c r="G108" s="265">
        <f t="shared" si="8"/>
        <v>530</v>
      </c>
      <c r="H108" s="265">
        <v>12</v>
      </c>
      <c r="I108" s="265"/>
    </row>
    <row r="109" spans="2:9">
      <c r="B109" s="265">
        <v>89</v>
      </c>
      <c r="C109" s="265">
        <v>165906</v>
      </c>
      <c r="D109" s="265">
        <v>165906</v>
      </c>
      <c r="E109" s="265">
        <v>1327252</v>
      </c>
      <c r="F109" s="265">
        <v>12</v>
      </c>
      <c r="G109" s="265">
        <f t="shared" si="8"/>
        <v>540</v>
      </c>
      <c r="H109" s="265">
        <v>12</v>
      </c>
      <c r="I109" s="265"/>
    </row>
    <row r="110" spans="2:9">
      <c r="B110" s="265">
        <v>90</v>
      </c>
      <c r="C110" s="265">
        <v>170847</v>
      </c>
      <c r="D110" s="265">
        <v>170847</v>
      </c>
      <c r="E110" s="265">
        <v>1366780</v>
      </c>
      <c r="F110" s="265">
        <v>15</v>
      </c>
      <c r="G110" s="265">
        <f t="shared" si="8"/>
        <v>550</v>
      </c>
      <c r="H110" s="265">
        <v>80</v>
      </c>
      <c r="I110" s="265"/>
    </row>
    <row r="111" spans="2:9">
      <c r="B111" s="265"/>
      <c r="C111" s="265"/>
      <c r="D111" s="265"/>
      <c r="E111" s="265"/>
      <c r="F111" s="265"/>
      <c r="G111" s="265" t="s">
        <v>2933</v>
      </c>
      <c r="H111" s="265" t="s">
        <v>2934</v>
      </c>
      <c r="I111" s="265"/>
    </row>
    <row r="112" spans="2:9">
      <c r="B112" s="265"/>
      <c r="C112" s="265"/>
      <c r="D112" s="265"/>
      <c r="E112" s="265"/>
      <c r="F112" s="265"/>
      <c r="G112" s="265"/>
      <c r="H112" s="265"/>
      <c r="I112" s="265"/>
    </row>
    <row r="115" spans="2:8">
      <c r="B115" s="265" t="s">
        <v>2924</v>
      </c>
      <c r="C115" s="265" t="s">
        <v>2920</v>
      </c>
      <c r="D115" s="265" t="s">
        <v>2921</v>
      </c>
      <c r="E115" s="265" t="s">
        <v>2925</v>
      </c>
      <c r="F115" s="265" t="s">
        <v>2932</v>
      </c>
      <c r="G115" s="265"/>
      <c r="H115" s="265"/>
    </row>
    <row r="116" spans="2:8">
      <c r="B116" s="265">
        <v>1</v>
      </c>
      <c r="C116" s="265">
        <v>11</v>
      </c>
      <c r="D116" s="265">
        <v>1</v>
      </c>
      <c r="E116" s="265">
        <v>5</v>
      </c>
      <c r="F116" s="265"/>
      <c r="G116" s="265"/>
      <c r="H116" s="265"/>
    </row>
    <row r="117" spans="2:8">
      <c r="B117" s="265">
        <v>2</v>
      </c>
      <c r="C117" s="265">
        <f t="shared" ref="C117:C148" si="9">C116+1</f>
        <v>12</v>
      </c>
      <c r="D117" s="265">
        <v>1</v>
      </c>
      <c r="E117" s="265">
        <f t="shared" ref="E117:E148" si="10">E116+5</f>
        <v>10</v>
      </c>
      <c r="F117" s="265"/>
      <c r="G117" s="265"/>
      <c r="H117" s="265"/>
    </row>
    <row r="118" spans="2:8">
      <c r="B118" s="265">
        <v>3</v>
      </c>
      <c r="C118" s="265">
        <f t="shared" si="9"/>
        <v>13</v>
      </c>
      <c r="D118" s="265">
        <v>1</v>
      </c>
      <c r="E118" s="265">
        <f t="shared" si="10"/>
        <v>15</v>
      </c>
      <c r="F118" s="265"/>
      <c r="G118" s="265"/>
      <c r="H118" s="265"/>
    </row>
    <row r="119" spans="2:8">
      <c r="B119" s="265">
        <v>4</v>
      </c>
      <c r="C119" s="265">
        <f t="shared" si="9"/>
        <v>14</v>
      </c>
      <c r="D119" s="265">
        <v>1</v>
      </c>
      <c r="E119" s="265">
        <f t="shared" si="10"/>
        <v>20</v>
      </c>
      <c r="F119" s="265"/>
      <c r="G119" s="265"/>
      <c r="H119" s="265"/>
    </row>
    <row r="120" spans="2:8">
      <c r="B120" s="265">
        <v>5</v>
      </c>
      <c r="C120" s="265">
        <f t="shared" si="9"/>
        <v>15</v>
      </c>
      <c r="D120" s="265">
        <v>1</v>
      </c>
      <c r="E120" s="265">
        <f t="shared" si="10"/>
        <v>25</v>
      </c>
      <c r="F120" s="265"/>
      <c r="G120" s="265"/>
      <c r="H120" s="265"/>
    </row>
    <row r="121" spans="2:8">
      <c r="B121" s="265">
        <v>6</v>
      </c>
      <c r="C121" s="265">
        <f t="shared" si="9"/>
        <v>16</v>
      </c>
      <c r="D121" s="265">
        <v>1</v>
      </c>
      <c r="E121" s="265">
        <f t="shared" si="10"/>
        <v>30</v>
      </c>
      <c r="F121" s="265"/>
      <c r="G121" s="265"/>
      <c r="H121" s="265"/>
    </row>
    <row r="122" spans="2:8">
      <c r="B122" s="265">
        <v>7</v>
      </c>
      <c r="C122" s="265">
        <f t="shared" si="9"/>
        <v>17</v>
      </c>
      <c r="D122" s="265">
        <v>1</v>
      </c>
      <c r="E122" s="265">
        <f t="shared" si="10"/>
        <v>35</v>
      </c>
      <c r="F122" s="265"/>
      <c r="G122" s="265"/>
      <c r="H122" s="265"/>
    </row>
    <row r="123" spans="2:8">
      <c r="B123" s="265">
        <v>8</v>
      </c>
      <c r="C123" s="265">
        <f t="shared" si="9"/>
        <v>18</v>
      </c>
      <c r="D123" s="265">
        <v>1</v>
      </c>
      <c r="E123" s="265">
        <f t="shared" si="10"/>
        <v>40</v>
      </c>
      <c r="F123" s="265"/>
      <c r="G123" s="265"/>
      <c r="H123" s="265"/>
    </row>
    <row r="124" spans="2:8">
      <c r="B124" s="265">
        <v>9</v>
      </c>
      <c r="C124" s="265">
        <f t="shared" si="9"/>
        <v>19</v>
      </c>
      <c r="D124" s="265">
        <v>1</v>
      </c>
      <c r="E124" s="265">
        <f t="shared" si="10"/>
        <v>45</v>
      </c>
      <c r="F124" s="265"/>
      <c r="G124" s="265"/>
      <c r="H124" s="265"/>
    </row>
    <row r="125" spans="2:8">
      <c r="B125" s="265">
        <v>10</v>
      </c>
      <c r="C125" s="265">
        <f t="shared" si="9"/>
        <v>20</v>
      </c>
      <c r="D125" s="265">
        <v>1</v>
      </c>
      <c r="E125" s="265">
        <f t="shared" si="10"/>
        <v>50</v>
      </c>
      <c r="F125" s="265"/>
      <c r="G125" s="265"/>
      <c r="H125" s="265"/>
    </row>
    <row r="126" spans="2:8">
      <c r="B126" s="265">
        <v>11</v>
      </c>
      <c r="C126" s="265">
        <f t="shared" si="9"/>
        <v>21</v>
      </c>
      <c r="D126" s="265">
        <v>1</v>
      </c>
      <c r="E126" s="265">
        <f t="shared" si="10"/>
        <v>55</v>
      </c>
      <c r="F126" s="265"/>
      <c r="G126" s="265"/>
      <c r="H126" s="265"/>
    </row>
    <row r="127" spans="2:8">
      <c r="B127" s="265">
        <v>12</v>
      </c>
      <c r="C127" s="265">
        <f t="shared" si="9"/>
        <v>22</v>
      </c>
      <c r="D127" s="265">
        <v>1</v>
      </c>
      <c r="E127" s="265">
        <f t="shared" si="10"/>
        <v>60</v>
      </c>
      <c r="F127" s="265"/>
      <c r="G127" s="265"/>
      <c r="H127" s="265"/>
    </row>
    <row r="128" spans="2:8">
      <c r="B128" s="265">
        <v>13</v>
      </c>
      <c r="C128" s="265">
        <f t="shared" si="9"/>
        <v>23</v>
      </c>
      <c r="D128" s="265">
        <v>1</v>
      </c>
      <c r="E128" s="265">
        <f t="shared" si="10"/>
        <v>65</v>
      </c>
      <c r="F128" s="265"/>
      <c r="G128" s="265"/>
      <c r="H128" s="265"/>
    </row>
    <row r="129" spans="2:8">
      <c r="B129" s="265">
        <v>14</v>
      </c>
      <c r="C129" s="265">
        <f t="shared" si="9"/>
        <v>24</v>
      </c>
      <c r="D129" s="265">
        <v>1</v>
      </c>
      <c r="E129" s="265">
        <f t="shared" si="10"/>
        <v>70</v>
      </c>
      <c r="F129" s="265"/>
      <c r="G129" s="265"/>
      <c r="H129" s="265"/>
    </row>
    <row r="130" spans="2:8">
      <c r="B130" s="265">
        <v>15</v>
      </c>
      <c r="C130" s="265">
        <f t="shared" si="9"/>
        <v>25</v>
      </c>
      <c r="D130" s="265">
        <v>1</v>
      </c>
      <c r="E130" s="265">
        <f t="shared" si="10"/>
        <v>75</v>
      </c>
      <c r="F130" s="265"/>
      <c r="G130" s="265"/>
      <c r="H130" s="265"/>
    </row>
    <row r="131" spans="2:8">
      <c r="B131" s="265">
        <v>16</v>
      </c>
      <c r="C131" s="265">
        <f t="shared" si="9"/>
        <v>26</v>
      </c>
      <c r="D131" s="265">
        <v>1</v>
      </c>
      <c r="E131" s="265">
        <f t="shared" si="10"/>
        <v>80</v>
      </c>
      <c r="F131" s="265"/>
      <c r="G131" s="265"/>
      <c r="H131" s="265"/>
    </row>
    <row r="132" spans="2:8">
      <c r="B132" s="265">
        <v>17</v>
      </c>
      <c r="C132" s="265">
        <f t="shared" si="9"/>
        <v>27</v>
      </c>
      <c r="D132" s="265">
        <v>1</v>
      </c>
      <c r="E132" s="265">
        <f t="shared" si="10"/>
        <v>85</v>
      </c>
      <c r="F132" s="265"/>
      <c r="G132" s="265"/>
      <c r="H132" s="265"/>
    </row>
    <row r="133" spans="2:8">
      <c r="B133" s="265">
        <v>18</v>
      </c>
      <c r="C133" s="265">
        <f t="shared" si="9"/>
        <v>28</v>
      </c>
      <c r="D133" s="265">
        <v>1</v>
      </c>
      <c r="E133" s="265">
        <f t="shared" si="10"/>
        <v>90</v>
      </c>
      <c r="F133" s="265"/>
      <c r="G133" s="265"/>
      <c r="H133" s="265"/>
    </row>
    <row r="134" spans="2:8">
      <c r="B134" s="265">
        <v>19</v>
      </c>
      <c r="C134" s="265">
        <f t="shared" si="9"/>
        <v>29</v>
      </c>
      <c r="D134" s="265">
        <v>1</v>
      </c>
      <c r="E134" s="265">
        <f t="shared" si="10"/>
        <v>95</v>
      </c>
      <c r="F134" s="265"/>
      <c r="G134" s="265"/>
      <c r="H134" s="265"/>
    </row>
    <row r="135" spans="2:8">
      <c r="B135" s="265">
        <v>20</v>
      </c>
      <c r="C135" s="265">
        <f t="shared" si="9"/>
        <v>30</v>
      </c>
      <c r="D135" s="265">
        <v>1</v>
      </c>
      <c r="E135" s="265">
        <f t="shared" si="10"/>
        <v>100</v>
      </c>
      <c r="F135" s="265"/>
      <c r="G135" s="265"/>
      <c r="H135" s="265"/>
    </row>
    <row r="136" spans="2:8">
      <c r="B136" s="265">
        <v>21</v>
      </c>
      <c r="C136" s="265">
        <f t="shared" si="9"/>
        <v>31</v>
      </c>
      <c r="D136" s="265">
        <v>1</v>
      </c>
      <c r="E136" s="265">
        <f t="shared" si="10"/>
        <v>105</v>
      </c>
      <c r="F136" s="265"/>
      <c r="G136" s="265"/>
      <c r="H136" s="265"/>
    </row>
    <row r="137" spans="2:8">
      <c r="B137" s="265">
        <v>22</v>
      </c>
      <c r="C137" s="265">
        <f t="shared" si="9"/>
        <v>32</v>
      </c>
      <c r="D137" s="265">
        <v>1</v>
      </c>
      <c r="E137" s="265">
        <f t="shared" si="10"/>
        <v>110</v>
      </c>
      <c r="F137" s="265"/>
      <c r="G137" s="265"/>
      <c r="H137" s="265"/>
    </row>
    <row r="138" spans="2:8">
      <c r="B138" s="265">
        <v>23</v>
      </c>
      <c r="C138" s="265">
        <f t="shared" si="9"/>
        <v>33</v>
      </c>
      <c r="D138" s="265">
        <v>1</v>
      </c>
      <c r="E138" s="265">
        <f t="shared" si="10"/>
        <v>115</v>
      </c>
      <c r="F138" s="265"/>
      <c r="G138" s="265"/>
      <c r="H138" s="265"/>
    </row>
    <row r="139" spans="2:8">
      <c r="B139" s="265">
        <v>24</v>
      </c>
      <c r="C139" s="265">
        <f t="shared" si="9"/>
        <v>34</v>
      </c>
      <c r="D139" s="265">
        <v>1</v>
      </c>
      <c r="E139" s="265">
        <f t="shared" si="10"/>
        <v>120</v>
      </c>
      <c r="F139" s="265"/>
      <c r="G139" s="265"/>
      <c r="H139" s="265"/>
    </row>
    <row r="140" spans="2:8">
      <c r="B140" s="265">
        <v>25</v>
      </c>
      <c r="C140" s="265">
        <f t="shared" si="9"/>
        <v>35</v>
      </c>
      <c r="D140" s="265">
        <v>1</v>
      </c>
      <c r="E140" s="265">
        <f t="shared" si="10"/>
        <v>125</v>
      </c>
      <c r="F140" s="265"/>
      <c r="G140" s="265"/>
      <c r="H140" s="265"/>
    </row>
    <row r="141" spans="2:8">
      <c r="B141" s="265">
        <v>26</v>
      </c>
      <c r="C141" s="265">
        <f t="shared" si="9"/>
        <v>36</v>
      </c>
      <c r="D141" s="265">
        <v>1</v>
      </c>
      <c r="E141" s="265">
        <f t="shared" si="10"/>
        <v>130</v>
      </c>
      <c r="F141" s="265"/>
      <c r="G141" s="265"/>
      <c r="H141" s="265"/>
    </row>
    <row r="142" spans="2:8">
      <c r="B142" s="265">
        <v>27</v>
      </c>
      <c r="C142" s="265">
        <f t="shared" si="9"/>
        <v>37</v>
      </c>
      <c r="D142" s="265">
        <v>1</v>
      </c>
      <c r="E142" s="265">
        <f t="shared" si="10"/>
        <v>135</v>
      </c>
      <c r="F142" s="265"/>
      <c r="G142" s="265"/>
      <c r="H142" s="265"/>
    </row>
    <row r="143" spans="2:8">
      <c r="B143" s="265">
        <v>28</v>
      </c>
      <c r="C143" s="265">
        <f t="shared" si="9"/>
        <v>38</v>
      </c>
      <c r="D143" s="265">
        <v>1</v>
      </c>
      <c r="E143" s="265">
        <f t="shared" si="10"/>
        <v>140</v>
      </c>
      <c r="F143" s="265"/>
      <c r="G143" s="265"/>
      <c r="H143" s="265"/>
    </row>
    <row r="144" spans="2:8">
      <c r="B144" s="265">
        <v>29</v>
      </c>
      <c r="C144" s="265">
        <f t="shared" si="9"/>
        <v>39</v>
      </c>
      <c r="D144" s="265">
        <v>1</v>
      </c>
      <c r="E144" s="265">
        <f t="shared" si="10"/>
        <v>145</v>
      </c>
      <c r="F144" s="265"/>
      <c r="G144" s="265"/>
      <c r="H144" s="265"/>
    </row>
    <row r="145" spans="2:8">
      <c r="B145" s="265">
        <v>30</v>
      </c>
      <c r="C145" s="265">
        <f t="shared" si="9"/>
        <v>40</v>
      </c>
      <c r="D145" s="265">
        <v>1</v>
      </c>
      <c r="E145" s="265">
        <f t="shared" si="10"/>
        <v>150</v>
      </c>
      <c r="F145" s="265"/>
      <c r="G145" s="265"/>
      <c r="H145" s="265"/>
    </row>
    <row r="146" spans="2:8">
      <c r="B146" s="265">
        <v>31</v>
      </c>
      <c r="C146" s="265">
        <f t="shared" si="9"/>
        <v>41</v>
      </c>
      <c r="D146" s="265">
        <v>1</v>
      </c>
      <c r="E146" s="265">
        <f t="shared" si="10"/>
        <v>155</v>
      </c>
      <c r="F146" s="265"/>
      <c r="G146" s="265"/>
      <c r="H146" s="265"/>
    </row>
    <row r="147" spans="2:8">
      <c r="B147" s="265">
        <v>32</v>
      </c>
      <c r="C147" s="265">
        <f t="shared" si="9"/>
        <v>42</v>
      </c>
      <c r="D147" s="265">
        <v>1</v>
      </c>
      <c r="E147" s="265">
        <f t="shared" si="10"/>
        <v>160</v>
      </c>
      <c r="F147" s="265"/>
      <c r="G147" s="265"/>
      <c r="H147" s="265"/>
    </row>
    <row r="148" spans="2:8">
      <c r="B148" s="265">
        <v>33</v>
      </c>
      <c r="C148" s="265">
        <f t="shared" si="9"/>
        <v>43</v>
      </c>
      <c r="D148" s="265">
        <v>1</v>
      </c>
      <c r="E148" s="265">
        <f t="shared" si="10"/>
        <v>165</v>
      </c>
      <c r="F148" s="265"/>
      <c r="G148" s="265"/>
      <c r="H148" s="265"/>
    </row>
    <row r="149" spans="2:8">
      <c r="B149" s="265">
        <v>34</v>
      </c>
      <c r="C149" s="265">
        <f t="shared" ref="C149:C180" si="11">C148+1</f>
        <v>44</v>
      </c>
      <c r="D149" s="265">
        <v>1</v>
      </c>
      <c r="E149" s="265">
        <f t="shared" ref="E149:E180" si="12">E148+5</f>
        <v>170</v>
      </c>
      <c r="F149" s="265"/>
      <c r="G149" s="265"/>
      <c r="H149" s="265"/>
    </row>
    <row r="150" spans="2:8">
      <c r="B150" s="265">
        <v>35</v>
      </c>
      <c r="C150" s="265">
        <f t="shared" si="11"/>
        <v>45</v>
      </c>
      <c r="D150" s="265">
        <v>1</v>
      </c>
      <c r="E150" s="265">
        <f t="shared" si="12"/>
        <v>175</v>
      </c>
      <c r="F150" s="265"/>
      <c r="G150" s="265"/>
      <c r="H150" s="265"/>
    </row>
    <row r="151" spans="2:8">
      <c r="B151" s="265">
        <v>36</v>
      </c>
      <c r="C151" s="265">
        <f t="shared" si="11"/>
        <v>46</v>
      </c>
      <c r="D151" s="265">
        <v>1</v>
      </c>
      <c r="E151" s="265">
        <f t="shared" si="12"/>
        <v>180</v>
      </c>
      <c r="F151" s="265"/>
      <c r="G151" s="265"/>
      <c r="H151" s="265"/>
    </row>
    <row r="152" spans="2:8">
      <c r="B152" s="265">
        <v>37</v>
      </c>
      <c r="C152" s="265">
        <f t="shared" si="11"/>
        <v>47</v>
      </c>
      <c r="D152" s="265">
        <v>1</v>
      </c>
      <c r="E152" s="265">
        <f t="shared" si="12"/>
        <v>185</v>
      </c>
      <c r="F152" s="265"/>
      <c r="G152" s="265"/>
      <c r="H152" s="265"/>
    </row>
    <row r="153" spans="2:8">
      <c r="B153" s="265">
        <v>38</v>
      </c>
      <c r="C153" s="265">
        <f t="shared" si="11"/>
        <v>48</v>
      </c>
      <c r="D153" s="265">
        <v>1</v>
      </c>
      <c r="E153" s="265">
        <f t="shared" si="12"/>
        <v>190</v>
      </c>
      <c r="F153" s="265"/>
      <c r="G153" s="265"/>
      <c r="H153" s="265"/>
    </row>
    <row r="154" spans="2:8">
      <c r="B154" s="265">
        <v>39</v>
      </c>
      <c r="C154" s="265">
        <f t="shared" si="11"/>
        <v>49</v>
      </c>
      <c r="D154" s="265">
        <v>1</v>
      </c>
      <c r="E154" s="265">
        <f t="shared" si="12"/>
        <v>195</v>
      </c>
      <c r="F154" s="265"/>
      <c r="G154" s="265"/>
      <c r="H154" s="265"/>
    </row>
    <row r="155" spans="2:8">
      <c r="B155" s="265">
        <v>40</v>
      </c>
      <c r="C155" s="265">
        <f t="shared" si="11"/>
        <v>50</v>
      </c>
      <c r="D155" s="265">
        <v>1</v>
      </c>
      <c r="E155" s="265">
        <f t="shared" si="12"/>
        <v>200</v>
      </c>
      <c r="F155" s="265" t="s">
        <v>2926</v>
      </c>
      <c r="G155" s="265">
        <f>SUM(C116:C155)</f>
        <v>1220</v>
      </c>
      <c r="H155" s="265">
        <f>SUM(D116:D155)</f>
        <v>40</v>
      </c>
    </row>
    <row r="156" spans="2:8">
      <c r="B156" s="265">
        <v>41</v>
      </c>
      <c r="C156" s="265">
        <f t="shared" si="11"/>
        <v>51</v>
      </c>
      <c r="D156" s="265">
        <v>1</v>
      </c>
      <c r="E156" s="265">
        <f t="shared" si="12"/>
        <v>205</v>
      </c>
      <c r="F156" s="265"/>
      <c r="G156" s="265"/>
      <c r="H156" s="265"/>
    </row>
    <row r="157" spans="2:8">
      <c r="B157" s="265">
        <v>42</v>
      </c>
      <c r="C157" s="265">
        <f t="shared" si="11"/>
        <v>52</v>
      </c>
      <c r="D157" s="265">
        <v>1</v>
      </c>
      <c r="E157" s="265">
        <f t="shared" si="12"/>
        <v>210</v>
      </c>
      <c r="F157" s="265"/>
      <c r="G157" s="265"/>
      <c r="H157" s="265"/>
    </row>
    <row r="158" spans="2:8">
      <c r="B158" s="265">
        <v>43</v>
      </c>
      <c r="C158" s="265">
        <f t="shared" si="11"/>
        <v>53</v>
      </c>
      <c r="D158" s="265">
        <v>1</v>
      </c>
      <c r="E158" s="265">
        <f t="shared" si="12"/>
        <v>215</v>
      </c>
      <c r="F158" s="265"/>
      <c r="G158" s="265"/>
      <c r="H158" s="265"/>
    </row>
    <row r="159" spans="2:8">
      <c r="B159" s="265">
        <v>44</v>
      </c>
      <c r="C159" s="265">
        <f t="shared" si="11"/>
        <v>54</v>
      </c>
      <c r="D159" s="265">
        <v>1</v>
      </c>
      <c r="E159" s="265">
        <f t="shared" si="12"/>
        <v>220</v>
      </c>
      <c r="F159" s="265"/>
      <c r="G159" s="265"/>
      <c r="H159" s="265"/>
    </row>
    <row r="160" spans="2:8">
      <c r="B160" s="265">
        <v>45</v>
      </c>
      <c r="C160" s="265">
        <f t="shared" si="11"/>
        <v>55</v>
      </c>
      <c r="D160" s="265">
        <v>1</v>
      </c>
      <c r="E160" s="265">
        <f t="shared" si="12"/>
        <v>225</v>
      </c>
      <c r="F160" s="265"/>
      <c r="G160" s="265"/>
      <c r="H160" s="265"/>
    </row>
    <row r="161" spans="2:8">
      <c r="B161" s="265">
        <v>46</v>
      </c>
      <c r="C161" s="265">
        <f t="shared" si="11"/>
        <v>56</v>
      </c>
      <c r="D161" s="265">
        <v>1</v>
      </c>
      <c r="E161" s="265">
        <f t="shared" si="12"/>
        <v>230</v>
      </c>
      <c r="F161" s="265"/>
      <c r="G161" s="265"/>
      <c r="H161" s="265"/>
    </row>
    <row r="162" spans="2:8">
      <c r="B162" s="265">
        <v>47</v>
      </c>
      <c r="C162" s="265">
        <f t="shared" si="11"/>
        <v>57</v>
      </c>
      <c r="D162" s="265">
        <v>1</v>
      </c>
      <c r="E162" s="265">
        <f t="shared" si="12"/>
        <v>235</v>
      </c>
      <c r="F162" s="265"/>
      <c r="G162" s="265"/>
      <c r="H162" s="265"/>
    </row>
    <row r="163" spans="2:8">
      <c r="B163" s="265">
        <v>48</v>
      </c>
      <c r="C163" s="265">
        <f t="shared" si="11"/>
        <v>58</v>
      </c>
      <c r="D163" s="265">
        <v>1</v>
      </c>
      <c r="E163" s="265">
        <f t="shared" si="12"/>
        <v>240</v>
      </c>
      <c r="F163" s="265"/>
      <c r="G163" s="265"/>
      <c r="H163" s="265"/>
    </row>
    <row r="164" spans="2:8">
      <c r="B164" s="265">
        <v>49</v>
      </c>
      <c r="C164" s="265">
        <f t="shared" si="11"/>
        <v>59</v>
      </c>
      <c r="D164" s="265">
        <v>1</v>
      </c>
      <c r="E164" s="265">
        <f t="shared" si="12"/>
        <v>245</v>
      </c>
      <c r="F164" s="265"/>
      <c r="G164" s="265"/>
      <c r="H164" s="265"/>
    </row>
    <row r="165" spans="2:8">
      <c r="B165" s="265">
        <v>50</v>
      </c>
      <c r="C165" s="265">
        <f t="shared" si="11"/>
        <v>60</v>
      </c>
      <c r="D165" s="265">
        <v>1</v>
      </c>
      <c r="E165" s="265">
        <f t="shared" si="12"/>
        <v>250</v>
      </c>
      <c r="F165" s="265" t="s">
        <v>2927</v>
      </c>
      <c r="G165" s="265">
        <f>SUM(C116:C165)</f>
        <v>1775</v>
      </c>
      <c r="H165" s="265">
        <f>SUM(D116:D165)</f>
        <v>50</v>
      </c>
    </row>
    <row r="166" spans="2:8">
      <c r="B166" s="265">
        <v>51</v>
      </c>
      <c r="C166" s="265">
        <f t="shared" si="11"/>
        <v>61</v>
      </c>
      <c r="D166" s="265">
        <v>1</v>
      </c>
      <c r="E166" s="265">
        <f t="shared" si="12"/>
        <v>255</v>
      </c>
      <c r="F166" s="265"/>
      <c r="G166" s="265"/>
      <c r="H166" s="265"/>
    </row>
    <row r="167" spans="2:8">
      <c r="B167" s="265">
        <v>52</v>
      </c>
      <c r="C167" s="265">
        <f t="shared" si="11"/>
        <v>62</v>
      </c>
      <c r="D167" s="265">
        <v>1</v>
      </c>
      <c r="E167" s="265">
        <f t="shared" si="12"/>
        <v>260</v>
      </c>
      <c r="F167" s="265"/>
      <c r="G167" s="265"/>
      <c r="H167" s="265"/>
    </row>
    <row r="168" spans="2:8">
      <c r="B168" s="265">
        <v>53</v>
      </c>
      <c r="C168" s="265">
        <f t="shared" si="11"/>
        <v>63</v>
      </c>
      <c r="D168" s="265">
        <v>1</v>
      </c>
      <c r="E168" s="265">
        <f t="shared" si="12"/>
        <v>265</v>
      </c>
      <c r="F168" s="265"/>
      <c r="G168" s="265"/>
      <c r="H168" s="265"/>
    </row>
    <row r="169" spans="2:8">
      <c r="B169" s="265">
        <v>54</v>
      </c>
      <c r="C169" s="265">
        <f t="shared" si="11"/>
        <v>64</v>
      </c>
      <c r="D169" s="265">
        <v>1</v>
      </c>
      <c r="E169" s="265">
        <f t="shared" si="12"/>
        <v>270</v>
      </c>
      <c r="F169" s="265"/>
      <c r="G169" s="265"/>
      <c r="H169" s="265"/>
    </row>
    <row r="170" spans="2:8">
      <c r="B170" s="265">
        <v>55</v>
      </c>
      <c r="C170" s="265">
        <f t="shared" si="11"/>
        <v>65</v>
      </c>
      <c r="D170" s="265">
        <v>1</v>
      </c>
      <c r="E170" s="265">
        <f t="shared" si="12"/>
        <v>275</v>
      </c>
      <c r="F170" s="265"/>
      <c r="G170" s="265"/>
      <c r="H170" s="265"/>
    </row>
    <row r="171" spans="2:8">
      <c r="B171" s="265">
        <v>56</v>
      </c>
      <c r="C171" s="265">
        <f t="shared" si="11"/>
        <v>66</v>
      </c>
      <c r="D171" s="265">
        <v>1</v>
      </c>
      <c r="E171" s="265">
        <f t="shared" si="12"/>
        <v>280</v>
      </c>
      <c r="F171" s="265"/>
      <c r="G171" s="265"/>
      <c r="H171" s="265"/>
    </row>
    <row r="172" spans="2:8">
      <c r="B172" s="265">
        <v>57</v>
      </c>
      <c r="C172" s="265">
        <f t="shared" si="11"/>
        <v>67</v>
      </c>
      <c r="D172" s="265">
        <v>1</v>
      </c>
      <c r="E172" s="265">
        <f t="shared" si="12"/>
        <v>285</v>
      </c>
      <c r="F172" s="265"/>
      <c r="G172" s="265"/>
      <c r="H172" s="265"/>
    </row>
    <row r="173" spans="2:8">
      <c r="B173" s="265">
        <v>58</v>
      </c>
      <c r="C173" s="265">
        <f t="shared" si="11"/>
        <v>68</v>
      </c>
      <c r="D173" s="265">
        <v>1</v>
      </c>
      <c r="E173" s="265">
        <f t="shared" si="12"/>
        <v>290</v>
      </c>
      <c r="F173" s="265"/>
      <c r="G173" s="265"/>
      <c r="H173" s="265"/>
    </row>
    <row r="174" spans="2:8">
      <c r="B174" s="265">
        <v>59</v>
      </c>
      <c r="C174" s="265">
        <f t="shared" si="11"/>
        <v>69</v>
      </c>
      <c r="D174" s="265">
        <v>1</v>
      </c>
      <c r="E174" s="265">
        <f t="shared" si="12"/>
        <v>295</v>
      </c>
      <c r="F174" s="265"/>
      <c r="G174" s="265"/>
      <c r="H174" s="265"/>
    </row>
    <row r="175" spans="2:8">
      <c r="B175" s="265">
        <v>60</v>
      </c>
      <c r="C175" s="265">
        <f t="shared" si="11"/>
        <v>70</v>
      </c>
      <c r="D175" s="265">
        <v>1</v>
      </c>
      <c r="E175" s="265">
        <f t="shared" si="12"/>
        <v>300</v>
      </c>
      <c r="F175" s="265" t="s">
        <v>2928</v>
      </c>
      <c r="G175" s="265">
        <f>SUM(C116:C175)</f>
        <v>2430</v>
      </c>
      <c r="H175" s="265">
        <f>SUM(D116:D175)</f>
        <v>60</v>
      </c>
    </row>
    <row r="176" spans="2:8">
      <c r="B176" s="265">
        <v>61</v>
      </c>
      <c r="C176" s="265">
        <f t="shared" si="11"/>
        <v>71</v>
      </c>
      <c r="D176" s="265">
        <v>1</v>
      </c>
      <c r="E176" s="265">
        <f t="shared" si="12"/>
        <v>305</v>
      </c>
      <c r="F176" s="265"/>
      <c r="G176" s="265"/>
      <c r="H176" s="265"/>
    </row>
    <row r="177" spans="2:8">
      <c r="B177" s="265">
        <v>62</v>
      </c>
      <c r="C177" s="265">
        <f t="shared" si="11"/>
        <v>72</v>
      </c>
      <c r="D177" s="265">
        <v>1</v>
      </c>
      <c r="E177" s="265">
        <f t="shared" si="12"/>
        <v>310</v>
      </c>
      <c r="F177" s="265"/>
      <c r="G177" s="265"/>
      <c r="H177" s="265"/>
    </row>
    <row r="178" spans="2:8">
      <c r="B178" s="265">
        <v>63</v>
      </c>
      <c r="C178" s="265">
        <f t="shared" si="11"/>
        <v>73</v>
      </c>
      <c r="D178" s="265">
        <v>1</v>
      </c>
      <c r="E178" s="265">
        <f t="shared" si="12"/>
        <v>315</v>
      </c>
      <c r="F178" s="265"/>
      <c r="G178" s="265"/>
      <c r="H178" s="265"/>
    </row>
    <row r="179" spans="2:8">
      <c r="B179" s="265">
        <v>64</v>
      </c>
      <c r="C179" s="265">
        <f t="shared" si="11"/>
        <v>74</v>
      </c>
      <c r="D179" s="265">
        <v>1</v>
      </c>
      <c r="E179" s="265">
        <f t="shared" si="12"/>
        <v>320</v>
      </c>
      <c r="F179" s="265"/>
      <c r="G179" s="265"/>
      <c r="H179" s="265"/>
    </row>
    <row r="180" spans="2:8">
      <c r="B180" s="265">
        <v>65</v>
      </c>
      <c r="C180" s="265">
        <f t="shared" si="11"/>
        <v>75</v>
      </c>
      <c r="D180" s="265">
        <v>1</v>
      </c>
      <c r="E180" s="265">
        <f t="shared" si="12"/>
        <v>325</v>
      </c>
      <c r="F180" s="265"/>
      <c r="G180" s="265"/>
      <c r="H180" s="265"/>
    </row>
    <row r="181" spans="2:8">
      <c r="B181" s="265">
        <v>66</v>
      </c>
      <c r="C181" s="265">
        <f t="shared" ref="C181:C205" si="13">C180+1</f>
        <v>76</v>
      </c>
      <c r="D181" s="265">
        <v>1</v>
      </c>
      <c r="E181" s="265">
        <f t="shared" ref="E181:E205" si="14">E180+5</f>
        <v>330</v>
      </c>
      <c r="F181" s="265"/>
      <c r="G181" s="265"/>
      <c r="H181" s="265"/>
    </row>
    <row r="182" spans="2:8">
      <c r="B182" s="265">
        <v>67</v>
      </c>
      <c r="C182" s="265">
        <f t="shared" si="13"/>
        <v>77</v>
      </c>
      <c r="D182" s="265">
        <v>1</v>
      </c>
      <c r="E182" s="265">
        <f t="shared" si="14"/>
        <v>335</v>
      </c>
      <c r="F182" s="265"/>
      <c r="G182" s="265"/>
      <c r="H182" s="265"/>
    </row>
    <row r="183" spans="2:8">
      <c r="B183" s="265">
        <v>68</v>
      </c>
      <c r="C183" s="265">
        <f t="shared" si="13"/>
        <v>78</v>
      </c>
      <c r="D183" s="265">
        <v>1</v>
      </c>
      <c r="E183" s="265">
        <f t="shared" si="14"/>
        <v>340</v>
      </c>
      <c r="F183" s="265"/>
      <c r="G183" s="265"/>
      <c r="H183" s="265"/>
    </row>
    <row r="184" spans="2:8">
      <c r="B184" s="265">
        <v>69</v>
      </c>
      <c r="C184" s="265">
        <f t="shared" si="13"/>
        <v>79</v>
      </c>
      <c r="D184" s="265">
        <v>1</v>
      </c>
      <c r="E184" s="265">
        <f t="shared" si="14"/>
        <v>345</v>
      </c>
      <c r="F184" s="265"/>
      <c r="G184" s="265"/>
      <c r="H184" s="265"/>
    </row>
    <row r="185" spans="2:8">
      <c r="B185" s="265">
        <v>70</v>
      </c>
      <c r="C185" s="265">
        <f t="shared" si="13"/>
        <v>80</v>
      </c>
      <c r="D185" s="265">
        <v>1</v>
      </c>
      <c r="E185" s="265">
        <f t="shared" si="14"/>
        <v>350</v>
      </c>
      <c r="F185" s="265" t="s">
        <v>2929</v>
      </c>
      <c r="G185" s="265">
        <f>SUM(C116:C185)</f>
        <v>3185</v>
      </c>
      <c r="H185" s="265">
        <f>SUM(D116:D185)</f>
        <v>70</v>
      </c>
    </row>
    <row r="186" spans="2:8">
      <c r="B186" s="265">
        <v>71</v>
      </c>
      <c r="C186" s="265">
        <f t="shared" si="13"/>
        <v>81</v>
      </c>
      <c r="D186" s="265">
        <v>1</v>
      </c>
      <c r="E186" s="265">
        <f t="shared" si="14"/>
        <v>355</v>
      </c>
      <c r="F186" s="265"/>
      <c r="G186" s="265"/>
      <c r="H186" s="265"/>
    </row>
    <row r="187" spans="2:8">
      <c r="B187" s="265">
        <v>72</v>
      </c>
      <c r="C187" s="265">
        <f t="shared" si="13"/>
        <v>82</v>
      </c>
      <c r="D187" s="265">
        <v>1</v>
      </c>
      <c r="E187" s="265">
        <f t="shared" si="14"/>
        <v>360</v>
      </c>
      <c r="F187" s="265"/>
      <c r="G187" s="265"/>
      <c r="H187" s="265"/>
    </row>
    <row r="188" spans="2:8">
      <c r="B188" s="265">
        <v>73</v>
      </c>
      <c r="C188" s="265">
        <f t="shared" si="13"/>
        <v>83</v>
      </c>
      <c r="D188" s="265">
        <v>1</v>
      </c>
      <c r="E188" s="265">
        <f t="shared" si="14"/>
        <v>365</v>
      </c>
      <c r="F188" s="265"/>
      <c r="G188" s="265"/>
      <c r="H188" s="265"/>
    </row>
    <row r="189" spans="2:8">
      <c r="B189" s="265">
        <v>74</v>
      </c>
      <c r="C189" s="265">
        <f t="shared" si="13"/>
        <v>84</v>
      </c>
      <c r="D189" s="265">
        <v>1</v>
      </c>
      <c r="E189" s="265">
        <f t="shared" si="14"/>
        <v>370</v>
      </c>
      <c r="F189" s="265"/>
      <c r="G189" s="265"/>
      <c r="H189" s="265"/>
    </row>
    <row r="190" spans="2:8">
      <c r="B190" s="265">
        <v>75</v>
      </c>
      <c r="C190" s="265">
        <f t="shared" si="13"/>
        <v>85</v>
      </c>
      <c r="D190" s="265">
        <v>1</v>
      </c>
      <c r="E190" s="265">
        <f t="shared" si="14"/>
        <v>375</v>
      </c>
      <c r="F190" s="265"/>
      <c r="G190" s="265"/>
      <c r="H190" s="265"/>
    </row>
    <row r="191" spans="2:8">
      <c r="B191" s="265">
        <v>76</v>
      </c>
      <c r="C191" s="265">
        <f t="shared" si="13"/>
        <v>86</v>
      </c>
      <c r="D191" s="265">
        <v>1</v>
      </c>
      <c r="E191" s="265">
        <f t="shared" si="14"/>
        <v>380</v>
      </c>
      <c r="F191" s="265"/>
      <c r="G191" s="265"/>
      <c r="H191" s="265"/>
    </row>
    <row r="192" spans="2:8">
      <c r="B192" s="265">
        <v>77</v>
      </c>
      <c r="C192" s="265">
        <f t="shared" si="13"/>
        <v>87</v>
      </c>
      <c r="D192" s="265">
        <v>1</v>
      </c>
      <c r="E192" s="265">
        <f t="shared" si="14"/>
        <v>385</v>
      </c>
      <c r="F192" s="265"/>
      <c r="G192" s="265"/>
      <c r="H192" s="265"/>
    </row>
    <row r="193" spans="2:8">
      <c r="B193" s="265">
        <v>78</v>
      </c>
      <c r="C193" s="265">
        <f t="shared" si="13"/>
        <v>88</v>
      </c>
      <c r="D193" s="265">
        <v>1</v>
      </c>
      <c r="E193" s="265">
        <f t="shared" si="14"/>
        <v>390</v>
      </c>
      <c r="F193" s="265"/>
      <c r="G193" s="265"/>
      <c r="H193" s="265"/>
    </row>
    <row r="194" spans="2:8">
      <c r="B194" s="265">
        <v>79</v>
      </c>
      <c r="C194" s="265">
        <f t="shared" si="13"/>
        <v>89</v>
      </c>
      <c r="D194" s="265">
        <v>1</v>
      </c>
      <c r="E194" s="265">
        <f t="shared" si="14"/>
        <v>395</v>
      </c>
      <c r="F194" s="265"/>
      <c r="G194" s="265"/>
      <c r="H194" s="265"/>
    </row>
    <row r="195" spans="2:8">
      <c r="B195" s="265">
        <v>80</v>
      </c>
      <c r="C195" s="265">
        <f t="shared" si="13"/>
        <v>90</v>
      </c>
      <c r="D195" s="265">
        <v>1</v>
      </c>
      <c r="E195" s="265">
        <f t="shared" si="14"/>
        <v>400</v>
      </c>
      <c r="F195" s="265" t="s">
        <v>2930</v>
      </c>
      <c r="G195" s="265">
        <f>SUM(C116:C195)</f>
        <v>4040</v>
      </c>
      <c r="H195" s="265">
        <f>SUM(D116:D195)</f>
        <v>80</v>
      </c>
    </row>
    <row r="196" spans="2:8">
      <c r="B196" s="265">
        <v>81</v>
      </c>
      <c r="C196" s="265">
        <f t="shared" si="13"/>
        <v>91</v>
      </c>
      <c r="D196" s="265">
        <v>1</v>
      </c>
      <c r="E196" s="265">
        <f t="shared" si="14"/>
        <v>405</v>
      </c>
      <c r="F196" s="265"/>
      <c r="G196" s="265"/>
      <c r="H196" s="265"/>
    </row>
    <row r="197" spans="2:8">
      <c r="B197" s="265">
        <v>82</v>
      </c>
      <c r="C197" s="265">
        <f t="shared" si="13"/>
        <v>92</v>
      </c>
      <c r="D197" s="265">
        <v>1</v>
      </c>
      <c r="E197" s="265">
        <f t="shared" si="14"/>
        <v>410</v>
      </c>
      <c r="F197" s="265"/>
      <c r="G197" s="265"/>
      <c r="H197" s="265"/>
    </row>
    <row r="198" spans="2:8">
      <c r="B198" s="265">
        <v>83</v>
      </c>
      <c r="C198" s="265">
        <f t="shared" si="13"/>
        <v>93</v>
      </c>
      <c r="D198" s="265">
        <v>1</v>
      </c>
      <c r="E198" s="265">
        <f t="shared" si="14"/>
        <v>415</v>
      </c>
      <c r="F198" s="265"/>
      <c r="G198" s="265"/>
      <c r="H198" s="265"/>
    </row>
    <row r="199" spans="2:8">
      <c r="B199" s="265">
        <v>84</v>
      </c>
      <c r="C199" s="265">
        <f t="shared" si="13"/>
        <v>94</v>
      </c>
      <c r="D199" s="265">
        <v>1</v>
      </c>
      <c r="E199" s="265">
        <f t="shared" si="14"/>
        <v>420</v>
      </c>
      <c r="F199" s="265"/>
      <c r="G199" s="265"/>
      <c r="H199" s="265"/>
    </row>
    <row r="200" spans="2:8">
      <c r="B200" s="265">
        <v>85</v>
      </c>
      <c r="C200" s="265">
        <f t="shared" si="13"/>
        <v>95</v>
      </c>
      <c r="D200" s="265">
        <v>1</v>
      </c>
      <c r="E200" s="265">
        <f t="shared" si="14"/>
        <v>425</v>
      </c>
      <c r="F200" s="265"/>
      <c r="G200" s="265"/>
      <c r="H200" s="265"/>
    </row>
    <row r="201" spans="2:8">
      <c r="B201" s="265">
        <v>86</v>
      </c>
      <c r="C201" s="265">
        <f t="shared" si="13"/>
        <v>96</v>
      </c>
      <c r="D201" s="265">
        <v>1</v>
      </c>
      <c r="E201" s="265">
        <f t="shared" si="14"/>
        <v>430</v>
      </c>
      <c r="F201" s="265"/>
      <c r="G201" s="265"/>
      <c r="H201" s="265"/>
    </row>
    <row r="202" spans="2:8">
      <c r="B202" s="265">
        <v>87</v>
      </c>
      <c r="C202" s="265">
        <f t="shared" si="13"/>
        <v>97</v>
      </c>
      <c r="D202" s="265">
        <v>1</v>
      </c>
      <c r="E202" s="265">
        <f t="shared" si="14"/>
        <v>435</v>
      </c>
      <c r="F202" s="265"/>
      <c r="G202" s="265"/>
      <c r="H202" s="265"/>
    </row>
    <row r="203" spans="2:8">
      <c r="B203" s="265">
        <v>88</v>
      </c>
      <c r="C203" s="265">
        <f t="shared" si="13"/>
        <v>98</v>
      </c>
      <c r="D203" s="265">
        <v>1</v>
      </c>
      <c r="E203" s="265">
        <f t="shared" si="14"/>
        <v>440</v>
      </c>
      <c r="F203" s="265"/>
      <c r="G203" s="265"/>
      <c r="H203" s="265"/>
    </row>
    <row r="204" spans="2:8">
      <c r="B204" s="265">
        <v>89</v>
      </c>
      <c r="C204" s="265">
        <f t="shared" si="13"/>
        <v>99</v>
      </c>
      <c r="D204" s="265">
        <v>1</v>
      </c>
      <c r="E204" s="265">
        <f t="shared" si="14"/>
        <v>445</v>
      </c>
      <c r="F204" s="265"/>
      <c r="G204" s="265"/>
      <c r="H204" s="265"/>
    </row>
    <row r="205" spans="2:8">
      <c r="B205" s="265">
        <v>90</v>
      </c>
      <c r="C205" s="265">
        <f t="shared" si="13"/>
        <v>100</v>
      </c>
      <c r="D205" s="265">
        <v>1</v>
      </c>
      <c r="E205" s="265">
        <f t="shared" si="14"/>
        <v>450</v>
      </c>
      <c r="F205" s="265" t="s">
        <v>2931</v>
      </c>
      <c r="G205" s="265"/>
      <c r="H205" s="265"/>
    </row>
    <row r="206" spans="2:8">
      <c r="B206" s="265"/>
      <c r="C206" s="265" t="s">
        <v>2935</v>
      </c>
      <c r="D206" s="265" t="s">
        <v>2936</v>
      </c>
      <c r="E206" s="265"/>
      <c r="F206" s="265"/>
      <c r="G206" s="265"/>
      <c r="H206" s="265"/>
    </row>
    <row r="207" spans="2:8">
      <c r="B207" s="266"/>
      <c r="C207" s="267"/>
      <c r="D207" s="267"/>
      <c r="E207" s="267"/>
      <c r="F207" s="267"/>
      <c r="G207" s="267"/>
      <c r="H207" s="267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89"/>
  <sheetViews>
    <sheetView zoomScale="85" zoomScaleNormal="85" topLeftCell="A26" workbookViewId="0">
      <selection activeCell="E47" sqref="E47"/>
    </sheetView>
  </sheetViews>
  <sheetFormatPr defaultColWidth="9" defaultRowHeight="13.5"/>
  <cols>
    <col min="1" max="1" width="9" style="41"/>
    <col min="2" max="2" width="8.625" style="150" customWidth="1"/>
    <col min="3" max="3" width="10.625" style="150" customWidth="1"/>
    <col min="4" max="4" width="10.625" style="41" customWidth="1"/>
    <col min="5" max="6" width="80.625" customWidth="1"/>
  </cols>
  <sheetData>
    <row r="1" ht="39.95" customHeight="1"/>
    <row r="2" ht="39.95" customHeight="1" spans="2:6">
      <c r="B2" s="240" t="s">
        <v>1278</v>
      </c>
      <c r="C2" s="240" t="s">
        <v>1279</v>
      </c>
      <c r="D2" s="240" t="s">
        <v>2937</v>
      </c>
      <c r="E2" s="240" t="s">
        <v>2938</v>
      </c>
      <c r="F2" s="240" t="s">
        <v>2939</v>
      </c>
    </row>
    <row r="3" ht="39.95" customHeight="1" spans="2:6">
      <c r="B3" s="240">
        <v>10015</v>
      </c>
      <c r="C3" s="240" t="s">
        <v>1010</v>
      </c>
      <c r="D3" s="240" t="s">
        <v>2940</v>
      </c>
      <c r="E3" s="241" t="s">
        <v>2941</v>
      </c>
      <c r="F3" s="241" t="s">
        <v>2942</v>
      </c>
    </row>
    <row r="4" ht="39.95" customHeight="1" spans="2:6">
      <c r="B4" s="240">
        <v>10016</v>
      </c>
      <c r="C4" s="240" t="s">
        <v>997</v>
      </c>
      <c r="D4" s="240" t="s">
        <v>2943</v>
      </c>
      <c r="E4" s="241" t="s">
        <v>2944</v>
      </c>
      <c r="F4" s="241" t="s">
        <v>2945</v>
      </c>
    </row>
    <row r="5" ht="39.95" customHeight="1" spans="2:6">
      <c r="B5" s="240">
        <v>10017</v>
      </c>
      <c r="C5" s="240" t="s">
        <v>451</v>
      </c>
      <c r="D5" s="240" t="s">
        <v>2946</v>
      </c>
      <c r="E5" s="241" t="s">
        <v>2947</v>
      </c>
      <c r="F5" s="241" t="s">
        <v>2948</v>
      </c>
    </row>
    <row r="6" ht="39.95" customHeight="1" spans="2:6">
      <c r="B6" s="240">
        <v>10018</v>
      </c>
      <c r="C6" s="240" t="s">
        <v>992</v>
      </c>
      <c r="D6" s="240" t="s">
        <v>2949</v>
      </c>
      <c r="E6" s="241" t="s">
        <v>2950</v>
      </c>
      <c r="F6" s="241" t="s">
        <v>2951</v>
      </c>
    </row>
    <row r="7" ht="39.95" customHeight="1" spans="2:6">
      <c r="B7" s="240">
        <v>10027</v>
      </c>
      <c r="C7" s="240" t="s">
        <v>1007</v>
      </c>
      <c r="D7" s="240" t="s">
        <v>2952</v>
      </c>
      <c r="E7" s="241" t="s">
        <v>2953</v>
      </c>
      <c r="F7" s="241" t="s">
        <v>2942</v>
      </c>
    </row>
    <row r="8" ht="39.95" customHeight="1" spans="2:6">
      <c r="B8" s="240">
        <v>10028</v>
      </c>
      <c r="C8" s="240" t="s">
        <v>989</v>
      </c>
      <c r="D8" s="240" t="s">
        <v>2954</v>
      </c>
      <c r="E8" s="241" t="s">
        <v>2955</v>
      </c>
      <c r="F8" s="241" t="s">
        <v>2956</v>
      </c>
    </row>
    <row r="9" ht="39.95" customHeight="1" spans="2:6">
      <c r="B9" s="240">
        <v>10029</v>
      </c>
      <c r="C9" s="240" t="s">
        <v>453</v>
      </c>
      <c r="D9" s="240" t="s">
        <v>2957</v>
      </c>
      <c r="E9" s="241" t="s">
        <v>2958</v>
      </c>
      <c r="F9" s="241" t="s">
        <v>2959</v>
      </c>
    </row>
    <row r="10" ht="39.95" customHeight="1" spans="2:6">
      <c r="B10" s="240">
        <v>10030</v>
      </c>
      <c r="C10" s="240" t="s">
        <v>983</v>
      </c>
      <c r="D10" s="240" t="s">
        <v>2960</v>
      </c>
      <c r="E10" s="241" t="s">
        <v>2961</v>
      </c>
      <c r="F10" s="241" t="s">
        <v>2942</v>
      </c>
    </row>
    <row r="11" ht="39.95" customHeight="1" spans="2:6">
      <c r="B11" s="240">
        <v>10031</v>
      </c>
      <c r="C11" s="240" t="s">
        <v>1002</v>
      </c>
      <c r="D11" s="240" t="s">
        <v>2962</v>
      </c>
      <c r="E11" s="241" t="s">
        <v>2963</v>
      </c>
      <c r="F11" s="241" t="s">
        <v>2964</v>
      </c>
    </row>
    <row r="12" ht="39.95" customHeight="1" spans="2:6">
      <c r="B12" s="240">
        <v>10032</v>
      </c>
      <c r="C12" s="240" t="s">
        <v>980</v>
      </c>
      <c r="D12" s="240" t="s">
        <v>2965</v>
      </c>
      <c r="E12" s="241" t="s">
        <v>2966</v>
      </c>
      <c r="F12" s="241" t="s">
        <v>2942</v>
      </c>
    </row>
    <row r="13" ht="39.95" customHeight="1" spans="2:6">
      <c r="B13" s="240">
        <v>10033</v>
      </c>
      <c r="C13" s="240" t="s">
        <v>975</v>
      </c>
      <c r="D13" s="240" t="s">
        <v>2967</v>
      </c>
      <c r="E13" s="241" t="s">
        <v>2968</v>
      </c>
      <c r="F13" s="241" t="s">
        <v>2969</v>
      </c>
    </row>
    <row r="14" ht="39.95" customHeight="1" spans="2:6">
      <c r="B14" s="240">
        <v>10034</v>
      </c>
      <c r="C14" s="240" t="s">
        <v>979</v>
      </c>
      <c r="D14" s="240" t="s">
        <v>2970</v>
      </c>
      <c r="E14" s="241" t="s">
        <v>2971</v>
      </c>
      <c r="F14" s="241" t="s">
        <v>2942</v>
      </c>
    </row>
    <row r="15" ht="39.95" customHeight="1" spans="2:6">
      <c r="B15" s="240">
        <v>10035</v>
      </c>
      <c r="C15" s="240" t="s">
        <v>999</v>
      </c>
      <c r="D15" s="240" t="s">
        <v>2972</v>
      </c>
      <c r="E15" s="241" t="s">
        <v>2973</v>
      </c>
      <c r="F15" s="241" t="s">
        <v>2974</v>
      </c>
    </row>
    <row r="16" ht="39.95" customHeight="1" spans="2:6">
      <c r="B16" s="240">
        <v>10036</v>
      </c>
      <c r="C16" s="240" t="s">
        <v>970</v>
      </c>
      <c r="D16" s="240" t="s">
        <v>2975</v>
      </c>
      <c r="E16" s="241" t="s">
        <v>2976</v>
      </c>
      <c r="F16" s="241" t="s">
        <v>2977</v>
      </c>
    </row>
    <row r="17" ht="39.95" customHeight="1" spans="2:6">
      <c r="B17" s="240">
        <v>10037</v>
      </c>
      <c r="C17" s="240" t="s">
        <v>995</v>
      </c>
      <c r="D17" s="240" t="s">
        <v>2978</v>
      </c>
      <c r="E17" s="241" t="s">
        <v>2979</v>
      </c>
      <c r="F17" s="241" t="s">
        <v>2980</v>
      </c>
    </row>
    <row r="18" ht="39.95" customHeight="1" spans="2:6">
      <c r="B18" s="240">
        <v>10039</v>
      </c>
      <c r="C18" s="240" t="s">
        <v>986</v>
      </c>
      <c r="D18" s="240" t="s">
        <v>2981</v>
      </c>
      <c r="E18" s="241" t="s">
        <v>2982</v>
      </c>
      <c r="F18" s="241" t="s">
        <v>2983</v>
      </c>
    </row>
    <row r="19" ht="39.95" customHeight="1" spans="2:6">
      <c r="B19" s="240">
        <v>10040</v>
      </c>
      <c r="C19" s="240" t="s">
        <v>991</v>
      </c>
      <c r="D19" s="240" t="s">
        <v>2984</v>
      </c>
      <c r="E19" s="241" t="s">
        <v>2985</v>
      </c>
      <c r="F19" s="241" t="s">
        <v>2942</v>
      </c>
    </row>
    <row r="20" ht="39.95" customHeight="1" spans="2:6">
      <c r="B20" s="240">
        <v>10041</v>
      </c>
      <c r="C20" s="240" t="s">
        <v>449</v>
      </c>
      <c r="D20" s="240" t="s">
        <v>2986</v>
      </c>
      <c r="E20" s="241" t="s">
        <v>2987</v>
      </c>
      <c r="F20" s="241" t="s">
        <v>2988</v>
      </c>
    </row>
    <row r="21" ht="39.95" customHeight="1" spans="2:6">
      <c r="B21" s="240">
        <v>10042</v>
      </c>
      <c r="C21" s="240" t="s">
        <v>985</v>
      </c>
      <c r="D21" s="240" t="s">
        <v>2989</v>
      </c>
      <c r="E21" s="241" t="s">
        <v>2990</v>
      </c>
      <c r="F21" s="241" t="s">
        <v>2991</v>
      </c>
    </row>
    <row r="22" ht="39.95" customHeight="1" spans="2:6">
      <c r="B22" s="240">
        <v>10043</v>
      </c>
      <c r="C22" s="240" t="s">
        <v>982</v>
      </c>
      <c r="D22" s="240" t="s">
        <v>2992</v>
      </c>
      <c r="E22" s="241" t="s">
        <v>2993</v>
      </c>
      <c r="F22" s="241" t="s">
        <v>2994</v>
      </c>
    </row>
    <row r="23" ht="39.95" customHeight="1" spans="2:6">
      <c r="B23" s="240">
        <v>10044</v>
      </c>
      <c r="C23" s="240" t="s">
        <v>998</v>
      </c>
      <c r="D23" s="240" t="s">
        <v>2995</v>
      </c>
      <c r="E23" s="241" t="s">
        <v>2996</v>
      </c>
      <c r="F23" s="241" t="s">
        <v>2997</v>
      </c>
    </row>
    <row r="24" ht="39.95" customHeight="1" spans="2:6">
      <c r="B24" s="240">
        <v>10045</v>
      </c>
      <c r="C24" s="240" t="s">
        <v>994</v>
      </c>
      <c r="D24" s="240" t="s">
        <v>2998</v>
      </c>
      <c r="E24" s="241" t="s">
        <v>2999</v>
      </c>
      <c r="F24" s="241" t="s">
        <v>2942</v>
      </c>
    </row>
    <row r="25" ht="39.95" customHeight="1" spans="2:6">
      <c r="B25" s="240">
        <v>10046</v>
      </c>
      <c r="C25" s="240" t="s">
        <v>974</v>
      </c>
      <c r="D25" s="240" t="s">
        <v>3000</v>
      </c>
      <c r="E25" s="241" t="s">
        <v>3001</v>
      </c>
      <c r="F25" s="241" t="s">
        <v>2942</v>
      </c>
    </row>
    <row r="26" ht="39.95" customHeight="1" spans="2:6">
      <c r="B26" s="240">
        <v>10047</v>
      </c>
      <c r="C26" s="240" t="s">
        <v>978</v>
      </c>
      <c r="D26" s="240" t="s">
        <v>3002</v>
      </c>
      <c r="E26" s="241" t="s">
        <v>3003</v>
      </c>
      <c r="F26" s="241" t="s">
        <v>2959</v>
      </c>
    </row>
    <row r="27" ht="39.95" customHeight="1" spans="2:6">
      <c r="B27" s="240">
        <v>10048</v>
      </c>
      <c r="C27" s="240" t="s">
        <v>990</v>
      </c>
      <c r="D27" s="240" t="s">
        <v>3004</v>
      </c>
      <c r="E27" s="241" t="s">
        <v>3005</v>
      </c>
      <c r="F27" s="241" t="s">
        <v>2942</v>
      </c>
    </row>
    <row r="28" ht="39.95" customHeight="1" spans="2:6">
      <c r="B28" s="242">
        <v>10049</v>
      </c>
      <c r="C28" s="242" t="s">
        <v>973</v>
      </c>
      <c r="D28" s="240" t="s">
        <v>3006</v>
      </c>
      <c r="E28" s="241" t="s">
        <v>3007</v>
      </c>
      <c r="F28" s="241" t="s">
        <v>3008</v>
      </c>
    </row>
    <row r="29" ht="39.95" customHeight="1" spans="2:6">
      <c r="B29" s="240">
        <v>10050</v>
      </c>
      <c r="C29" s="240" t="s">
        <v>977</v>
      </c>
      <c r="D29" s="240" t="s">
        <v>3009</v>
      </c>
      <c r="E29" s="241" t="s">
        <v>3010</v>
      </c>
      <c r="F29" s="241" t="s">
        <v>3011</v>
      </c>
    </row>
    <row r="30" ht="39.95" customHeight="1" spans="2:6">
      <c r="B30" s="240">
        <v>10051</v>
      </c>
      <c r="C30" s="240" t="s">
        <v>450</v>
      </c>
      <c r="D30" s="240" t="s">
        <v>3012</v>
      </c>
      <c r="E30" s="241" t="s">
        <v>3013</v>
      </c>
      <c r="F30" s="241" t="s">
        <v>3014</v>
      </c>
    </row>
    <row r="31" ht="39.95" customHeight="1" spans="2:6">
      <c r="B31" s="240">
        <v>10054</v>
      </c>
      <c r="C31" s="240" t="s">
        <v>981</v>
      </c>
      <c r="D31" s="240" t="s">
        <v>3015</v>
      </c>
      <c r="E31" s="241" t="s">
        <v>3016</v>
      </c>
      <c r="F31" s="241" t="s">
        <v>3017</v>
      </c>
    </row>
    <row r="32" ht="39.95" customHeight="1" spans="2:6">
      <c r="B32" s="240">
        <v>10055</v>
      </c>
      <c r="C32" s="240" t="s">
        <v>968</v>
      </c>
      <c r="D32" s="240" t="s">
        <v>3018</v>
      </c>
      <c r="E32" s="241" t="s">
        <v>3019</v>
      </c>
      <c r="F32" s="241" t="s">
        <v>3020</v>
      </c>
    </row>
    <row r="33" ht="39.95" customHeight="1" spans="2:17">
      <c r="B33" s="240">
        <v>10056</v>
      </c>
      <c r="C33" s="240" t="s">
        <v>966</v>
      </c>
      <c r="D33" s="240" t="s">
        <v>3021</v>
      </c>
      <c r="E33" s="241" t="s">
        <v>3022</v>
      </c>
      <c r="F33" s="241" t="s">
        <v>3023</v>
      </c>
    </row>
    <row r="34" ht="39.95" customHeight="1" spans="2:17">
      <c r="B34" s="240">
        <v>10060</v>
      </c>
      <c r="C34" s="240" t="s">
        <v>976</v>
      </c>
      <c r="D34" s="240" t="s">
        <v>3024</v>
      </c>
      <c r="E34" s="241" t="s">
        <v>3025</v>
      </c>
      <c r="F34" s="241" t="s">
        <v>3026</v>
      </c>
    </row>
    <row r="35" ht="39.95" customHeight="1" spans="2:17">
      <c r="B35" s="240">
        <v>10063</v>
      </c>
      <c r="C35" s="240" t="s">
        <v>956</v>
      </c>
      <c r="D35" s="240" t="s">
        <v>3027</v>
      </c>
      <c r="E35" s="241" t="s">
        <v>3028</v>
      </c>
      <c r="F35" s="241" t="s">
        <v>3029</v>
      </c>
    </row>
    <row r="36" ht="39.95" customHeight="1" spans="2:17">
      <c r="B36" s="240">
        <v>10064</v>
      </c>
      <c r="C36" s="240" t="s">
        <v>972</v>
      </c>
      <c r="D36" s="240" t="s">
        <v>3030</v>
      </c>
      <c r="E36" s="241" t="s">
        <v>3031</v>
      </c>
      <c r="F36" s="241" t="s">
        <v>3032</v>
      </c>
    </row>
    <row r="37" ht="20.1" customHeight="1" spans="2:17">
      <c r="B37" s="243"/>
      <c r="C37" s="243"/>
      <c r="D37" s="243"/>
      <c r="E37" s="244"/>
      <c r="F37" s="244"/>
    </row>
    <row r="38" ht="39.95" customHeight="1" spans="2:17">
      <c r="B38" s="231">
        <v>10052</v>
      </c>
      <c r="C38" s="231" t="s">
        <v>984</v>
      </c>
      <c r="D38" s="231" t="s">
        <v>3033</v>
      </c>
      <c r="E38" s="245" t="s">
        <v>3034</v>
      </c>
      <c r="F38" s="245" t="s">
        <v>3035</v>
      </c>
    </row>
    <row r="39" ht="39.95" customHeight="1" spans="2:17">
      <c r="B39" s="231">
        <v>10053</v>
      </c>
      <c r="C39" s="231" t="s">
        <v>969</v>
      </c>
      <c r="D39" s="231" t="s">
        <v>3036</v>
      </c>
      <c r="E39" s="245" t="s">
        <v>3037</v>
      </c>
      <c r="F39" s="245" t="s">
        <v>3038</v>
      </c>
    </row>
    <row r="40" ht="20.1" customHeight="1" spans="2:17">
      <c r="I40" s="246"/>
      <c r="J40" s="246"/>
      <c r="K40" s="246"/>
      <c r="L40" s="246"/>
      <c r="N40" s="246"/>
      <c r="O40" s="246"/>
      <c r="P40" s="246"/>
      <c r="Q40" s="246"/>
    </row>
    <row r="41" ht="20.1" customHeight="1" spans="2:17">
      <c r="I41" s="247" t="s">
        <v>3039</v>
      </c>
      <c r="J41" s="248"/>
      <c r="K41" s="248"/>
      <c r="L41" s="249"/>
      <c r="N41" s="247" t="s">
        <v>3040</v>
      </c>
      <c r="O41" s="248"/>
      <c r="P41" s="248"/>
      <c r="Q41" s="249"/>
    </row>
    <row r="42" ht="20.1" customHeight="1" spans="2:17">
      <c r="I42" s="231" t="s">
        <v>2544</v>
      </c>
      <c r="J42" s="231" t="s">
        <v>3041</v>
      </c>
      <c r="K42" s="231" t="s">
        <v>1130</v>
      </c>
      <c r="L42" s="249" t="s">
        <v>1137</v>
      </c>
      <c r="N42" s="231" t="s">
        <v>2544</v>
      </c>
      <c r="O42" s="231" t="s">
        <v>3041</v>
      </c>
      <c r="P42" s="231" t="s">
        <v>1130</v>
      </c>
      <c r="Q42" s="231" t="s">
        <v>1137</v>
      </c>
    </row>
    <row r="43" ht="20.1" customHeight="1" spans="2:17">
      <c r="I43" s="250">
        <v>0</v>
      </c>
      <c r="J43" s="250">
        <v>25</v>
      </c>
      <c r="K43" s="250"/>
      <c r="L43" s="251"/>
      <c r="N43" s="250">
        <v>0</v>
      </c>
      <c r="O43" s="250">
        <v>35</v>
      </c>
      <c r="P43" s="250"/>
      <c r="Q43" s="250"/>
    </row>
    <row r="44" ht="20.1" customHeight="1" spans="2:17">
      <c r="I44" s="252">
        <v>1</v>
      </c>
      <c r="J44" s="252">
        <v>10</v>
      </c>
      <c r="K44" s="252">
        <v>40</v>
      </c>
      <c r="L44" s="253">
        <v>30</v>
      </c>
      <c r="N44" s="252">
        <v>1</v>
      </c>
      <c r="O44" s="252">
        <v>10</v>
      </c>
      <c r="P44" s="252">
        <v>50</v>
      </c>
      <c r="Q44" s="253">
        <v>50</v>
      </c>
    </row>
    <row r="45" ht="20.1" customHeight="1" spans="2:17">
      <c r="I45" s="252">
        <v>2</v>
      </c>
      <c r="J45" s="252">
        <v>10</v>
      </c>
      <c r="K45" s="252">
        <v>80</v>
      </c>
      <c r="L45" s="253">
        <v>60</v>
      </c>
      <c r="N45" s="252">
        <v>2</v>
      </c>
      <c r="O45" s="252">
        <v>10</v>
      </c>
      <c r="P45" s="252">
        <v>100</v>
      </c>
      <c r="Q45" s="252">
        <v>100</v>
      </c>
    </row>
    <row r="46" ht="20.1" customHeight="1" spans="2:17">
      <c r="I46" s="252">
        <v>3</v>
      </c>
      <c r="J46" s="252">
        <v>10</v>
      </c>
      <c r="K46" s="252">
        <v>120</v>
      </c>
      <c r="L46" s="253">
        <v>90</v>
      </c>
      <c r="N46" s="252">
        <v>3</v>
      </c>
      <c r="O46" s="252">
        <v>10</v>
      </c>
      <c r="P46" s="254">
        <v>150</v>
      </c>
      <c r="Q46" s="254">
        <v>150</v>
      </c>
    </row>
    <row r="47" ht="20.1" customHeight="1" spans="2:17">
      <c r="I47" s="252">
        <v>4</v>
      </c>
      <c r="J47" s="252">
        <v>20</v>
      </c>
      <c r="K47" s="252">
        <v>160</v>
      </c>
      <c r="L47" s="253">
        <v>120</v>
      </c>
      <c r="N47" s="252">
        <v>4</v>
      </c>
      <c r="O47" s="252">
        <v>20</v>
      </c>
      <c r="P47" s="252">
        <v>200</v>
      </c>
      <c r="Q47" s="252">
        <v>200</v>
      </c>
    </row>
    <row r="48" ht="20.1" customHeight="1" spans="2:17">
      <c r="I48" s="252">
        <v>5</v>
      </c>
      <c r="J48" s="252">
        <v>20</v>
      </c>
      <c r="K48" s="252">
        <v>200</v>
      </c>
      <c r="L48" s="253">
        <v>150</v>
      </c>
      <c r="N48" s="252">
        <v>5</v>
      </c>
      <c r="O48" s="252">
        <v>20</v>
      </c>
      <c r="P48" s="254">
        <v>250</v>
      </c>
      <c r="Q48" s="254">
        <v>250</v>
      </c>
    </row>
    <row r="49" ht="20.1" customHeight="1" spans="2:17">
      <c r="I49" s="252">
        <v>6</v>
      </c>
      <c r="J49" s="252">
        <v>20</v>
      </c>
      <c r="K49" s="252">
        <v>240</v>
      </c>
      <c r="L49" s="253">
        <v>180</v>
      </c>
      <c r="N49" s="252">
        <v>6</v>
      </c>
      <c r="O49" s="252">
        <v>20</v>
      </c>
      <c r="P49" s="252">
        <v>300</v>
      </c>
      <c r="Q49" s="252">
        <v>300</v>
      </c>
    </row>
    <row r="50" ht="20.1" customHeight="1" spans="2:17">
      <c r="I50" s="252">
        <v>7</v>
      </c>
      <c r="J50" s="252">
        <v>40</v>
      </c>
      <c r="K50" s="252">
        <v>280</v>
      </c>
      <c r="L50" s="253">
        <v>210</v>
      </c>
      <c r="N50" s="252">
        <v>7</v>
      </c>
      <c r="O50" s="252">
        <v>40</v>
      </c>
      <c r="P50" s="254">
        <v>350</v>
      </c>
      <c r="Q50" s="254">
        <v>350</v>
      </c>
    </row>
    <row r="51" ht="20.1" customHeight="1" spans="2:17">
      <c r="I51" s="252">
        <v>8</v>
      </c>
      <c r="J51" s="252">
        <v>40</v>
      </c>
      <c r="K51" s="252">
        <v>320</v>
      </c>
      <c r="L51" s="253">
        <v>240</v>
      </c>
      <c r="N51" s="252">
        <v>8</v>
      </c>
      <c r="O51" s="252">
        <v>40</v>
      </c>
      <c r="P51" s="252">
        <v>400</v>
      </c>
      <c r="Q51" s="252">
        <v>400</v>
      </c>
    </row>
    <row r="52" ht="20.1" customHeight="1" spans="2:17">
      <c r="I52" s="252">
        <v>9</v>
      </c>
      <c r="J52" s="252">
        <v>40</v>
      </c>
      <c r="K52" s="252">
        <v>360</v>
      </c>
      <c r="L52" s="253">
        <v>270</v>
      </c>
      <c r="N52" s="252">
        <v>9</v>
      </c>
      <c r="O52" s="252">
        <v>40</v>
      </c>
      <c r="P52" s="254">
        <v>450</v>
      </c>
      <c r="Q52" s="254">
        <v>450</v>
      </c>
    </row>
    <row r="53" ht="20.1" customHeight="1" spans="2:17">
      <c r="I53" s="255">
        <v>10</v>
      </c>
      <c r="J53" s="255">
        <v>60</v>
      </c>
      <c r="K53" s="255">
        <v>400</v>
      </c>
      <c r="L53" s="256">
        <v>300</v>
      </c>
      <c r="N53" s="255">
        <v>10</v>
      </c>
      <c r="O53" s="255">
        <v>60</v>
      </c>
      <c r="P53" s="257">
        <v>500</v>
      </c>
      <c r="Q53" s="257">
        <v>500</v>
      </c>
    </row>
    <row r="54" ht="20.1" customHeight="1" spans="2:17">
      <c r="I54" s="258" t="s">
        <v>226</v>
      </c>
      <c r="J54" s="258">
        <f>SUM(J43:J53)</f>
        <v>295</v>
      </c>
      <c r="K54" s="258">
        <f>SUM(K43:K53)</f>
        <v>2200</v>
      </c>
      <c r="L54" s="258">
        <f t="shared" ref="L54" si="0">SUM(L43:L53)</f>
        <v>1650</v>
      </c>
      <c r="N54" s="258" t="s">
        <v>226</v>
      </c>
      <c r="O54" s="231">
        <f>SUM(O43:O53)</f>
        <v>305</v>
      </c>
      <c r="P54" s="231">
        <f t="shared" ref="P54:Q54" si="1">SUM(P43:P53)</f>
        <v>2750</v>
      </c>
      <c r="Q54" s="231">
        <f t="shared" si="1"/>
        <v>2750</v>
      </c>
    </row>
    <row r="55" ht="20.1" customHeight="1"/>
    <row r="56" spans="2:17">
      <c r="B56" s="152"/>
      <c r="C56" s="152"/>
    </row>
    <row r="57" spans="2:17">
      <c r="B57" s="152"/>
      <c r="C57" s="152"/>
    </row>
    <row r="58" spans="2:17">
      <c r="B58" s="152"/>
      <c r="C58" s="152"/>
    </row>
    <row r="59" spans="2:17">
      <c r="B59" s="152"/>
      <c r="C59" s="152"/>
    </row>
    <row r="60" spans="2:17">
      <c r="B60" s="152"/>
      <c r="C60" s="152"/>
    </row>
    <row r="61" spans="2:17">
      <c r="B61" s="152"/>
      <c r="C61" s="152"/>
    </row>
    <row r="62" spans="2:17">
      <c r="B62" s="152"/>
      <c r="C62" s="152"/>
    </row>
    <row r="63" spans="2:17">
      <c r="B63" s="152"/>
      <c r="C63" s="152"/>
    </row>
    <row r="64" spans="2:17">
      <c r="B64" s="152"/>
      <c r="C64" s="152"/>
    </row>
    <row r="65" spans="2:3">
      <c r="B65" s="152"/>
      <c r="C65" s="152"/>
    </row>
    <row r="88" spans="2:3">
      <c r="B88" s="152"/>
      <c r="C88" s="152"/>
    </row>
    <row r="89" spans="2:3">
      <c r="B89" s="152"/>
      <c r="C89" s="152"/>
    </row>
  </sheetData>
  <mergeCells count="4">
    <mergeCell ref="I40:L40"/>
    <mergeCell ref="N40:Q40"/>
    <mergeCell ref="I41:L41"/>
    <mergeCell ref="N41:Q4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20"/>
  <sheetViews>
    <sheetView workbookViewId="0">
      <selection activeCell="L23" sqref="L23"/>
    </sheetView>
  </sheetViews>
  <sheetFormatPr defaultColWidth="9" defaultRowHeight="13.5"/>
  <cols>
    <col min="2" max="7" width="9" style="41"/>
    <col min="9" max="9" width="9" style="41"/>
  </cols>
  <sheetData>
    <row r="2" ht="14.25"/>
    <row r="3" ht="14.25" spans="3:9">
      <c r="F3" s="239" t="s">
        <v>3042</v>
      </c>
    </row>
    <row r="5" spans="3:9">
      <c r="C5" s="2" t="s">
        <v>2168</v>
      </c>
      <c r="D5" s="13">
        <v>1</v>
      </c>
      <c r="E5" s="13">
        <v>1</v>
      </c>
      <c r="F5" s="13">
        <v>1</v>
      </c>
      <c r="G5" s="13">
        <v>1</v>
      </c>
      <c r="H5" s="13">
        <f>SUM(C5:G5)</f>
        <v>4</v>
      </c>
      <c r="I5" s="2" t="s">
        <v>2626</v>
      </c>
    </row>
    <row r="6" spans="3:9">
      <c r="C6" s="2" t="s">
        <v>2177</v>
      </c>
      <c r="D6" s="13">
        <v>1</v>
      </c>
      <c r="E6" s="13">
        <v>1</v>
      </c>
      <c r="F6" s="13">
        <v>1</v>
      </c>
      <c r="G6" s="13">
        <v>1</v>
      </c>
      <c r="H6" s="13">
        <f t="shared" ref="H6:H19" si="0">SUM(C6:G6)</f>
        <v>4</v>
      </c>
      <c r="I6" s="2">
        <f>H5+H6</f>
        <v>8</v>
      </c>
    </row>
    <row r="7" spans="3:9">
      <c r="C7" s="2" t="s">
        <v>2188</v>
      </c>
      <c r="D7" s="13">
        <v>2</v>
      </c>
      <c r="E7" s="13">
        <v>2</v>
      </c>
      <c r="F7" s="13">
        <v>2</v>
      </c>
      <c r="G7" s="13">
        <v>2</v>
      </c>
      <c r="H7" s="13">
        <f t="shared" si="0"/>
        <v>8</v>
      </c>
      <c r="I7" s="2">
        <f>I6+H7</f>
        <v>16</v>
      </c>
    </row>
    <row r="8" spans="3:9">
      <c r="C8" s="2" t="s">
        <v>2199</v>
      </c>
      <c r="D8" s="13">
        <v>2</v>
      </c>
      <c r="E8" s="13">
        <v>2</v>
      </c>
      <c r="F8" s="13">
        <v>2</v>
      </c>
      <c r="G8" s="13">
        <v>2</v>
      </c>
      <c r="H8" s="13">
        <f t="shared" si="0"/>
        <v>8</v>
      </c>
      <c r="I8" s="2">
        <f t="shared" ref="I8:I19" si="1">I7+H8</f>
        <v>24</v>
      </c>
    </row>
    <row r="9" spans="3:9">
      <c r="C9" s="2" t="s">
        <v>2209</v>
      </c>
      <c r="D9" s="13">
        <v>3</v>
      </c>
      <c r="E9" s="13">
        <v>3</v>
      </c>
      <c r="F9" s="13">
        <v>3</v>
      </c>
      <c r="G9" s="13">
        <v>3</v>
      </c>
      <c r="H9" s="13">
        <f t="shared" si="0"/>
        <v>12</v>
      </c>
      <c r="I9" s="2">
        <f t="shared" si="1"/>
        <v>36</v>
      </c>
    </row>
    <row r="10" spans="3:9">
      <c r="C10" s="2" t="s">
        <v>3043</v>
      </c>
      <c r="D10" s="13">
        <v>3</v>
      </c>
      <c r="E10" s="13">
        <v>3</v>
      </c>
      <c r="F10" s="13">
        <v>3</v>
      </c>
      <c r="G10" s="13">
        <v>3</v>
      </c>
      <c r="H10" s="13">
        <f t="shared" si="0"/>
        <v>12</v>
      </c>
      <c r="I10" s="2">
        <f t="shared" si="1"/>
        <v>48</v>
      </c>
    </row>
    <row r="11" spans="3:9">
      <c r="C11" s="2" t="s">
        <v>2597</v>
      </c>
      <c r="D11" s="13">
        <v>3</v>
      </c>
      <c r="E11" s="13">
        <v>3</v>
      </c>
      <c r="F11" s="13">
        <v>3</v>
      </c>
      <c r="G11" s="13">
        <v>3</v>
      </c>
      <c r="H11" s="13">
        <f t="shared" si="0"/>
        <v>12</v>
      </c>
      <c r="I11" s="2">
        <f t="shared" si="1"/>
        <v>60</v>
      </c>
    </row>
    <row r="12" spans="3:9">
      <c r="C12" s="2" t="s">
        <v>2473</v>
      </c>
      <c r="D12" s="13">
        <v>3</v>
      </c>
      <c r="E12" s="13">
        <v>3</v>
      </c>
      <c r="F12" s="13">
        <v>3</v>
      </c>
      <c r="G12" s="13">
        <v>3</v>
      </c>
      <c r="H12" s="13">
        <f t="shared" si="0"/>
        <v>12</v>
      </c>
      <c r="I12" s="2">
        <f t="shared" si="1"/>
        <v>72</v>
      </c>
    </row>
    <row r="13" spans="3:9">
      <c r="C13" s="2" t="s">
        <v>2474</v>
      </c>
      <c r="D13" s="13">
        <v>3</v>
      </c>
      <c r="E13" s="13">
        <v>3</v>
      </c>
      <c r="F13" s="13">
        <v>3</v>
      </c>
      <c r="G13" s="13">
        <v>3</v>
      </c>
      <c r="H13" s="13">
        <f t="shared" si="0"/>
        <v>12</v>
      </c>
      <c r="I13" s="2">
        <f t="shared" si="1"/>
        <v>84</v>
      </c>
    </row>
    <row r="14" spans="3:9">
      <c r="C14" s="2" t="s">
        <v>2475</v>
      </c>
      <c r="D14" s="13">
        <v>4</v>
      </c>
      <c r="E14" s="13">
        <v>4</v>
      </c>
      <c r="F14" s="13">
        <v>4</v>
      </c>
      <c r="G14" s="13">
        <v>4</v>
      </c>
      <c r="H14" s="13">
        <f t="shared" si="0"/>
        <v>16</v>
      </c>
      <c r="I14" s="2">
        <f t="shared" si="1"/>
        <v>100</v>
      </c>
    </row>
    <row r="15" spans="3:9">
      <c r="C15" s="2" t="s">
        <v>3044</v>
      </c>
      <c r="D15" s="13">
        <v>4</v>
      </c>
      <c r="E15" s="13">
        <v>4</v>
      </c>
      <c r="F15" s="13">
        <v>4</v>
      </c>
      <c r="G15" s="13">
        <v>4</v>
      </c>
      <c r="H15" s="13">
        <f t="shared" si="0"/>
        <v>16</v>
      </c>
      <c r="I15" s="2">
        <f t="shared" si="1"/>
        <v>116</v>
      </c>
    </row>
    <row r="16" spans="3:9">
      <c r="C16" s="2" t="s">
        <v>3045</v>
      </c>
      <c r="D16" s="13">
        <v>4</v>
      </c>
      <c r="E16" s="13">
        <v>4</v>
      </c>
      <c r="F16" s="13">
        <v>4</v>
      </c>
      <c r="G16" s="13">
        <v>4</v>
      </c>
      <c r="H16" s="13">
        <f t="shared" si="0"/>
        <v>16</v>
      </c>
      <c r="I16" s="2">
        <f t="shared" si="1"/>
        <v>132</v>
      </c>
    </row>
    <row r="17" spans="3:9">
      <c r="C17" s="2" t="s">
        <v>3046</v>
      </c>
      <c r="D17" s="13">
        <v>4</v>
      </c>
      <c r="E17" s="13">
        <v>4</v>
      </c>
      <c r="F17" s="13">
        <v>4</v>
      </c>
      <c r="G17" s="13">
        <v>4</v>
      </c>
      <c r="H17" s="13">
        <f t="shared" si="0"/>
        <v>16</v>
      </c>
      <c r="I17" s="2">
        <f t="shared" si="1"/>
        <v>148</v>
      </c>
    </row>
    <row r="18" spans="3:9">
      <c r="C18" s="2" t="s">
        <v>3047</v>
      </c>
      <c r="D18" s="13">
        <v>4</v>
      </c>
      <c r="E18" s="13">
        <v>4</v>
      </c>
      <c r="F18" s="13">
        <v>4</v>
      </c>
      <c r="G18" s="13">
        <v>4</v>
      </c>
      <c r="H18" s="13">
        <f t="shared" si="0"/>
        <v>16</v>
      </c>
      <c r="I18" s="2">
        <f t="shared" si="1"/>
        <v>164</v>
      </c>
    </row>
    <row r="19" spans="3:9">
      <c r="C19" s="2" t="s">
        <v>1344</v>
      </c>
      <c r="D19" s="13">
        <v>5</v>
      </c>
      <c r="E19" s="13">
        <v>5</v>
      </c>
      <c r="F19" s="13">
        <v>5</v>
      </c>
      <c r="G19" s="13">
        <v>5</v>
      </c>
      <c r="H19" s="13">
        <f t="shared" si="0"/>
        <v>20</v>
      </c>
      <c r="I19" s="2">
        <f t="shared" si="1"/>
        <v>184</v>
      </c>
    </row>
    <row r="20" spans="3:9">
      <c r="C20" s="2" t="s">
        <v>2626</v>
      </c>
      <c r="D20" s="2">
        <f>SUM(D5:D19)</f>
        <v>46</v>
      </c>
      <c r="E20" s="2">
        <f t="shared" ref="E20:H20" si="2">SUM(E5:E19)</f>
        <v>46</v>
      </c>
      <c r="F20" s="2">
        <f t="shared" si="2"/>
        <v>46</v>
      </c>
      <c r="G20" s="2">
        <f t="shared" si="2"/>
        <v>46</v>
      </c>
      <c r="H20" s="2">
        <f t="shared" si="2"/>
        <v>184</v>
      </c>
      <c r="I20" s="13"/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1"/>
  <sheetViews>
    <sheetView topLeftCell="A12" workbookViewId="0">
      <selection activeCell="C51" sqref="C51"/>
    </sheetView>
  </sheetViews>
  <sheetFormatPr defaultColWidth="9" defaultRowHeight="13.5"/>
  <cols>
    <col min="1" max="1" width="3.5" style="14" customWidth="1"/>
    <col min="2" max="2" width="11.75" style="229" customWidth="1"/>
    <col min="3" max="3" width="9.875" style="229" customWidth="1"/>
    <col min="4" max="4" width="10.875" style="229" customWidth="1"/>
    <col min="5" max="5" width="20.625" style="14" customWidth="1"/>
    <col min="6" max="6" width="11.5" style="229" customWidth="1"/>
    <col min="7" max="7" width="25.375" style="14" customWidth="1"/>
    <col min="8" max="8" width="10.875" style="229" customWidth="1"/>
    <col min="9" max="9" width="29.625" style="14" customWidth="1"/>
    <col min="10" max="10" width="9.5" style="229" customWidth="1"/>
    <col min="11" max="11" width="44" style="14" customWidth="1"/>
    <col min="12" max="12" width="9.5" style="229" customWidth="1"/>
    <col min="13" max="13" width="44.125" style="14" customWidth="1"/>
    <col min="14" max="14" width="9.125" style="229" customWidth="1"/>
    <col min="15" max="15" width="9" style="229"/>
    <col min="16" max="16384" width="9" style="14"/>
  </cols>
  <sheetData>
    <row r="1" ht="14.25"/>
    <row r="2" s="229" customFormat="1" ht="18" customHeight="1" spans="2:16">
      <c r="B2" s="230" t="s">
        <v>1650</v>
      </c>
      <c r="C2" s="230" t="s">
        <v>1651</v>
      </c>
      <c r="D2" s="230" t="s">
        <v>3048</v>
      </c>
      <c r="E2" s="230" t="s">
        <v>1881</v>
      </c>
      <c r="F2" s="230" t="s">
        <v>1652</v>
      </c>
      <c r="G2" s="230" t="s">
        <v>1653</v>
      </c>
      <c r="H2" s="230" t="s">
        <v>1654</v>
      </c>
      <c r="I2" s="231" t="s">
        <v>1655</v>
      </c>
      <c r="J2" s="231" t="s">
        <v>1656</v>
      </c>
      <c r="K2" s="231" t="s">
        <v>1657</v>
      </c>
      <c r="L2" s="231" t="s">
        <v>1658</v>
      </c>
      <c r="M2" s="231" t="s">
        <v>1659</v>
      </c>
      <c r="N2" s="231" t="s">
        <v>1651</v>
      </c>
      <c r="O2" s="231" t="s">
        <v>1650</v>
      </c>
    </row>
    <row r="3" ht="18" customHeight="1" spans="2:16">
      <c r="B3" s="232" t="s">
        <v>1726</v>
      </c>
      <c r="C3" s="232" t="s">
        <v>747</v>
      </c>
      <c r="D3" s="232" t="s">
        <v>1670</v>
      </c>
      <c r="E3" s="233" t="s">
        <v>3049</v>
      </c>
      <c r="F3" s="232" t="s">
        <v>1670</v>
      </c>
      <c r="G3" s="233" t="s">
        <v>3050</v>
      </c>
      <c r="H3" s="232" t="s">
        <v>1670</v>
      </c>
      <c r="I3" s="234" t="s">
        <v>3051</v>
      </c>
      <c r="J3" s="235" t="s">
        <v>1670</v>
      </c>
      <c r="K3" s="234" t="s">
        <v>1727</v>
      </c>
      <c r="L3" s="235" t="s">
        <v>1670</v>
      </c>
      <c r="M3" s="234" t="s">
        <v>1728</v>
      </c>
      <c r="N3" s="235" t="s">
        <v>747</v>
      </c>
      <c r="O3" s="235" t="s">
        <v>1726</v>
      </c>
      <c r="P3" s="236"/>
    </row>
    <row r="4" ht="18" customHeight="1" spans="2:16">
      <c r="B4" s="232" t="s">
        <v>1726</v>
      </c>
      <c r="C4" s="232" t="s">
        <v>106</v>
      </c>
      <c r="D4" s="232" t="s">
        <v>1670</v>
      </c>
      <c r="E4" s="233" t="s">
        <v>3052</v>
      </c>
      <c r="F4" s="232" t="s">
        <v>1670</v>
      </c>
      <c r="G4" s="233" t="s">
        <v>3053</v>
      </c>
      <c r="H4" s="232" t="s">
        <v>1670</v>
      </c>
      <c r="I4" s="234" t="s">
        <v>3054</v>
      </c>
      <c r="J4" s="235" t="s">
        <v>1670</v>
      </c>
      <c r="K4" s="237" t="s">
        <v>1727</v>
      </c>
      <c r="L4" s="235" t="s">
        <v>1670</v>
      </c>
      <c r="M4" s="237" t="s">
        <v>1728</v>
      </c>
      <c r="N4" s="235" t="s">
        <v>106</v>
      </c>
      <c r="O4" s="235" t="s">
        <v>1726</v>
      </c>
      <c r="P4" s="238"/>
    </row>
    <row r="5" ht="18" customHeight="1" spans="2:16">
      <c r="B5" s="232" t="s">
        <v>1726</v>
      </c>
      <c r="C5" s="232" t="s">
        <v>117</v>
      </c>
      <c r="D5" s="232" t="s">
        <v>1670</v>
      </c>
      <c r="E5" s="233" t="s">
        <v>3055</v>
      </c>
      <c r="F5" s="232" t="s">
        <v>1670</v>
      </c>
      <c r="G5" s="233" t="s">
        <v>3056</v>
      </c>
      <c r="H5" s="232" t="s">
        <v>1670</v>
      </c>
      <c r="I5" s="234" t="s">
        <v>3057</v>
      </c>
      <c r="J5" s="235" t="s">
        <v>1670</v>
      </c>
      <c r="K5" s="234" t="s">
        <v>1727</v>
      </c>
      <c r="L5" s="235" t="s">
        <v>1670</v>
      </c>
      <c r="M5" s="234" t="s">
        <v>1728</v>
      </c>
      <c r="N5" s="235" t="s">
        <v>117</v>
      </c>
      <c r="O5" s="235" t="s">
        <v>1726</v>
      </c>
      <c r="P5" s="238"/>
    </row>
    <row r="6" ht="18" customHeight="1" spans="2:16">
      <c r="B6" s="232" t="s">
        <v>1729</v>
      </c>
      <c r="C6" s="232" t="s">
        <v>734</v>
      </c>
      <c r="D6" s="232" t="s">
        <v>1670</v>
      </c>
      <c r="E6" s="233" t="s">
        <v>3058</v>
      </c>
      <c r="F6" s="232" t="s">
        <v>1670</v>
      </c>
      <c r="G6" s="233" t="s">
        <v>3059</v>
      </c>
      <c r="H6" s="232" t="s">
        <v>1670</v>
      </c>
      <c r="I6" s="234" t="s">
        <v>3060</v>
      </c>
      <c r="J6" s="235" t="s">
        <v>1670</v>
      </c>
      <c r="K6" s="237" t="s">
        <v>3061</v>
      </c>
      <c r="L6" s="235" t="s">
        <v>1670</v>
      </c>
      <c r="M6" s="237" t="s">
        <v>3062</v>
      </c>
      <c r="N6" s="235" t="s">
        <v>734</v>
      </c>
      <c r="O6" s="235" t="s">
        <v>1729</v>
      </c>
      <c r="P6" s="238"/>
    </row>
    <row r="7" ht="18" customHeight="1" spans="2:16">
      <c r="B7" s="232" t="s">
        <v>1729</v>
      </c>
      <c r="C7" s="232" t="s">
        <v>794</v>
      </c>
      <c r="D7" s="232" t="s">
        <v>1663</v>
      </c>
      <c r="E7" s="233" t="s">
        <v>3063</v>
      </c>
      <c r="F7" s="232" t="s">
        <v>1663</v>
      </c>
      <c r="G7" s="233" t="s">
        <v>3064</v>
      </c>
      <c r="H7" s="232" t="s">
        <v>1663</v>
      </c>
      <c r="I7" s="234" t="s">
        <v>3065</v>
      </c>
      <c r="J7" s="235" t="s">
        <v>1732</v>
      </c>
      <c r="K7" s="237" t="s">
        <v>3066</v>
      </c>
      <c r="L7" s="235" t="s">
        <v>1732</v>
      </c>
      <c r="M7" s="237" t="s">
        <v>3067</v>
      </c>
      <c r="N7" s="235" t="s">
        <v>794</v>
      </c>
      <c r="O7" s="235" t="s">
        <v>1729</v>
      </c>
      <c r="P7" s="238"/>
    </row>
    <row r="8" ht="18" customHeight="1" spans="2:16">
      <c r="B8" s="232" t="s">
        <v>1735</v>
      </c>
      <c r="C8" s="232" t="s">
        <v>124</v>
      </c>
      <c r="D8" s="232" t="s">
        <v>1732</v>
      </c>
      <c r="E8" s="233" t="s">
        <v>3068</v>
      </c>
      <c r="F8" s="232" t="s">
        <v>1732</v>
      </c>
      <c r="G8" s="233" t="s">
        <v>3069</v>
      </c>
      <c r="H8" s="232" t="s">
        <v>1732</v>
      </c>
      <c r="I8" s="234" t="s">
        <v>3070</v>
      </c>
      <c r="J8" s="235" t="s">
        <v>1732</v>
      </c>
      <c r="K8" s="237" t="s">
        <v>3071</v>
      </c>
      <c r="L8" s="235" t="s">
        <v>1732</v>
      </c>
      <c r="M8" s="237" t="s">
        <v>3072</v>
      </c>
      <c r="N8" s="235" t="s">
        <v>124</v>
      </c>
      <c r="O8" s="235" t="s">
        <v>1735</v>
      </c>
      <c r="P8" s="238"/>
    </row>
    <row r="9" ht="18" customHeight="1" spans="2:16">
      <c r="B9" s="232" t="s">
        <v>1735</v>
      </c>
      <c r="C9" s="232" t="s">
        <v>753</v>
      </c>
      <c r="D9" s="232" t="s">
        <v>1732</v>
      </c>
      <c r="E9" s="233" t="s">
        <v>3073</v>
      </c>
      <c r="F9" s="232" t="s">
        <v>1732</v>
      </c>
      <c r="G9" s="233" t="s">
        <v>3074</v>
      </c>
      <c r="H9" s="232" t="s">
        <v>1732</v>
      </c>
      <c r="I9" s="234" t="s">
        <v>3075</v>
      </c>
      <c r="J9" s="235" t="s">
        <v>1732</v>
      </c>
      <c r="K9" s="237" t="s">
        <v>3071</v>
      </c>
      <c r="L9" s="235" t="s">
        <v>1732</v>
      </c>
      <c r="M9" s="237" t="s">
        <v>3072</v>
      </c>
      <c r="N9" s="235" t="s">
        <v>753</v>
      </c>
      <c r="O9" s="235" t="s">
        <v>1735</v>
      </c>
      <c r="P9" s="238"/>
    </row>
    <row r="10" ht="18" customHeight="1" spans="2:16">
      <c r="B10" s="232" t="s">
        <v>1738</v>
      </c>
      <c r="C10" s="232" t="s">
        <v>743</v>
      </c>
      <c r="D10" s="232" t="s">
        <v>1670</v>
      </c>
      <c r="E10" s="233" t="s">
        <v>3049</v>
      </c>
      <c r="F10" s="232" t="s">
        <v>1670</v>
      </c>
      <c r="G10" s="233" t="s">
        <v>3076</v>
      </c>
      <c r="H10" s="232" t="s">
        <v>1670</v>
      </c>
      <c r="I10" s="234" t="s">
        <v>3077</v>
      </c>
      <c r="J10" s="235" t="s">
        <v>1663</v>
      </c>
      <c r="K10" s="234" t="s">
        <v>3078</v>
      </c>
      <c r="L10" s="235" t="s">
        <v>1663</v>
      </c>
      <c r="M10" s="234" t="s">
        <v>3079</v>
      </c>
      <c r="N10" s="235" t="s">
        <v>743</v>
      </c>
      <c r="O10" s="235" t="s">
        <v>1738</v>
      </c>
      <c r="P10" s="238"/>
    </row>
    <row r="11" ht="18" customHeight="1" spans="2:16">
      <c r="B11" s="232" t="s">
        <v>1738</v>
      </c>
      <c r="C11" s="232" t="s">
        <v>724</v>
      </c>
      <c r="D11" s="232" t="s">
        <v>1732</v>
      </c>
      <c r="E11" s="233" t="s">
        <v>3080</v>
      </c>
      <c r="F11" s="232" t="s">
        <v>1732</v>
      </c>
      <c r="G11" s="233" t="s">
        <v>3081</v>
      </c>
      <c r="H11" s="232" t="s">
        <v>1732</v>
      </c>
      <c r="I11" s="234" t="s">
        <v>3082</v>
      </c>
      <c r="J11" s="235" t="s">
        <v>1663</v>
      </c>
      <c r="K11" s="234" t="s">
        <v>3078</v>
      </c>
      <c r="L11" s="235" t="s">
        <v>1663</v>
      </c>
      <c r="M11" s="237" t="s">
        <v>3079</v>
      </c>
      <c r="N11" s="235" t="s">
        <v>724</v>
      </c>
      <c r="O11" s="235" t="s">
        <v>1738</v>
      </c>
      <c r="P11" s="238"/>
    </row>
    <row r="12" ht="18" customHeight="1" spans="2:16">
      <c r="B12" s="232" t="s">
        <v>1738</v>
      </c>
      <c r="C12" s="232" t="s">
        <v>807</v>
      </c>
      <c r="D12" s="232" t="s">
        <v>1670</v>
      </c>
      <c r="E12" s="233" t="s">
        <v>3083</v>
      </c>
      <c r="F12" s="232" t="s">
        <v>1670</v>
      </c>
      <c r="G12" s="233" t="s">
        <v>3084</v>
      </c>
      <c r="H12" s="232" t="s">
        <v>1670</v>
      </c>
      <c r="I12" s="234" t="s">
        <v>3085</v>
      </c>
      <c r="J12" s="235" t="s">
        <v>1670</v>
      </c>
      <c r="K12" s="234" t="s">
        <v>3078</v>
      </c>
      <c r="L12" s="235" t="s">
        <v>1670</v>
      </c>
      <c r="M12" s="234" t="s">
        <v>3079</v>
      </c>
      <c r="N12" s="235" t="s">
        <v>807</v>
      </c>
      <c r="O12" s="235" t="s">
        <v>1738</v>
      </c>
      <c r="P12" s="238"/>
    </row>
    <row r="13" ht="18" customHeight="1" spans="2:16">
      <c r="B13" s="232" t="s">
        <v>1741</v>
      </c>
      <c r="C13" s="232" t="s">
        <v>701</v>
      </c>
      <c r="D13" s="232" t="s">
        <v>1670</v>
      </c>
      <c r="E13" s="233" t="s">
        <v>3086</v>
      </c>
      <c r="F13" s="232" t="s">
        <v>1670</v>
      </c>
      <c r="G13" s="233" t="s">
        <v>3087</v>
      </c>
      <c r="H13" s="232" t="s">
        <v>1670</v>
      </c>
      <c r="I13" s="234" t="s">
        <v>3088</v>
      </c>
      <c r="J13" s="235" t="s">
        <v>1670</v>
      </c>
      <c r="K13" s="237" t="s">
        <v>1742</v>
      </c>
      <c r="L13" s="235" t="s">
        <v>1670</v>
      </c>
      <c r="M13" s="237" t="s">
        <v>1743</v>
      </c>
      <c r="N13" s="235" t="s">
        <v>701</v>
      </c>
      <c r="O13" s="235" t="s">
        <v>1741</v>
      </c>
      <c r="P13" s="238"/>
    </row>
    <row r="14" ht="18" customHeight="1" spans="2:16">
      <c r="B14" s="232" t="s">
        <v>1741</v>
      </c>
      <c r="C14" s="232" t="s">
        <v>713</v>
      </c>
      <c r="D14" s="232" t="s">
        <v>1670</v>
      </c>
      <c r="E14" s="233" t="s">
        <v>3089</v>
      </c>
      <c r="F14" s="232" t="s">
        <v>1670</v>
      </c>
      <c r="G14" s="233" t="s">
        <v>3090</v>
      </c>
      <c r="H14" s="232" t="s">
        <v>1670</v>
      </c>
      <c r="I14" s="234" t="s">
        <v>3091</v>
      </c>
      <c r="J14" s="235" t="s">
        <v>1670</v>
      </c>
      <c r="K14" s="237" t="s">
        <v>1742</v>
      </c>
      <c r="L14" s="235" t="s">
        <v>1670</v>
      </c>
      <c r="M14" s="237" t="s">
        <v>1743</v>
      </c>
      <c r="N14" s="235" t="s">
        <v>713</v>
      </c>
      <c r="O14" s="235" t="s">
        <v>1741</v>
      </c>
      <c r="P14" s="238"/>
    </row>
    <row r="15" ht="18" customHeight="1" spans="2:16">
      <c r="B15" s="232" t="s">
        <v>1741</v>
      </c>
      <c r="C15" s="232" t="s">
        <v>813</v>
      </c>
      <c r="D15" s="232" t="s">
        <v>1670</v>
      </c>
      <c r="E15" s="233" t="s">
        <v>3092</v>
      </c>
      <c r="F15" s="232" t="s">
        <v>1670</v>
      </c>
      <c r="G15" s="233" t="s">
        <v>3093</v>
      </c>
      <c r="H15" s="232" t="s">
        <v>1670</v>
      </c>
      <c r="I15" s="234" t="s">
        <v>3094</v>
      </c>
      <c r="J15" s="235" t="s">
        <v>1670</v>
      </c>
      <c r="K15" s="237" t="s">
        <v>1742</v>
      </c>
      <c r="L15" s="235" t="s">
        <v>1670</v>
      </c>
      <c r="M15" s="237" t="s">
        <v>1743</v>
      </c>
      <c r="N15" s="235" t="s">
        <v>813</v>
      </c>
      <c r="O15" s="235" t="s">
        <v>1741</v>
      </c>
      <c r="P15" s="238"/>
    </row>
    <row r="16" ht="18" customHeight="1" spans="2:16">
      <c r="B16" s="232" t="s">
        <v>1741</v>
      </c>
      <c r="C16" s="232" t="s">
        <v>1744</v>
      </c>
      <c r="D16" s="232" t="s">
        <v>1670</v>
      </c>
      <c r="E16" s="233" t="s">
        <v>3086</v>
      </c>
      <c r="F16" s="232" t="s">
        <v>1670</v>
      </c>
      <c r="G16" s="233" t="s">
        <v>3087</v>
      </c>
      <c r="H16" s="232" t="s">
        <v>1670</v>
      </c>
      <c r="I16" s="234" t="s">
        <v>3088</v>
      </c>
      <c r="J16" s="235" t="s">
        <v>1670</v>
      </c>
      <c r="K16" s="237" t="s">
        <v>1742</v>
      </c>
      <c r="L16" s="235" t="s">
        <v>1670</v>
      </c>
      <c r="M16" s="237" t="s">
        <v>1743</v>
      </c>
      <c r="N16" s="235" t="s">
        <v>1744</v>
      </c>
      <c r="O16" s="235" t="s">
        <v>1741</v>
      </c>
      <c r="P16" s="238"/>
    </row>
    <row r="17" ht="18" customHeight="1" spans="2:16">
      <c r="B17" s="232" t="s">
        <v>1741</v>
      </c>
      <c r="C17" s="232" t="s">
        <v>132</v>
      </c>
      <c r="D17" s="232" t="s">
        <v>1670</v>
      </c>
      <c r="E17" s="233" t="s">
        <v>3095</v>
      </c>
      <c r="F17" s="232" t="s">
        <v>1670</v>
      </c>
      <c r="G17" s="233" t="s">
        <v>3096</v>
      </c>
      <c r="H17" s="232" t="s">
        <v>1670</v>
      </c>
      <c r="I17" s="234" t="s">
        <v>3097</v>
      </c>
      <c r="J17" s="235" t="s">
        <v>1670</v>
      </c>
      <c r="K17" s="237" t="s">
        <v>1742</v>
      </c>
      <c r="L17" s="235" t="s">
        <v>1670</v>
      </c>
      <c r="M17" s="237" t="s">
        <v>1743</v>
      </c>
      <c r="N17" s="235" t="s">
        <v>132</v>
      </c>
      <c r="O17" s="235" t="s">
        <v>1741</v>
      </c>
      <c r="P17" s="238"/>
    </row>
    <row r="18" ht="18" customHeight="1" spans="2:16">
      <c r="B18" s="232" t="s">
        <v>328</v>
      </c>
      <c r="C18" s="232" t="s">
        <v>791</v>
      </c>
      <c r="D18" s="232" t="s">
        <v>1732</v>
      </c>
      <c r="E18" s="233" t="s">
        <v>3098</v>
      </c>
      <c r="F18" s="232" t="s">
        <v>1732</v>
      </c>
      <c r="G18" s="233" t="s">
        <v>3099</v>
      </c>
      <c r="H18" s="232" t="s">
        <v>1732</v>
      </c>
      <c r="I18" s="234" t="s">
        <v>3100</v>
      </c>
      <c r="J18" s="235" t="s">
        <v>1670</v>
      </c>
      <c r="K18" s="237" t="s">
        <v>3101</v>
      </c>
      <c r="L18" s="235" t="s">
        <v>1670</v>
      </c>
      <c r="M18" s="237" t="s">
        <v>3102</v>
      </c>
      <c r="N18" s="235" t="s">
        <v>791</v>
      </c>
      <c r="O18" s="235" t="s">
        <v>328</v>
      </c>
      <c r="P18" s="238"/>
    </row>
    <row r="19" ht="18" customHeight="1" spans="2:16">
      <c r="B19" s="232" t="s">
        <v>1747</v>
      </c>
      <c r="C19" s="232" t="s">
        <v>704</v>
      </c>
      <c r="D19" s="232" t="s">
        <v>1670</v>
      </c>
      <c r="E19" s="233" t="s">
        <v>3103</v>
      </c>
      <c r="F19" s="232" t="s">
        <v>1670</v>
      </c>
      <c r="G19" s="233" t="s">
        <v>3104</v>
      </c>
      <c r="H19" s="232" t="s">
        <v>1670</v>
      </c>
      <c r="I19" s="234" t="s">
        <v>3105</v>
      </c>
      <c r="J19" s="235" t="s">
        <v>1670</v>
      </c>
      <c r="K19" s="237" t="s">
        <v>3106</v>
      </c>
      <c r="L19" s="235" t="s">
        <v>1670</v>
      </c>
      <c r="M19" s="237" t="s">
        <v>3107</v>
      </c>
      <c r="N19" s="235" t="s">
        <v>704</v>
      </c>
      <c r="O19" s="235" t="s">
        <v>1747</v>
      </c>
      <c r="P19" s="238"/>
    </row>
    <row r="20" ht="18" customHeight="1" spans="2:16">
      <c r="B20" s="232" t="s">
        <v>1750</v>
      </c>
      <c r="C20" s="232" t="s">
        <v>742</v>
      </c>
      <c r="D20" s="232" t="s">
        <v>1663</v>
      </c>
      <c r="E20" s="233" t="s">
        <v>3108</v>
      </c>
      <c r="F20" s="232" t="s">
        <v>1663</v>
      </c>
      <c r="G20" s="233" t="s">
        <v>3109</v>
      </c>
      <c r="H20" s="232" t="s">
        <v>1663</v>
      </c>
      <c r="I20" s="234" t="s">
        <v>3110</v>
      </c>
      <c r="J20" s="235" t="s">
        <v>1663</v>
      </c>
      <c r="K20" s="237" t="s">
        <v>3111</v>
      </c>
      <c r="L20" s="235" t="s">
        <v>1663</v>
      </c>
      <c r="M20" s="234" t="s">
        <v>3112</v>
      </c>
      <c r="N20" s="235" t="s">
        <v>742</v>
      </c>
      <c r="O20" s="235" t="s">
        <v>1750</v>
      </c>
      <c r="P20" s="238"/>
    </row>
    <row r="21" ht="18" customHeight="1"/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2"/>
  <sheetViews>
    <sheetView workbookViewId="0">
      <pane ySplit="1" topLeftCell="A140" activePane="bottomLeft" state="frozen"/>
      <selection/>
      <selection pane="bottomLeft" activeCell="E55" sqref="E55"/>
    </sheetView>
  </sheetViews>
  <sheetFormatPr defaultColWidth="9" defaultRowHeight="13.5"/>
  <cols>
    <col min="1" max="1" width="12.625" style="210" customWidth="1"/>
    <col min="2" max="6" width="15.625" style="210" customWidth="1"/>
    <col min="7" max="7" width="18.625" style="210" customWidth="1"/>
    <col min="8" max="8" width="12.625" style="210" customWidth="1"/>
    <col min="9" max="19" width="15.625" style="210" customWidth="1"/>
    <col min="20" max="16384" width="9" style="210"/>
  </cols>
  <sheetData>
    <row r="1" ht="39.95" customHeight="1" spans="1:19">
      <c r="A1" s="211" t="s">
        <v>1523</v>
      </c>
      <c r="B1" s="211" t="s">
        <v>1595</v>
      </c>
      <c r="C1" s="211" t="s">
        <v>1596</v>
      </c>
      <c r="D1" s="211" t="s">
        <v>1597</v>
      </c>
      <c r="E1" s="211" t="s">
        <v>1598</v>
      </c>
      <c r="F1" s="211" t="s">
        <v>1599</v>
      </c>
      <c r="G1" s="211" t="s">
        <v>3113</v>
      </c>
      <c r="H1" s="211" t="s">
        <v>1523</v>
      </c>
      <c r="I1" s="212" t="s">
        <v>1524</v>
      </c>
      <c r="J1" s="212" t="s">
        <v>1525</v>
      </c>
      <c r="K1" s="212" t="s">
        <v>1526</v>
      </c>
      <c r="L1" s="212" t="s">
        <v>1527</v>
      </c>
      <c r="M1" s="212" t="s">
        <v>1528</v>
      </c>
      <c r="N1" s="212" t="s">
        <v>1529</v>
      </c>
      <c r="O1" s="212" t="s">
        <v>1530</v>
      </c>
      <c r="P1" s="212" t="s">
        <v>1531</v>
      </c>
      <c r="Q1" s="212" t="s">
        <v>1532</v>
      </c>
      <c r="R1" s="212" t="s">
        <v>1533</v>
      </c>
      <c r="S1" s="212" t="s">
        <v>1534</v>
      </c>
    </row>
    <row r="2" ht="20.1" customHeight="1" spans="1:19">
      <c r="A2" s="213" t="s">
        <v>48</v>
      </c>
      <c r="B2" s="214" t="s">
        <v>3114</v>
      </c>
      <c r="C2" s="214" t="s">
        <v>3115</v>
      </c>
      <c r="D2" s="214" t="s">
        <v>3116</v>
      </c>
      <c r="E2" s="214" t="s">
        <v>3117</v>
      </c>
      <c r="F2" s="214" t="s">
        <v>3118</v>
      </c>
      <c r="G2" s="214" t="s">
        <v>3119</v>
      </c>
      <c r="H2" s="215" t="s">
        <v>48</v>
      </c>
      <c r="I2" s="214" t="s">
        <v>3120</v>
      </c>
      <c r="J2" s="214" t="s">
        <v>3121</v>
      </c>
      <c r="K2" s="214" t="s">
        <v>3122</v>
      </c>
      <c r="L2" s="214" t="s">
        <v>3123</v>
      </c>
      <c r="M2" s="214" t="s">
        <v>3124</v>
      </c>
      <c r="N2" s="214" t="s">
        <v>3125</v>
      </c>
      <c r="O2" s="214"/>
      <c r="P2" s="214"/>
      <c r="Q2" s="214"/>
      <c r="R2" s="214"/>
      <c r="S2" s="214"/>
    </row>
    <row r="3" ht="20.1" customHeight="1" spans="1:19">
      <c r="A3" s="216"/>
      <c r="B3" s="217" t="s">
        <v>3126</v>
      </c>
      <c r="C3" s="217" t="s">
        <v>3127</v>
      </c>
      <c r="D3" s="217" t="s">
        <v>3128</v>
      </c>
      <c r="E3" s="217" t="s">
        <v>3129</v>
      </c>
      <c r="F3" s="217" t="s">
        <v>3130</v>
      </c>
      <c r="G3" s="217" t="s">
        <v>3131</v>
      </c>
      <c r="H3" s="218"/>
      <c r="I3" s="217" t="s">
        <v>3132</v>
      </c>
      <c r="J3" s="217" t="s">
        <v>3132</v>
      </c>
      <c r="K3" s="217" t="s">
        <v>3132</v>
      </c>
      <c r="L3" s="217" t="s">
        <v>3133</v>
      </c>
      <c r="M3" s="217" t="s">
        <v>3134</v>
      </c>
      <c r="N3" s="217" t="s">
        <v>3134</v>
      </c>
      <c r="O3" s="217"/>
      <c r="P3" s="217"/>
      <c r="Q3" s="217"/>
      <c r="R3" s="217"/>
      <c r="S3" s="217"/>
    </row>
    <row r="4" ht="20.1" customHeight="1" spans="1:19">
      <c r="A4" s="216"/>
      <c r="B4" s="217" t="s">
        <v>3135</v>
      </c>
      <c r="C4" s="217" t="s">
        <v>3135</v>
      </c>
      <c r="D4" s="217" t="s">
        <v>3135</v>
      </c>
      <c r="E4" s="217" t="s">
        <v>3135</v>
      </c>
      <c r="F4" s="217" t="s">
        <v>3135</v>
      </c>
      <c r="G4" s="217" t="s">
        <v>3136</v>
      </c>
      <c r="H4" s="218"/>
      <c r="I4" s="217" t="s">
        <v>3137</v>
      </c>
      <c r="J4" s="217" t="s">
        <v>3138</v>
      </c>
      <c r="K4" s="217" t="s">
        <v>3138</v>
      </c>
      <c r="L4" s="217" t="s">
        <v>3132</v>
      </c>
      <c r="M4" s="217" t="s">
        <v>3137</v>
      </c>
      <c r="N4" s="217" t="s">
        <v>3137</v>
      </c>
      <c r="O4" s="217"/>
      <c r="P4" s="217"/>
      <c r="Q4" s="217"/>
      <c r="R4" s="217"/>
      <c r="S4" s="217"/>
    </row>
    <row r="5" ht="20.1" customHeight="1" spans="1:19">
      <c r="A5" s="219"/>
      <c r="B5" s="220" t="s">
        <v>3139</v>
      </c>
      <c r="C5" s="220" t="s">
        <v>3140</v>
      </c>
      <c r="D5" s="220" t="s">
        <v>3140</v>
      </c>
      <c r="E5" s="220" t="s">
        <v>3140</v>
      </c>
      <c r="F5" s="220" t="s">
        <v>3140</v>
      </c>
      <c r="G5" s="220" t="s">
        <v>3139</v>
      </c>
      <c r="H5" s="221"/>
      <c r="I5" s="220"/>
      <c r="J5" s="220"/>
      <c r="K5" s="220"/>
      <c r="L5" s="220" t="s">
        <v>3138</v>
      </c>
      <c r="M5" s="220"/>
      <c r="N5" s="220"/>
      <c r="O5" s="220"/>
      <c r="P5" s="220"/>
      <c r="Q5" s="220"/>
      <c r="R5" s="220"/>
      <c r="S5" s="220"/>
    </row>
    <row r="6" ht="20.1" customHeight="1" spans="1:19">
      <c r="A6" s="222" t="s">
        <v>46</v>
      </c>
      <c r="B6" s="214" t="s">
        <v>3141</v>
      </c>
      <c r="C6" s="214" t="s">
        <v>3115</v>
      </c>
      <c r="D6" s="214" t="s">
        <v>3116</v>
      </c>
      <c r="E6" s="214" t="s">
        <v>3117</v>
      </c>
      <c r="F6" s="214" t="s">
        <v>3142</v>
      </c>
      <c r="G6" s="214" t="s">
        <v>3119</v>
      </c>
      <c r="H6" s="223" t="s">
        <v>46</v>
      </c>
      <c r="I6" s="214" t="s">
        <v>3143</v>
      </c>
      <c r="J6" s="214" t="s">
        <v>3144</v>
      </c>
      <c r="K6" s="214" t="s">
        <v>3145</v>
      </c>
      <c r="L6" s="214" t="s">
        <v>3123</v>
      </c>
      <c r="M6" s="214" t="s">
        <v>3146</v>
      </c>
      <c r="N6" s="214" t="s">
        <v>3147</v>
      </c>
      <c r="O6" s="214"/>
      <c r="P6" s="214"/>
      <c r="Q6" s="214"/>
      <c r="R6" s="214"/>
      <c r="S6" s="214"/>
    </row>
    <row r="7" ht="20.1" customHeight="1" spans="1:19">
      <c r="A7" s="216"/>
      <c r="B7" s="217" t="s">
        <v>3148</v>
      </c>
      <c r="C7" s="217" t="s">
        <v>3149</v>
      </c>
      <c r="D7" s="217" t="s">
        <v>3150</v>
      </c>
      <c r="E7" s="217" t="s">
        <v>3151</v>
      </c>
      <c r="F7" s="217" t="s">
        <v>3130</v>
      </c>
      <c r="G7" s="217" t="s">
        <v>3152</v>
      </c>
      <c r="H7" s="218"/>
      <c r="I7" s="217" t="s">
        <v>3132</v>
      </c>
      <c r="J7" s="217" t="s">
        <v>3132</v>
      </c>
      <c r="K7" s="217" t="s">
        <v>3132</v>
      </c>
      <c r="L7" s="217" t="s">
        <v>3133</v>
      </c>
      <c r="M7" s="217" t="s">
        <v>3134</v>
      </c>
      <c r="N7" s="217" t="s">
        <v>3134</v>
      </c>
      <c r="O7" s="217"/>
      <c r="P7" s="217"/>
      <c r="Q7" s="217"/>
      <c r="R7" s="217"/>
      <c r="S7" s="217"/>
    </row>
    <row r="8" ht="20.1" customHeight="1" spans="1:19">
      <c r="A8" s="216"/>
      <c r="B8" s="217" t="s">
        <v>3135</v>
      </c>
      <c r="C8" s="217" t="s">
        <v>3135</v>
      </c>
      <c r="D8" s="217" t="s">
        <v>3135</v>
      </c>
      <c r="E8" s="217" t="s">
        <v>3135</v>
      </c>
      <c r="F8" s="217" t="s">
        <v>3135</v>
      </c>
      <c r="G8" s="217" t="s">
        <v>3136</v>
      </c>
      <c r="H8" s="218"/>
      <c r="I8" s="217" t="s">
        <v>3137</v>
      </c>
      <c r="J8" s="217" t="s">
        <v>3138</v>
      </c>
      <c r="K8" s="217" t="s">
        <v>3138</v>
      </c>
      <c r="L8" s="217" t="s">
        <v>3132</v>
      </c>
      <c r="M8" s="217" t="s">
        <v>3137</v>
      </c>
      <c r="N8" s="217" t="s">
        <v>3137</v>
      </c>
      <c r="O8" s="217"/>
      <c r="P8" s="217"/>
      <c r="Q8" s="217"/>
      <c r="R8" s="217"/>
      <c r="S8" s="217"/>
    </row>
    <row r="9" ht="20.1" customHeight="1" spans="1:19">
      <c r="A9" s="219"/>
      <c r="B9" s="220" t="s">
        <v>3139</v>
      </c>
      <c r="C9" s="220" t="s">
        <v>3140</v>
      </c>
      <c r="D9" s="220" t="s">
        <v>3140</v>
      </c>
      <c r="E9" s="220" t="s">
        <v>3140</v>
      </c>
      <c r="F9" s="220" t="s">
        <v>3140</v>
      </c>
      <c r="G9" s="220" t="s">
        <v>3139</v>
      </c>
      <c r="H9" s="221"/>
      <c r="I9" s="220"/>
      <c r="J9" s="220"/>
      <c r="K9" s="220"/>
      <c r="L9" s="220" t="s">
        <v>3138</v>
      </c>
      <c r="M9" s="220"/>
      <c r="N9" s="220"/>
      <c r="O9" s="220"/>
      <c r="P9" s="220"/>
      <c r="Q9" s="220"/>
      <c r="R9" s="220"/>
      <c r="S9" s="220"/>
    </row>
    <row r="10" ht="20.1" customHeight="1" spans="1:19">
      <c r="A10" s="222" t="s">
        <v>53</v>
      </c>
      <c r="B10" s="214" t="s">
        <v>3141</v>
      </c>
      <c r="C10" s="214" t="s">
        <v>3153</v>
      </c>
      <c r="D10" s="214" t="s">
        <v>3116</v>
      </c>
      <c r="E10" s="214" t="s">
        <v>3117</v>
      </c>
      <c r="F10" s="214" t="s">
        <v>3142</v>
      </c>
      <c r="G10" s="214" t="s">
        <v>3119</v>
      </c>
      <c r="H10" s="223" t="s">
        <v>53</v>
      </c>
      <c r="I10" s="214" t="s">
        <v>3154</v>
      </c>
      <c r="J10" s="214" t="s">
        <v>3121</v>
      </c>
      <c r="K10" s="214" t="s">
        <v>3122</v>
      </c>
      <c r="L10" s="214" t="s">
        <v>3123</v>
      </c>
      <c r="M10" s="214" t="s">
        <v>3124</v>
      </c>
      <c r="N10" s="214" t="s">
        <v>3125</v>
      </c>
      <c r="O10" s="214"/>
      <c r="P10" s="214"/>
      <c r="Q10" s="214"/>
      <c r="R10" s="214"/>
      <c r="S10" s="214"/>
    </row>
    <row r="11" ht="20.1" customHeight="1" spans="1:19">
      <c r="A11" s="216"/>
      <c r="B11" s="217" t="s">
        <v>3150</v>
      </c>
      <c r="C11" s="217" t="s">
        <v>3155</v>
      </c>
      <c r="D11" s="217" t="s">
        <v>3156</v>
      </c>
      <c r="E11" s="217" t="s">
        <v>3151</v>
      </c>
      <c r="F11" s="217" t="s">
        <v>3130</v>
      </c>
      <c r="G11" s="217" t="s">
        <v>3157</v>
      </c>
      <c r="H11" s="218"/>
      <c r="I11" s="217" t="s">
        <v>3132</v>
      </c>
      <c r="J11" s="217" t="s">
        <v>3132</v>
      </c>
      <c r="K11" s="217" t="s">
        <v>3132</v>
      </c>
      <c r="L11" s="217" t="s">
        <v>3133</v>
      </c>
      <c r="M11" s="217" t="s">
        <v>3134</v>
      </c>
      <c r="N11" s="217" t="s">
        <v>3134</v>
      </c>
      <c r="O11" s="217"/>
      <c r="P11" s="217"/>
      <c r="Q11" s="217"/>
      <c r="R11" s="217"/>
      <c r="S11" s="217"/>
    </row>
    <row r="12" ht="20.1" customHeight="1" spans="1:19">
      <c r="A12" s="216"/>
      <c r="B12" s="217" t="s">
        <v>3135</v>
      </c>
      <c r="C12" s="217" t="s">
        <v>3135</v>
      </c>
      <c r="D12" s="217" t="s">
        <v>3135</v>
      </c>
      <c r="E12" s="217" t="s">
        <v>3135</v>
      </c>
      <c r="F12" s="217" t="s">
        <v>3135</v>
      </c>
      <c r="G12" s="217" t="s">
        <v>3136</v>
      </c>
      <c r="H12" s="218"/>
      <c r="I12" s="217" t="s">
        <v>3137</v>
      </c>
      <c r="J12" s="217" t="s">
        <v>3138</v>
      </c>
      <c r="K12" s="217" t="s">
        <v>3138</v>
      </c>
      <c r="L12" s="217" t="s">
        <v>3132</v>
      </c>
      <c r="M12" s="217" t="s">
        <v>3137</v>
      </c>
      <c r="N12" s="217" t="s">
        <v>3137</v>
      </c>
      <c r="O12" s="217"/>
      <c r="P12" s="217"/>
      <c r="Q12" s="217"/>
      <c r="R12" s="217"/>
      <c r="S12" s="217"/>
    </row>
    <row r="13" ht="20.1" customHeight="1" spans="1:19">
      <c r="A13" s="219"/>
      <c r="B13" s="220" t="s">
        <v>3139</v>
      </c>
      <c r="C13" s="220" t="s">
        <v>3140</v>
      </c>
      <c r="D13" s="220" t="s">
        <v>3140</v>
      </c>
      <c r="E13" s="220" t="s">
        <v>3140</v>
      </c>
      <c r="F13" s="220" t="s">
        <v>3140</v>
      </c>
      <c r="G13" s="220" t="s">
        <v>3139</v>
      </c>
      <c r="H13" s="221"/>
      <c r="I13" s="220"/>
      <c r="J13" s="220"/>
      <c r="K13" s="220"/>
      <c r="L13" s="220" t="s">
        <v>3138</v>
      </c>
      <c r="M13" s="220"/>
      <c r="N13" s="220"/>
      <c r="O13" s="220"/>
      <c r="P13" s="220"/>
      <c r="Q13" s="220"/>
      <c r="R13" s="220"/>
      <c r="S13" s="220"/>
    </row>
    <row r="14" ht="20.1" customHeight="1" spans="1:19">
      <c r="A14" s="222" t="s">
        <v>62</v>
      </c>
      <c r="B14" s="214" t="s">
        <v>3158</v>
      </c>
      <c r="C14" s="214" t="s">
        <v>3153</v>
      </c>
      <c r="D14" s="214" t="s">
        <v>3159</v>
      </c>
      <c r="E14" s="214" t="s">
        <v>3117</v>
      </c>
      <c r="F14" s="214" t="s">
        <v>3142</v>
      </c>
      <c r="G14" s="214" t="s">
        <v>3119</v>
      </c>
      <c r="H14" s="223" t="s">
        <v>62</v>
      </c>
      <c r="I14" s="214" t="s">
        <v>3143</v>
      </c>
      <c r="J14" s="214" t="s">
        <v>3144</v>
      </c>
      <c r="K14" s="214" t="s">
        <v>3145</v>
      </c>
      <c r="L14" s="214" t="s">
        <v>3123</v>
      </c>
      <c r="M14" s="214" t="s">
        <v>3146</v>
      </c>
      <c r="N14" s="214" t="s">
        <v>3147</v>
      </c>
      <c r="O14" s="214"/>
      <c r="P14" s="214"/>
      <c r="Q14" s="214"/>
      <c r="R14" s="214"/>
      <c r="S14" s="214"/>
    </row>
    <row r="15" ht="20.1" customHeight="1" spans="1:19">
      <c r="A15" s="216"/>
      <c r="B15" s="217" t="s">
        <v>3160</v>
      </c>
      <c r="C15" s="217" t="s">
        <v>3155</v>
      </c>
      <c r="D15" s="217" t="s">
        <v>3150</v>
      </c>
      <c r="E15" s="217" t="s">
        <v>3151</v>
      </c>
      <c r="F15" s="217" t="s">
        <v>3130</v>
      </c>
      <c r="G15" s="217" t="s">
        <v>3161</v>
      </c>
      <c r="H15" s="218"/>
      <c r="I15" s="217" t="s">
        <v>3132</v>
      </c>
      <c r="J15" s="217" t="s">
        <v>3132</v>
      </c>
      <c r="K15" s="217" t="s">
        <v>3132</v>
      </c>
      <c r="L15" s="217" t="s">
        <v>3133</v>
      </c>
      <c r="M15" s="217" t="s">
        <v>3134</v>
      </c>
      <c r="N15" s="217" t="s">
        <v>3134</v>
      </c>
      <c r="O15" s="217"/>
      <c r="P15" s="217"/>
      <c r="Q15" s="217"/>
      <c r="R15" s="217"/>
      <c r="S15" s="217"/>
    </row>
    <row r="16" ht="20.1" customHeight="1" spans="1:19">
      <c r="A16" s="216"/>
      <c r="B16" s="217" t="s">
        <v>3135</v>
      </c>
      <c r="C16" s="217" t="s">
        <v>3135</v>
      </c>
      <c r="D16" s="217" t="s">
        <v>3135</v>
      </c>
      <c r="E16" s="217" t="s">
        <v>3135</v>
      </c>
      <c r="F16" s="217" t="s">
        <v>3135</v>
      </c>
      <c r="G16" s="217" t="s">
        <v>3136</v>
      </c>
      <c r="H16" s="218"/>
      <c r="I16" s="217" t="s">
        <v>3137</v>
      </c>
      <c r="J16" s="217" t="s">
        <v>3138</v>
      </c>
      <c r="K16" s="217" t="s">
        <v>3138</v>
      </c>
      <c r="L16" s="217" t="s">
        <v>3132</v>
      </c>
      <c r="M16" s="217" t="s">
        <v>3137</v>
      </c>
      <c r="N16" s="217" t="s">
        <v>3137</v>
      </c>
      <c r="O16" s="217"/>
      <c r="P16" s="217"/>
      <c r="Q16" s="217"/>
      <c r="R16" s="217"/>
      <c r="S16" s="217"/>
    </row>
    <row r="17" ht="20.1" customHeight="1" spans="1:19">
      <c r="A17" s="219"/>
      <c r="B17" s="220" t="s">
        <v>3139</v>
      </c>
      <c r="C17" s="220" t="s">
        <v>3140</v>
      </c>
      <c r="D17" s="220" t="s">
        <v>3140</v>
      </c>
      <c r="E17" s="220" t="s">
        <v>3140</v>
      </c>
      <c r="F17" s="220" t="s">
        <v>3140</v>
      </c>
      <c r="G17" s="220" t="s">
        <v>3139</v>
      </c>
      <c r="H17" s="221"/>
      <c r="I17" s="220"/>
      <c r="J17" s="220"/>
      <c r="K17" s="220"/>
      <c r="L17" s="220" t="s">
        <v>3138</v>
      </c>
      <c r="M17" s="220"/>
      <c r="N17" s="220"/>
      <c r="O17" s="220"/>
      <c r="P17" s="220"/>
      <c r="Q17" s="220"/>
      <c r="R17" s="220"/>
      <c r="S17" s="220"/>
    </row>
    <row r="18" ht="20.1" customHeight="1" spans="1:19">
      <c r="A18" s="222" t="s">
        <v>61</v>
      </c>
      <c r="B18" s="214" t="s">
        <v>3141</v>
      </c>
      <c r="C18" s="214" t="s">
        <v>3153</v>
      </c>
      <c r="D18" s="214" t="s">
        <v>3116</v>
      </c>
      <c r="E18" s="214" t="s">
        <v>3117</v>
      </c>
      <c r="F18" s="214" t="s">
        <v>3142</v>
      </c>
      <c r="G18" s="214" t="s">
        <v>3119</v>
      </c>
      <c r="H18" s="223" t="s">
        <v>61</v>
      </c>
      <c r="I18" s="214" t="s">
        <v>3154</v>
      </c>
      <c r="J18" s="214" t="s">
        <v>3121</v>
      </c>
      <c r="K18" s="214" t="s">
        <v>3122</v>
      </c>
      <c r="L18" s="214" t="s">
        <v>3123</v>
      </c>
      <c r="M18" s="214" t="s">
        <v>3124</v>
      </c>
      <c r="N18" s="214" t="s">
        <v>3125</v>
      </c>
      <c r="O18" s="214"/>
      <c r="P18" s="214"/>
      <c r="Q18" s="214"/>
      <c r="R18" s="214"/>
      <c r="S18" s="214"/>
    </row>
    <row r="19" ht="20.1" customHeight="1" spans="1:19">
      <c r="A19" s="216"/>
      <c r="B19" s="217" t="s">
        <v>3148</v>
      </c>
      <c r="C19" s="217" t="s">
        <v>3155</v>
      </c>
      <c r="D19" s="217" t="s">
        <v>3150</v>
      </c>
      <c r="E19" s="217" t="s">
        <v>3151</v>
      </c>
      <c r="F19" s="217" t="s">
        <v>3130</v>
      </c>
      <c r="G19" s="217" t="s">
        <v>3162</v>
      </c>
      <c r="H19" s="218"/>
      <c r="I19" s="217" t="s">
        <v>3132</v>
      </c>
      <c r="J19" s="217" t="s">
        <v>3132</v>
      </c>
      <c r="K19" s="217" t="s">
        <v>3132</v>
      </c>
      <c r="L19" s="217" t="s">
        <v>3133</v>
      </c>
      <c r="M19" s="217" t="s">
        <v>3134</v>
      </c>
      <c r="N19" s="217" t="s">
        <v>3134</v>
      </c>
      <c r="O19" s="217"/>
      <c r="P19" s="217"/>
      <c r="Q19" s="217"/>
      <c r="R19" s="217"/>
      <c r="S19" s="217"/>
    </row>
    <row r="20" ht="20.1" customHeight="1" spans="1:19">
      <c r="A20" s="216"/>
      <c r="B20" s="217" t="s">
        <v>3135</v>
      </c>
      <c r="C20" s="217" t="s">
        <v>3135</v>
      </c>
      <c r="D20" s="217" t="s">
        <v>3135</v>
      </c>
      <c r="E20" s="217" t="s">
        <v>3135</v>
      </c>
      <c r="F20" s="217" t="s">
        <v>3135</v>
      </c>
      <c r="G20" s="217" t="s">
        <v>3136</v>
      </c>
      <c r="H20" s="218"/>
      <c r="I20" s="217" t="s">
        <v>3137</v>
      </c>
      <c r="J20" s="217" t="s">
        <v>3138</v>
      </c>
      <c r="K20" s="217" t="s">
        <v>3138</v>
      </c>
      <c r="L20" s="217" t="s">
        <v>3132</v>
      </c>
      <c r="M20" s="217" t="s">
        <v>3137</v>
      </c>
      <c r="N20" s="217" t="s">
        <v>3137</v>
      </c>
      <c r="O20" s="217"/>
      <c r="P20" s="217"/>
      <c r="Q20" s="217"/>
      <c r="R20" s="217"/>
      <c r="S20" s="217"/>
    </row>
    <row r="21" ht="20.1" customHeight="1" spans="1:19">
      <c r="A21" s="219"/>
      <c r="B21" s="220" t="s">
        <v>3139</v>
      </c>
      <c r="C21" s="220" t="s">
        <v>3140</v>
      </c>
      <c r="D21" s="220" t="s">
        <v>3140</v>
      </c>
      <c r="E21" s="220" t="s">
        <v>3140</v>
      </c>
      <c r="F21" s="220" t="s">
        <v>3140</v>
      </c>
      <c r="G21" s="220" t="s">
        <v>3139</v>
      </c>
      <c r="H21" s="221"/>
      <c r="I21" s="220"/>
      <c r="J21" s="220"/>
      <c r="K21" s="220"/>
      <c r="L21" s="220" t="s">
        <v>3138</v>
      </c>
      <c r="M21" s="220"/>
      <c r="N21" s="220"/>
      <c r="O21" s="220"/>
      <c r="P21" s="220"/>
      <c r="Q21" s="220"/>
      <c r="R21" s="220"/>
      <c r="S21" s="220"/>
    </row>
    <row r="22" ht="20.1" customHeight="1" spans="1:19">
      <c r="A22" s="222" t="s">
        <v>36</v>
      </c>
      <c r="B22" s="214" t="s">
        <v>3141</v>
      </c>
      <c r="C22" s="214" t="s">
        <v>3153</v>
      </c>
      <c r="D22" s="214" t="s">
        <v>3116</v>
      </c>
      <c r="E22" s="214" t="s">
        <v>3117</v>
      </c>
      <c r="F22" s="214" t="s">
        <v>3142</v>
      </c>
      <c r="G22" s="214" t="s">
        <v>3119</v>
      </c>
      <c r="H22" s="223" t="s">
        <v>36</v>
      </c>
      <c r="I22" s="214" t="s">
        <v>3154</v>
      </c>
      <c r="J22" s="214" t="s">
        <v>3121</v>
      </c>
      <c r="K22" s="214" t="s">
        <v>3122</v>
      </c>
      <c r="L22" s="214" t="s">
        <v>3123</v>
      </c>
      <c r="M22" s="214" t="s">
        <v>3124</v>
      </c>
      <c r="N22" s="214" t="s">
        <v>3125</v>
      </c>
      <c r="O22" s="214"/>
      <c r="P22" s="214"/>
      <c r="Q22" s="214"/>
      <c r="R22" s="214"/>
      <c r="S22" s="214"/>
    </row>
    <row r="23" ht="20.1" customHeight="1" spans="1:19">
      <c r="A23" s="216"/>
      <c r="B23" s="217" t="s">
        <v>3148</v>
      </c>
      <c r="C23" s="217" t="s">
        <v>3155</v>
      </c>
      <c r="D23" s="217" t="s">
        <v>3150</v>
      </c>
      <c r="E23" s="217" t="s">
        <v>3151</v>
      </c>
      <c r="F23" s="217" t="s">
        <v>3130</v>
      </c>
      <c r="G23" s="217" t="s">
        <v>3163</v>
      </c>
      <c r="H23" s="218"/>
      <c r="I23" s="217" t="s">
        <v>3132</v>
      </c>
      <c r="J23" s="217" t="s">
        <v>3132</v>
      </c>
      <c r="K23" s="217" t="s">
        <v>3132</v>
      </c>
      <c r="L23" s="217" t="s">
        <v>3133</v>
      </c>
      <c r="M23" s="217" t="s">
        <v>3134</v>
      </c>
      <c r="N23" s="217" t="s">
        <v>3134</v>
      </c>
      <c r="O23" s="217"/>
      <c r="P23" s="217"/>
      <c r="Q23" s="217"/>
      <c r="R23" s="217"/>
      <c r="S23" s="217"/>
    </row>
    <row r="24" ht="20.1" customHeight="1" spans="1:19">
      <c r="A24" s="216"/>
      <c r="B24" s="217" t="s">
        <v>3135</v>
      </c>
      <c r="C24" s="217" t="s">
        <v>3135</v>
      </c>
      <c r="D24" s="217" t="s">
        <v>3135</v>
      </c>
      <c r="E24" s="217" t="s">
        <v>3135</v>
      </c>
      <c r="F24" s="217" t="s">
        <v>3135</v>
      </c>
      <c r="G24" s="217" t="s">
        <v>3136</v>
      </c>
      <c r="H24" s="218"/>
      <c r="I24" s="217" t="s">
        <v>3137</v>
      </c>
      <c r="J24" s="217" t="s">
        <v>3138</v>
      </c>
      <c r="K24" s="217" t="s">
        <v>3138</v>
      </c>
      <c r="L24" s="217" t="s">
        <v>3132</v>
      </c>
      <c r="M24" s="217" t="s">
        <v>3137</v>
      </c>
      <c r="N24" s="217" t="s">
        <v>3137</v>
      </c>
      <c r="O24" s="217"/>
      <c r="P24" s="217"/>
      <c r="Q24" s="217"/>
      <c r="R24" s="217"/>
      <c r="S24" s="217"/>
    </row>
    <row r="25" ht="20.1" customHeight="1" spans="1:19">
      <c r="A25" s="219"/>
      <c r="B25" s="220" t="s">
        <v>3139</v>
      </c>
      <c r="C25" s="220" t="s">
        <v>3140</v>
      </c>
      <c r="D25" s="220" t="s">
        <v>3140</v>
      </c>
      <c r="E25" s="220" t="s">
        <v>3140</v>
      </c>
      <c r="F25" s="220" t="s">
        <v>3140</v>
      </c>
      <c r="G25" s="220" t="s">
        <v>3139</v>
      </c>
      <c r="H25" s="221"/>
      <c r="I25" s="220"/>
      <c r="J25" s="220"/>
      <c r="K25" s="220"/>
      <c r="L25" s="220" t="s">
        <v>3138</v>
      </c>
      <c r="M25" s="220"/>
      <c r="N25" s="220"/>
      <c r="O25" s="220"/>
      <c r="P25" s="220"/>
      <c r="Q25" s="220"/>
      <c r="R25" s="220"/>
      <c r="S25" s="220"/>
    </row>
    <row r="26" ht="20.1" customHeight="1" spans="1:19">
      <c r="A26" s="222" t="s">
        <v>41</v>
      </c>
      <c r="B26" s="214" t="s">
        <v>3141</v>
      </c>
      <c r="C26" s="214" t="s">
        <v>3153</v>
      </c>
      <c r="D26" s="214" t="s">
        <v>3116</v>
      </c>
      <c r="E26" s="214" t="s">
        <v>3117</v>
      </c>
      <c r="F26" s="214" t="s">
        <v>3142</v>
      </c>
      <c r="G26" s="214" t="s">
        <v>3119</v>
      </c>
      <c r="H26" s="223" t="s">
        <v>41</v>
      </c>
      <c r="I26" s="214" t="s">
        <v>3143</v>
      </c>
      <c r="J26" s="214" t="s">
        <v>3144</v>
      </c>
      <c r="K26" s="214" t="s">
        <v>3145</v>
      </c>
      <c r="L26" s="214" t="s">
        <v>3123</v>
      </c>
      <c r="M26" s="214" t="s">
        <v>3146</v>
      </c>
      <c r="N26" s="214" t="s">
        <v>3147</v>
      </c>
      <c r="O26" s="214"/>
      <c r="P26" s="214"/>
      <c r="Q26" s="214"/>
      <c r="R26" s="214"/>
      <c r="S26" s="214"/>
    </row>
    <row r="27" ht="20.1" customHeight="1" spans="1:19">
      <c r="A27" s="216"/>
      <c r="B27" s="217" t="s">
        <v>3148</v>
      </c>
      <c r="C27" s="217" t="s">
        <v>3155</v>
      </c>
      <c r="D27" s="217" t="s">
        <v>3150</v>
      </c>
      <c r="E27" s="217" t="s">
        <v>3151</v>
      </c>
      <c r="F27" s="217" t="s">
        <v>3130</v>
      </c>
      <c r="G27" s="217" t="s">
        <v>3152</v>
      </c>
      <c r="H27" s="218"/>
      <c r="I27" s="217" t="s">
        <v>3132</v>
      </c>
      <c r="J27" s="217" t="s">
        <v>3132</v>
      </c>
      <c r="K27" s="217" t="s">
        <v>3132</v>
      </c>
      <c r="L27" s="217" t="s">
        <v>3133</v>
      </c>
      <c r="M27" s="217" t="s">
        <v>3134</v>
      </c>
      <c r="N27" s="217" t="s">
        <v>3134</v>
      </c>
      <c r="O27" s="217"/>
      <c r="P27" s="217"/>
      <c r="Q27" s="217"/>
      <c r="R27" s="217"/>
      <c r="S27" s="217"/>
    </row>
    <row r="28" ht="20.1" customHeight="1" spans="1:19">
      <c r="A28" s="216"/>
      <c r="B28" s="217" t="s">
        <v>3135</v>
      </c>
      <c r="C28" s="217" t="s">
        <v>3135</v>
      </c>
      <c r="D28" s="217" t="s">
        <v>3135</v>
      </c>
      <c r="E28" s="217" t="s">
        <v>3135</v>
      </c>
      <c r="F28" s="217" t="s">
        <v>3135</v>
      </c>
      <c r="G28" s="217" t="s">
        <v>3136</v>
      </c>
      <c r="H28" s="218"/>
      <c r="I28" s="217" t="s">
        <v>3137</v>
      </c>
      <c r="J28" s="217" t="s">
        <v>3138</v>
      </c>
      <c r="K28" s="217" t="s">
        <v>3138</v>
      </c>
      <c r="L28" s="217" t="s">
        <v>3132</v>
      </c>
      <c r="M28" s="217" t="s">
        <v>3137</v>
      </c>
      <c r="N28" s="217" t="s">
        <v>3137</v>
      </c>
      <c r="O28" s="217"/>
      <c r="P28" s="217"/>
      <c r="Q28" s="217"/>
      <c r="R28" s="217"/>
      <c r="S28" s="217"/>
    </row>
    <row r="29" ht="20.1" customHeight="1" spans="1:19">
      <c r="A29" s="219"/>
      <c r="B29" s="220" t="s">
        <v>3139</v>
      </c>
      <c r="C29" s="220" t="s">
        <v>3140</v>
      </c>
      <c r="D29" s="220" t="s">
        <v>3140</v>
      </c>
      <c r="E29" s="220" t="s">
        <v>3140</v>
      </c>
      <c r="F29" s="220" t="s">
        <v>3140</v>
      </c>
      <c r="G29" s="220" t="s">
        <v>3139</v>
      </c>
      <c r="H29" s="221"/>
      <c r="I29" s="220"/>
      <c r="J29" s="220"/>
      <c r="K29" s="220"/>
      <c r="L29" s="220" t="s">
        <v>3138</v>
      </c>
      <c r="M29" s="220"/>
      <c r="N29" s="220"/>
      <c r="O29" s="220"/>
      <c r="P29" s="220"/>
      <c r="Q29" s="220"/>
      <c r="R29" s="220"/>
      <c r="S29" s="220"/>
    </row>
    <row r="30" ht="20.1" customHeight="1" spans="1:19">
      <c r="A30" s="222" t="s">
        <v>58</v>
      </c>
      <c r="B30" s="214" t="s">
        <v>3141</v>
      </c>
      <c r="C30" s="214" t="s">
        <v>3153</v>
      </c>
      <c r="D30" s="214" t="s">
        <v>3159</v>
      </c>
      <c r="E30" s="214" t="s">
        <v>3117</v>
      </c>
      <c r="F30" s="214" t="s">
        <v>3142</v>
      </c>
      <c r="G30" s="214" t="s">
        <v>3119</v>
      </c>
      <c r="H30" s="223" t="s">
        <v>58</v>
      </c>
      <c r="I30" s="214" t="s">
        <v>3154</v>
      </c>
      <c r="J30" s="214" t="s">
        <v>3121</v>
      </c>
      <c r="K30" s="214" t="s">
        <v>3122</v>
      </c>
      <c r="L30" s="214" t="s">
        <v>3123</v>
      </c>
      <c r="M30" s="214" t="s">
        <v>3124</v>
      </c>
      <c r="N30" s="214" t="s">
        <v>3125</v>
      </c>
      <c r="O30" s="214"/>
      <c r="P30" s="214"/>
      <c r="Q30" s="214"/>
      <c r="R30" s="214"/>
      <c r="S30" s="214"/>
    </row>
    <row r="31" ht="20.1" customHeight="1" spans="1:19">
      <c r="A31" s="216"/>
      <c r="B31" s="217" t="s">
        <v>3164</v>
      </c>
      <c r="C31" s="217" t="s">
        <v>3155</v>
      </c>
      <c r="D31" s="217" t="s">
        <v>3150</v>
      </c>
      <c r="E31" s="217" t="s">
        <v>3151</v>
      </c>
      <c r="F31" s="217" t="s">
        <v>3130</v>
      </c>
      <c r="G31" s="217" t="s">
        <v>3165</v>
      </c>
      <c r="H31" s="218"/>
      <c r="I31" s="217" t="s">
        <v>3132</v>
      </c>
      <c r="J31" s="217" t="s">
        <v>3132</v>
      </c>
      <c r="K31" s="217" t="s">
        <v>3132</v>
      </c>
      <c r="L31" s="217" t="s">
        <v>3133</v>
      </c>
      <c r="M31" s="217" t="s">
        <v>3134</v>
      </c>
      <c r="N31" s="217" t="s">
        <v>3134</v>
      </c>
      <c r="O31" s="217"/>
      <c r="P31" s="217"/>
      <c r="Q31" s="217"/>
      <c r="R31" s="217"/>
      <c r="S31" s="217"/>
    </row>
    <row r="32" ht="20.1" customHeight="1" spans="1:19">
      <c r="A32" s="216"/>
      <c r="B32" s="217" t="s">
        <v>3135</v>
      </c>
      <c r="C32" s="217" t="s">
        <v>3135</v>
      </c>
      <c r="D32" s="217" t="s">
        <v>3135</v>
      </c>
      <c r="E32" s="217" t="s">
        <v>3135</v>
      </c>
      <c r="F32" s="217" t="s">
        <v>3135</v>
      </c>
      <c r="G32" s="217" t="s">
        <v>3136</v>
      </c>
      <c r="H32" s="218"/>
      <c r="I32" s="217" t="s">
        <v>3137</v>
      </c>
      <c r="J32" s="217" t="s">
        <v>3138</v>
      </c>
      <c r="K32" s="217" t="s">
        <v>3138</v>
      </c>
      <c r="L32" s="217" t="s">
        <v>3132</v>
      </c>
      <c r="M32" s="217" t="s">
        <v>3137</v>
      </c>
      <c r="N32" s="217" t="s">
        <v>3137</v>
      </c>
      <c r="O32" s="217"/>
      <c r="P32" s="217"/>
      <c r="Q32" s="217"/>
      <c r="R32" s="217"/>
      <c r="S32" s="217"/>
    </row>
    <row r="33" ht="20.1" customHeight="1" spans="1:19">
      <c r="A33" s="219"/>
      <c r="B33" s="220" t="s">
        <v>3139</v>
      </c>
      <c r="C33" s="220" t="s">
        <v>3140</v>
      </c>
      <c r="D33" s="220" t="s">
        <v>3140</v>
      </c>
      <c r="E33" s="220" t="s">
        <v>3140</v>
      </c>
      <c r="F33" s="220" t="s">
        <v>3140</v>
      </c>
      <c r="G33" s="220" t="s">
        <v>3139</v>
      </c>
      <c r="H33" s="221"/>
      <c r="I33" s="220"/>
      <c r="J33" s="220"/>
      <c r="K33" s="220"/>
      <c r="L33" s="220" t="s">
        <v>3138</v>
      </c>
      <c r="M33" s="220"/>
      <c r="N33" s="220"/>
      <c r="O33" s="220"/>
      <c r="P33" s="220"/>
      <c r="Q33" s="220"/>
      <c r="R33" s="220"/>
      <c r="S33" s="220"/>
    </row>
    <row r="34" ht="20.1" customHeight="1" spans="1:19">
      <c r="A34" s="222" t="s">
        <v>51</v>
      </c>
      <c r="B34" s="214" t="s">
        <v>3141</v>
      </c>
      <c r="C34" s="214" t="s">
        <v>3153</v>
      </c>
      <c r="D34" s="214" t="s">
        <v>3166</v>
      </c>
      <c r="E34" s="214" t="s">
        <v>3167</v>
      </c>
      <c r="F34" s="214" t="s">
        <v>3126</v>
      </c>
      <c r="G34" s="214" t="s">
        <v>3133</v>
      </c>
      <c r="H34" s="223" t="s">
        <v>51</v>
      </c>
      <c r="I34" s="214" t="s">
        <v>3143</v>
      </c>
      <c r="J34" s="214" t="s">
        <v>3144</v>
      </c>
      <c r="K34" s="214" t="s">
        <v>3145</v>
      </c>
      <c r="L34" s="214" t="s">
        <v>3123</v>
      </c>
      <c r="M34" s="214" t="s">
        <v>3146</v>
      </c>
      <c r="N34" s="214" t="s">
        <v>3147</v>
      </c>
      <c r="O34" s="214"/>
      <c r="P34" s="214"/>
      <c r="Q34" s="214"/>
      <c r="R34" s="214"/>
      <c r="S34" s="214"/>
    </row>
    <row r="35" ht="20.1" customHeight="1" spans="1:19">
      <c r="A35" s="216"/>
      <c r="B35" s="217" t="s">
        <v>3150</v>
      </c>
      <c r="C35" s="217" t="s">
        <v>3155</v>
      </c>
      <c r="D35" s="217" t="s">
        <v>3148</v>
      </c>
      <c r="E35" s="217" t="s">
        <v>3151</v>
      </c>
      <c r="F35" s="217" t="s">
        <v>3130</v>
      </c>
      <c r="G35" s="217" t="s">
        <v>3157</v>
      </c>
      <c r="H35" s="218"/>
      <c r="I35" s="217" t="s">
        <v>3132</v>
      </c>
      <c r="J35" s="217" t="s">
        <v>3132</v>
      </c>
      <c r="K35" s="217" t="s">
        <v>3132</v>
      </c>
      <c r="L35" s="217" t="s">
        <v>3133</v>
      </c>
      <c r="M35" s="217" t="s">
        <v>3134</v>
      </c>
      <c r="N35" s="217" t="s">
        <v>3134</v>
      </c>
      <c r="O35" s="217"/>
      <c r="P35" s="217"/>
      <c r="Q35" s="217"/>
      <c r="R35" s="217"/>
      <c r="S35" s="217"/>
    </row>
    <row r="36" ht="20.1" customHeight="1" spans="1:19">
      <c r="A36" s="216"/>
      <c r="B36" s="217" t="s">
        <v>3135</v>
      </c>
      <c r="C36" s="217" t="s">
        <v>3135</v>
      </c>
      <c r="D36" s="217" t="s">
        <v>3135</v>
      </c>
      <c r="E36" s="217" t="s">
        <v>3135</v>
      </c>
      <c r="F36" s="217" t="s">
        <v>3135</v>
      </c>
      <c r="G36" s="217" t="s">
        <v>3136</v>
      </c>
      <c r="H36" s="218"/>
      <c r="I36" s="217" t="s">
        <v>3137</v>
      </c>
      <c r="J36" s="217" t="s">
        <v>3138</v>
      </c>
      <c r="K36" s="217" t="s">
        <v>3138</v>
      </c>
      <c r="L36" s="217" t="s">
        <v>3132</v>
      </c>
      <c r="M36" s="217" t="s">
        <v>3137</v>
      </c>
      <c r="N36" s="217" t="s">
        <v>3137</v>
      </c>
      <c r="O36" s="217"/>
      <c r="P36" s="217"/>
      <c r="Q36" s="217"/>
      <c r="R36" s="217"/>
      <c r="S36" s="217"/>
    </row>
    <row r="37" ht="20.1" customHeight="1" spans="1:19">
      <c r="A37" s="219"/>
      <c r="B37" s="220" t="s">
        <v>3139</v>
      </c>
      <c r="C37" s="220" t="s">
        <v>3140</v>
      </c>
      <c r="D37" s="220" t="s">
        <v>3140</v>
      </c>
      <c r="E37" s="220" t="s">
        <v>3140</v>
      </c>
      <c r="F37" s="220" t="s">
        <v>3140</v>
      </c>
      <c r="G37" s="220" t="s">
        <v>3139</v>
      </c>
      <c r="H37" s="221"/>
      <c r="I37" s="220"/>
      <c r="J37" s="220"/>
      <c r="K37" s="220"/>
      <c r="L37" s="220" t="s">
        <v>3138</v>
      </c>
      <c r="M37" s="220"/>
      <c r="N37" s="220"/>
      <c r="O37" s="220"/>
      <c r="P37" s="220"/>
      <c r="Q37" s="220"/>
      <c r="R37" s="220"/>
      <c r="S37" s="220"/>
    </row>
    <row r="38" ht="20.1" customHeight="1" spans="1:19">
      <c r="A38" s="222" t="s">
        <v>66</v>
      </c>
      <c r="B38" s="214" t="s">
        <v>3141</v>
      </c>
      <c r="C38" s="214" t="s">
        <v>3153</v>
      </c>
      <c r="D38" s="214" t="s">
        <v>3116</v>
      </c>
      <c r="E38" s="214" t="s">
        <v>3117</v>
      </c>
      <c r="F38" s="214" t="s">
        <v>3142</v>
      </c>
      <c r="G38" s="214" t="s">
        <v>3119</v>
      </c>
      <c r="H38" s="223" t="s">
        <v>66</v>
      </c>
      <c r="I38" s="214" t="s">
        <v>3154</v>
      </c>
      <c r="J38" s="214" t="s">
        <v>3121</v>
      </c>
      <c r="K38" s="214" t="s">
        <v>3122</v>
      </c>
      <c r="L38" s="214" t="s">
        <v>3123</v>
      </c>
      <c r="M38" s="214" t="s">
        <v>3124</v>
      </c>
      <c r="N38" s="214" t="s">
        <v>3125</v>
      </c>
      <c r="O38" s="214"/>
      <c r="P38" s="214"/>
      <c r="Q38" s="214"/>
      <c r="R38" s="214"/>
      <c r="S38" s="214"/>
    </row>
    <row r="39" ht="20.1" customHeight="1" spans="1:19">
      <c r="A39" s="216"/>
      <c r="B39" s="217" t="s">
        <v>3148</v>
      </c>
      <c r="C39" s="217" t="s">
        <v>3155</v>
      </c>
      <c r="D39" s="217" t="s">
        <v>3150</v>
      </c>
      <c r="E39" s="217" t="s">
        <v>3151</v>
      </c>
      <c r="F39" s="217" t="s">
        <v>3130</v>
      </c>
      <c r="G39" s="217" t="s">
        <v>3162</v>
      </c>
      <c r="H39" s="218"/>
      <c r="I39" s="217" t="s">
        <v>3132</v>
      </c>
      <c r="J39" s="217" t="s">
        <v>3132</v>
      </c>
      <c r="K39" s="217" t="s">
        <v>3132</v>
      </c>
      <c r="L39" s="217" t="s">
        <v>3133</v>
      </c>
      <c r="M39" s="217" t="s">
        <v>3134</v>
      </c>
      <c r="N39" s="217" t="s">
        <v>3134</v>
      </c>
      <c r="O39" s="217"/>
      <c r="P39" s="217"/>
      <c r="Q39" s="217"/>
      <c r="R39" s="217"/>
      <c r="S39" s="217"/>
    </row>
    <row r="40" ht="20.1" customHeight="1" spans="1:19">
      <c r="A40" s="216"/>
      <c r="B40" s="217" t="s">
        <v>3135</v>
      </c>
      <c r="C40" s="217" t="s">
        <v>3135</v>
      </c>
      <c r="D40" s="217" t="s">
        <v>3135</v>
      </c>
      <c r="E40" s="217" t="s">
        <v>3135</v>
      </c>
      <c r="F40" s="217" t="s">
        <v>3135</v>
      </c>
      <c r="G40" s="217" t="s">
        <v>3136</v>
      </c>
      <c r="H40" s="218"/>
      <c r="I40" s="217" t="s">
        <v>3137</v>
      </c>
      <c r="J40" s="217" t="s">
        <v>3138</v>
      </c>
      <c r="K40" s="217" t="s">
        <v>3138</v>
      </c>
      <c r="L40" s="217" t="s">
        <v>3132</v>
      </c>
      <c r="M40" s="217" t="s">
        <v>3137</v>
      </c>
      <c r="N40" s="217" t="s">
        <v>3137</v>
      </c>
      <c r="O40" s="217"/>
      <c r="P40" s="217"/>
      <c r="Q40" s="217"/>
      <c r="R40" s="217"/>
      <c r="S40" s="217"/>
    </row>
    <row r="41" ht="20.1" customHeight="1" spans="1:19">
      <c r="A41" s="219"/>
      <c r="B41" s="220" t="s">
        <v>3139</v>
      </c>
      <c r="C41" s="220" t="s">
        <v>3140</v>
      </c>
      <c r="D41" s="220" t="s">
        <v>3140</v>
      </c>
      <c r="E41" s="220" t="s">
        <v>3140</v>
      </c>
      <c r="F41" s="220" t="s">
        <v>3140</v>
      </c>
      <c r="G41" s="220" t="s">
        <v>3139</v>
      </c>
      <c r="H41" s="221"/>
      <c r="I41" s="220"/>
      <c r="J41" s="220"/>
      <c r="K41" s="220"/>
      <c r="L41" s="220" t="s">
        <v>3138</v>
      </c>
      <c r="M41" s="220"/>
      <c r="N41" s="220"/>
      <c r="O41" s="220"/>
      <c r="P41" s="220"/>
      <c r="Q41" s="220"/>
      <c r="R41" s="220"/>
      <c r="S41" s="220"/>
    </row>
    <row r="42" ht="20.1" customHeight="1" spans="1:19">
      <c r="A42" s="222" t="s">
        <v>56</v>
      </c>
      <c r="B42" s="214" t="s">
        <v>3141</v>
      </c>
      <c r="C42" s="214" t="s">
        <v>3153</v>
      </c>
      <c r="D42" s="214" t="s">
        <v>3116</v>
      </c>
      <c r="E42" s="214" t="s">
        <v>3117</v>
      </c>
      <c r="F42" s="214" t="s">
        <v>3142</v>
      </c>
      <c r="G42" s="214" t="s">
        <v>3119</v>
      </c>
      <c r="H42" s="223" t="s">
        <v>56</v>
      </c>
      <c r="I42" s="214" t="s">
        <v>3143</v>
      </c>
      <c r="J42" s="214" t="s">
        <v>3144</v>
      </c>
      <c r="K42" s="214" t="s">
        <v>3145</v>
      </c>
      <c r="L42" s="214" t="s">
        <v>3123</v>
      </c>
      <c r="M42" s="214" t="s">
        <v>3146</v>
      </c>
      <c r="N42" s="214" t="s">
        <v>3147</v>
      </c>
      <c r="O42" s="214"/>
      <c r="P42" s="214"/>
      <c r="Q42" s="214"/>
      <c r="R42" s="214"/>
      <c r="S42" s="214"/>
    </row>
    <row r="43" ht="20.1" customHeight="1" spans="1:19">
      <c r="A43" s="216"/>
      <c r="B43" s="217" t="s">
        <v>3148</v>
      </c>
      <c r="C43" s="217" t="s">
        <v>3155</v>
      </c>
      <c r="D43" s="217" t="s">
        <v>3150</v>
      </c>
      <c r="E43" s="217" t="s">
        <v>3151</v>
      </c>
      <c r="F43" s="217" t="s">
        <v>3130</v>
      </c>
      <c r="G43" s="217" t="s">
        <v>3168</v>
      </c>
      <c r="H43" s="218"/>
      <c r="I43" s="217" t="s">
        <v>3132</v>
      </c>
      <c r="J43" s="217" t="s">
        <v>3132</v>
      </c>
      <c r="K43" s="217" t="s">
        <v>3132</v>
      </c>
      <c r="L43" s="217" t="s">
        <v>3133</v>
      </c>
      <c r="M43" s="217" t="s">
        <v>3134</v>
      </c>
      <c r="N43" s="217" t="s">
        <v>3134</v>
      </c>
      <c r="O43" s="217"/>
      <c r="P43" s="217"/>
      <c r="Q43" s="217"/>
      <c r="R43" s="217"/>
      <c r="S43" s="217"/>
    </row>
    <row r="44" ht="20.1" customHeight="1" spans="1:19">
      <c r="A44" s="216"/>
      <c r="B44" s="217" t="s">
        <v>3135</v>
      </c>
      <c r="C44" s="217" t="s">
        <v>3135</v>
      </c>
      <c r="D44" s="217" t="s">
        <v>3135</v>
      </c>
      <c r="E44" s="217" t="s">
        <v>3135</v>
      </c>
      <c r="F44" s="217" t="s">
        <v>3135</v>
      </c>
      <c r="G44" s="217" t="s">
        <v>3136</v>
      </c>
      <c r="H44" s="218"/>
      <c r="I44" s="217" t="s">
        <v>3137</v>
      </c>
      <c r="J44" s="217" t="s">
        <v>3138</v>
      </c>
      <c r="K44" s="217" t="s">
        <v>3138</v>
      </c>
      <c r="L44" s="217" t="s">
        <v>3132</v>
      </c>
      <c r="M44" s="217" t="s">
        <v>3137</v>
      </c>
      <c r="N44" s="217" t="s">
        <v>3137</v>
      </c>
      <c r="O44" s="217"/>
      <c r="P44" s="217"/>
      <c r="Q44" s="217"/>
      <c r="R44" s="217"/>
      <c r="S44" s="217"/>
    </row>
    <row r="45" ht="20.1" customHeight="1" spans="1:19">
      <c r="A45" s="219"/>
      <c r="B45" s="220" t="s">
        <v>3139</v>
      </c>
      <c r="C45" s="220" t="s">
        <v>3140</v>
      </c>
      <c r="D45" s="220" t="s">
        <v>3140</v>
      </c>
      <c r="E45" s="220" t="s">
        <v>3140</v>
      </c>
      <c r="F45" s="220" t="s">
        <v>3140</v>
      </c>
      <c r="G45" s="220" t="s">
        <v>3139</v>
      </c>
      <c r="H45" s="221"/>
      <c r="I45" s="220"/>
      <c r="J45" s="220"/>
      <c r="K45" s="220"/>
      <c r="L45" s="220" t="s">
        <v>3138</v>
      </c>
      <c r="M45" s="220"/>
      <c r="N45" s="220"/>
      <c r="O45" s="220"/>
      <c r="P45" s="220"/>
      <c r="Q45" s="220"/>
      <c r="R45" s="220"/>
      <c r="S45" s="220"/>
    </row>
    <row r="46" ht="20.1" customHeight="1" spans="1:19">
      <c r="A46" s="222" t="s">
        <v>38</v>
      </c>
      <c r="B46" s="214" t="s">
        <v>3141</v>
      </c>
      <c r="C46" s="214" t="s">
        <v>3153</v>
      </c>
      <c r="D46" s="214" t="s">
        <v>3116</v>
      </c>
      <c r="E46" s="214" t="s">
        <v>3117</v>
      </c>
      <c r="F46" s="214" t="s">
        <v>3142</v>
      </c>
      <c r="G46" s="214" t="s">
        <v>3119</v>
      </c>
      <c r="H46" s="223" t="s">
        <v>38</v>
      </c>
      <c r="I46" s="214" t="s">
        <v>3154</v>
      </c>
      <c r="J46" s="214" t="s">
        <v>3121</v>
      </c>
      <c r="K46" s="214" t="s">
        <v>3122</v>
      </c>
      <c r="L46" s="214" t="s">
        <v>3123</v>
      </c>
      <c r="M46" s="214" t="s">
        <v>3124</v>
      </c>
      <c r="N46" s="214" t="s">
        <v>3125</v>
      </c>
      <c r="O46" s="214"/>
      <c r="P46" s="214"/>
      <c r="Q46" s="214"/>
      <c r="R46" s="214"/>
      <c r="S46" s="214"/>
    </row>
    <row r="47" ht="20.1" customHeight="1" spans="1:19">
      <c r="A47" s="216"/>
      <c r="B47" s="217" t="s">
        <v>3148</v>
      </c>
      <c r="C47" s="217" t="s">
        <v>3155</v>
      </c>
      <c r="D47" s="217" t="s">
        <v>3150</v>
      </c>
      <c r="E47" s="217" t="s">
        <v>3151</v>
      </c>
      <c r="F47" s="217" t="s">
        <v>3130</v>
      </c>
      <c r="G47" s="217" t="s">
        <v>3152</v>
      </c>
      <c r="H47" s="218"/>
      <c r="I47" s="217" t="s">
        <v>3132</v>
      </c>
      <c r="J47" s="217" t="s">
        <v>3132</v>
      </c>
      <c r="K47" s="217" t="s">
        <v>3132</v>
      </c>
      <c r="L47" s="217" t="s">
        <v>3133</v>
      </c>
      <c r="M47" s="217" t="s">
        <v>3134</v>
      </c>
      <c r="N47" s="217" t="s">
        <v>3134</v>
      </c>
      <c r="O47" s="217"/>
      <c r="P47" s="217"/>
      <c r="Q47" s="217"/>
      <c r="R47" s="217"/>
      <c r="S47" s="217"/>
    </row>
    <row r="48" ht="20.1" customHeight="1" spans="1:19">
      <c r="A48" s="216"/>
      <c r="B48" s="217" t="s">
        <v>3135</v>
      </c>
      <c r="C48" s="217" t="s">
        <v>3135</v>
      </c>
      <c r="D48" s="217" t="s">
        <v>3135</v>
      </c>
      <c r="E48" s="217" t="s">
        <v>3135</v>
      </c>
      <c r="F48" s="217" t="s">
        <v>3135</v>
      </c>
      <c r="G48" s="217" t="s">
        <v>3136</v>
      </c>
      <c r="H48" s="218"/>
      <c r="I48" s="217" t="s">
        <v>3137</v>
      </c>
      <c r="J48" s="217" t="s">
        <v>3138</v>
      </c>
      <c r="K48" s="217" t="s">
        <v>3138</v>
      </c>
      <c r="L48" s="217" t="s">
        <v>3132</v>
      </c>
      <c r="M48" s="217" t="s">
        <v>3137</v>
      </c>
      <c r="N48" s="217" t="s">
        <v>3137</v>
      </c>
      <c r="O48" s="217"/>
      <c r="P48" s="217"/>
      <c r="Q48" s="217"/>
      <c r="R48" s="217"/>
      <c r="S48" s="217"/>
    </row>
    <row r="49" ht="20.1" customHeight="1" spans="1:19">
      <c r="A49" s="219"/>
      <c r="B49" s="220" t="s">
        <v>3139</v>
      </c>
      <c r="C49" s="220" t="s">
        <v>3140</v>
      </c>
      <c r="D49" s="220" t="s">
        <v>3140</v>
      </c>
      <c r="E49" s="220" t="s">
        <v>3140</v>
      </c>
      <c r="F49" s="220" t="s">
        <v>3140</v>
      </c>
      <c r="G49" s="220" t="s">
        <v>3139</v>
      </c>
      <c r="H49" s="221"/>
      <c r="I49" s="220"/>
      <c r="J49" s="220"/>
      <c r="K49" s="220"/>
      <c r="L49" s="220" t="s">
        <v>3138</v>
      </c>
      <c r="M49" s="220"/>
      <c r="N49" s="220"/>
      <c r="O49" s="220"/>
      <c r="P49" s="220"/>
      <c r="Q49" s="220"/>
      <c r="R49" s="220"/>
      <c r="S49" s="220"/>
    </row>
    <row r="50" ht="20.1" customHeight="1" spans="1:19">
      <c r="A50" s="222" t="s">
        <v>43</v>
      </c>
      <c r="B50" s="214" t="s">
        <v>3141</v>
      </c>
      <c r="C50" s="214" t="s">
        <v>3153</v>
      </c>
      <c r="D50" s="214" t="s">
        <v>3116</v>
      </c>
      <c r="E50" s="214" t="s">
        <v>3117</v>
      </c>
      <c r="F50" s="214" t="s">
        <v>3142</v>
      </c>
      <c r="G50" s="214" t="s">
        <v>3119</v>
      </c>
      <c r="H50" s="223" t="s">
        <v>43</v>
      </c>
      <c r="I50" s="214" t="s">
        <v>3143</v>
      </c>
      <c r="J50" s="214" t="s">
        <v>3144</v>
      </c>
      <c r="K50" s="214" t="s">
        <v>3145</v>
      </c>
      <c r="L50" s="214" t="s">
        <v>3123</v>
      </c>
      <c r="M50" s="214" t="s">
        <v>3146</v>
      </c>
      <c r="N50" s="214" t="s">
        <v>3147</v>
      </c>
      <c r="O50" s="214"/>
      <c r="P50" s="214"/>
      <c r="Q50" s="214"/>
      <c r="R50" s="214"/>
      <c r="S50" s="214"/>
    </row>
    <row r="51" ht="20.1" customHeight="1" spans="1:19">
      <c r="A51" s="216"/>
      <c r="B51" s="217" t="s">
        <v>3150</v>
      </c>
      <c r="C51" s="217" t="s">
        <v>3155</v>
      </c>
      <c r="D51" s="217" t="s">
        <v>3148</v>
      </c>
      <c r="E51" s="217" t="s">
        <v>3151</v>
      </c>
      <c r="F51" s="217" t="s">
        <v>3130</v>
      </c>
      <c r="G51" s="217" t="s">
        <v>3157</v>
      </c>
      <c r="H51" s="218"/>
      <c r="I51" s="217" t="s">
        <v>3132</v>
      </c>
      <c r="J51" s="217" t="s">
        <v>3132</v>
      </c>
      <c r="K51" s="217" t="s">
        <v>3132</v>
      </c>
      <c r="L51" s="217" t="s">
        <v>3133</v>
      </c>
      <c r="M51" s="217" t="s">
        <v>3134</v>
      </c>
      <c r="N51" s="217" t="s">
        <v>3134</v>
      </c>
      <c r="O51" s="217"/>
      <c r="P51" s="217"/>
      <c r="Q51" s="217"/>
      <c r="R51" s="217"/>
      <c r="S51" s="217"/>
    </row>
    <row r="52" ht="20.1" customHeight="1" spans="1:19">
      <c r="A52" s="216"/>
      <c r="B52" s="217" t="s">
        <v>3135</v>
      </c>
      <c r="C52" s="217" t="s">
        <v>3135</v>
      </c>
      <c r="D52" s="217" t="s">
        <v>3135</v>
      </c>
      <c r="E52" s="217" t="s">
        <v>3135</v>
      </c>
      <c r="F52" s="217" t="s">
        <v>3135</v>
      </c>
      <c r="G52" s="217" t="s">
        <v>3136</v>
      </c>
      <c r="H52" s="218"/>
      <c r="I52" s="217" t="s">
        <v>3137</v>
      </c>
      <c r="J52" s="217" t="s">
        <v>3138</v>
      </c>
      <c r="K52" s="217" t="s">
        <v>3138</v>
      </c>
      <c r="L52" s="217" t="s">
        <v>3132</v>
      </c>
      <c r="M52" s="217" t="s">
        <v>3137</v>
      </c>
      <c r="N52" s="217" t="s">
        <v>3137</v>
      </c>
      <c r="O52" s="217"/>
      <c r="P52" s="217"/>
      <c r="Q52" s="217"/>
      <c r="R52" s="217"/>
      <c r="S52" s="217"/>
    </row>
    <row r="53" ht="20.1" customHeight="1" spans="1:19">
      <c r="A53" s="219"/>
      <c r="B53" s="220" t="s">
        <v>3139</v>
      </c>
      <c r="C53" s="220" t="s">
        <v>3140</v>
      </c>
      <c r="D53" s="220" t="s">
        <v>3140</v>
      </c>
      <c r="E53" s="220" t="s">
        <v>3140</v>
      </c>
      <c r="F53" s="220" t="s">
        <v>3140</v>
      </c>
      <c r="G53" s="220" t="s">
        <v>3139</v>
      </c>
      <c r="H53" s="221"/>
      <c r="I53" s="220"/>
      <c r="J53" s="220"/>
      <c r="K53" s="220"/>
      <c r="L53" s="220" t="s">
        <v>3138</v>
      </c>
      <c r="M53" s="220"/>
      <c r="N53" s="220"/>
      <c r="O53" s="220"/>
      <c r="P53" s="220"/>
      <c r="Q53" s="220"/>
      <c r="R53" s="220"/>
      <c r="S53" s="220"/>
    </row>
    <row r="54" ht="20.1" customHeight="1" spans="1:19">
      <c r="A54" s="222" t="s">
        <v>65</v>
      </c>
      <c r="B54" s="214" t="s">
        <v>3158</v>
      </c>
      <c r="C54" s="214" t="s">
        <v>3153</v>
      </c>
      <c r="D54" s="214" t="s">
        <v>3169</v>
      </c>
      <c r="E54" s="214" t="s">
        <v>3117</v>
      </c>
      <c r="F54" s="214" t="s">
        <v>3118</v>
      </c>
      <c r="G54" s="214" t="s">
        <v>3119</v>
      </c>
      <c r="H54" s="223" t="s">
        <v>65</v>
      </c>
      <c r="I54" s="214" t="s">
        <v>3154</v>
      </c>
      <c r="J54" s="214" t="s">
        <v>3121</v>
      </c>
      <c r="K54" s="214" t="s">
        <v>3122</v>
      </c>
      <c r="L54" s="214" t="s">
        <v>3123</v>
      </c>
      <c r="M54" s="214" t="s">
        <v>3124</v>
      </c>
      <c r="N54" s="214" t="s">
        <v>3125</v>
      </c>
      <c r="O54" s="214"/>
      <c r="P54" s="214"/>
      <c r="Q54" s="214"/>
      <c r="R54" s="214"/>
      <c r="S54" s="214"/>
    </row>
    <row r="55" ht="20.1" customHeight="1" spans="1:19">
      <c r="A55" s="216"/>
      <c r="B55" s="217" t="s">
        <v>3150</v>
      </c>
      <c r="C55" s="217" t="s">
        <v>3170</v>
      </c>
      <c r="D55" s="217" t="s">
        <v>3159</v>
      </c>
      <c r="E55" s="217" t="s">
        <v>3129</v>
      </c>
      <c r="F55" s="217" t="s">
        <v>3130</v>
      </c>
      <c r="G55" s="217" t="s">
        <v>3171</v>
      </c>
      <c r="H55" s="218"/>
      <c r="I55" s="217" t="s">
        <v>3132</v>
      </c>
      <c r="J55" s="217" t="s">
        <v>3132</v>
      </c>
      <c r="K55" s="217" t="s">
        <v>3132</v>
      </c>
      <c r="L55" s="217" t="s">
        <v>3133</v>
      </c>
      <c r="M55" s="217" t="s">
        <v>3134</v>
      </c>
      <c r="N55" s="217" t="s">
        <v>3134</v>
      </c>
      <c r="O55" s="217"/>
      <c r="P55" s="217"/>
      <c r="Q55" s="217"/>
      <c r="R55" s="217"/>
      <c r="S55" s="217"/>
    </row>
    <row r="56" ht="20.1" customHeight="1" spans="1:19">
      <c r="A56" s="216"/>
      <c r="B56" s="217" t="s">
        <v>3135</v>
      </c>
      <c r="C56" s="217" t="s">
        <v>3135</v>
      </c>
      <c r="D56" s="217" t="s">
        <v>3135</v>
      </c>
      <c r="E56" s="217" t="s">
        <v>3135</v>
      </c>
      <c r="F56" s="217" t="s">
        <v>3135</v>
      </c>
      <c r="G56" s="217" t="s">
        <v>3136</v>
      </c>
      <c r="H56" s="218"/>
      <c r="I56" s="217" t="s">
        <v>3137</v>
      </c>
      <c r="J56" s="217" t="s">
        <v>3138</v>
      </c>
      <c r="K56" s="217" t="s">
        <v>3138</v>
      </c>
      <c r="L56" s="217" t="s">
        <v>3132</v>
      </c>
      <c r="M56" s="217" t="s">
        <v>3137</v>
      </c>
      <c r="N56" s="217" t="s">
        <v>3137</v>
      </c>
      <c r="O56" s="217"/>
      <c r="P56" s="217"/>
      <c r="Q56" s="217"/>
      <c r="R56" s="217"/>
      <c r="S56" s="217"/>
    </row>
    <row r="57" ht="20.1" customHeight="1" spans="1:19">
      <c r="A57" s="219"/>
      <c r="B57" s="220" t="s">
        <v>3139</v>
      </c>
      <c r="C57" s="220" t="s">
        <v>3140</v>
      </c>
      <c r="D57" s="220" t="s">
        <v>3140</v>
      </c>
      <c r="E57" s="220" t="s">
        <v>3140</v>
      </c>
      <c r="F57" s="220" t="s">
        <v>3140</v>
      </c>
      <c r="G57" s="220" t="s">
        <v>3139</v>
      </c>
      <c r="H57" s="221"/>
      <c r="I57" s="220"/>
      <c r="J57" s="220"/>
      <c r="K57" s="220"/>
      <c r="L57" s="220" t="s">
        <v>3138</v>
      </c>
      <c r="M57" s="220"/>
      <c r="N57" s="220"/>
      <c r="O57" s="220"/>
      <c r="P57" s="220"/>
      <c r="Q57" s="220"/>
      <c r="R57" s="220"/>
      <c r="S57" s="220"/>
    </row>
    <row r="58" ht="20.1" customHeight="1" spans="1:19">
      <c r="A58" s="222" t="s">
        <v>155</v>
      </c>
      <c r="B58" s="214" t="s">
        <v>3172</v>
      </c>
      <c r="C58" s="214" t="s">
        <v>3173</v>
      </c>
      <c r="D58" s="214" t="s">
        <v>3174</v>
      </c>
      <c r="E58" s="214" t="s">
        <v>3175</v>
      </c>
      <c r="F58" s="214" t="s">
        <v>3176</v>
      </c>
      <c r="G58" s="214" t="s">
        <v>3177</v>
      </c>
      <c r="H58" s="223" t="s">
        <v>155</v>
      </c>
      <c r="I58" s="214" t="s">
        <v>3178</v>
      </c>
      <c r="J58" s="214" t="s">
        <v>3179</v>
      </c>
      <c r="K58" s="214" t="s">
        <v>3180</v>
      </c>
      <c r="L58" s="214" t="s">
        <v>3181</v>
      </c>
      <c r="M58" s="214" t="s">
        <v>3182</v>
      </c>
      <c r="N58" s="214" t="s">
        <v>3183</v>
      </c>
      <c r="O58" s="214"/>
      <c r="P58" s="214"/>
      <c r="Q58" s="214"/>
      <c r="R58" s="214"/>
      <c r="S58" s="214"/>
    </row>
    <row r="59" ht="20.1" customHeight="1" spans="1:19">
      <c r="A59" s="216"/>
      <c r="B59" s="217" t="s">
        <v>3184</v>
      </c>
      <c r="C59" s="217" t="s">
        <v>3185</v>
      </c>
      <c r="D59" s="217" t="s">
        <v>3186</v>
      </c>
      <c r="E59" s="217" t="s">
        <v>3187</v>
      </c>
      <c r="F59" s="217" t="s">
        <v>3188</v>
      </c>
      <c r="G59" s="217" t="s">
        <v>3189</v>
      </c>
      <c r="H59" s="218"/>
      <c r="I59" s="217" t="s">
        <v>3132</v>
      </c>
      <c r="J59" s="217" t="s">
        <v>3132</v>
      </c>
      <c r="K59" s="217" t="s">
        <v>3132</v>
      </c>
      <c r="L59" s="217" t="s">
        <v>3190</v>
      </c>
      <c r="M59" s="217" t="s">
        <v>3132</v>
      </c>
      <c r="N59" s="217" t="s">
        <v>3132</v>
      </c>
      <c r="O59" s="217"/>
      <c r="P59" s="217"/>
      <c r="Q59" s="217"/>
      <c r="R59" s="217"/>
      <c r="S59" s="217"/>
    </row>
    <row r="60" ht="20.1" customHeight="1" spans="1:19">
      <c r="A60" s="216"/>
      <c r="B60" s="217" t="s">
        <v>3191</v>
      </c>
      <c r="C60" s="217" t="s">
        <v>3191</v>
      </c>
      <c r="D60" s="217" t="s">
        <v>3191</v>
      </c>
      <c r="E60" s="217" t="s">
        <v>3191</v>
      </c>
      <c r="F60" s="217" t="s">
        <v>3192</v>
      </c>
      <c r="G60" s="217" t="s">
        <v>3136</v>
      </c>
      <c r="H60" s="218"/>
      <c r="I60" s="217" t="s">
        <v>3137</v>
      </c>
      <c r="J60" s="217" t="s">
        <v>3138</v>
      </c>
      <c r="K60" s="217" t="s">
        <v>3138</v>
      </c>
      <c r="L60" s="217" t="s">
        <v>3132</v>
      </c>
      <c r="M60" s="217" t="s">
        <v>3137</v>
      </c>
      <c r="N60" s="217" t="s">
        <v>3137</v>
      </c>
      <c r="O60" s="217"/>
      <c r="P60" s="217"/>
      <c r="Q60" s="217"/>
      <c r="R60" s="217"/>
      <c r="S60" s="217"/>
    </row>
    <row r="61" ht="20.1" customHeight="1" spans="1:19">
      <c r="A61" s="219"/>
      <c r="B61" s="220" t="s">
        <v>3139</v>
      </c>
      <c r="C61" s="220" t="s">
        <v>3140</v>
      </c>
      <c r="D61" s="220" t="s">
        <v>3140</v>
      </c>
      <c r="E61" s="220" t="s">
        <v>3140</v>
      </c>
      <c r="F61" s="220" t="s">
        <v>3140</v>
      </c>
      <c r="G61" s="220" t="s">
        <v>3139</v>
      </c>
      <c r="H61" s="221"/>
      <c r="I61" s="220"/>
      <c r="J61" s="220"/>
      <c r="K61" s="220"/>
      <c r="L61" s="220" t="s">
        <v>3138</v>
      </c>
      <c r="M61" s="220"/>
      <c r="N61" s="220"/>
      <c r="O61" s="220"/>
      <c r="P61" s="220"/>
      <c r="Q61" s="220"/>
      <c r="R61" s="220"/>
      <c r="S61" s="220"/>
    </row>
    <row r="62" ht="20.1" customHeight="1" spans="1:19">
      <c r="A62" s="222" t="s">
        <v>42</v>
      </c>
      <c r="B62" s="214" t="s">
        <v>3172</v>
      </c>
      <c r="C62" s="214" t="s">
        <v>3173</v>
      </c>
      <c r="D62" s="214" t="s">
        <v>3193</v>
      </c>
      <c r="E62" s="214" t="s">
        <v>3175</v>
      </c>
      <c r="F62" s="214" t="s">
        <v>3176</v>
      </c>
      <c r="G62" s="214" t="s">
        <v>3177</v>
      </c>
      <c r="H62" s="223" t="s">
        <v>42</v>
      </c>
      <c r="I62" s="214" t="s">
        <v>3178</v>
      </c>
      <c r="J62" s="214" t="s">
        <v>3179</v>
      </c>
      <c r="K62" s="214" t="s">
        <v>3180</v>
      </c>
      <c r="L62" s="214" t="s">
        <v>3181</v>
      </c>
      <c r="M62" s="214" t="s">
        <v>3182</v>
      </c>
      <c r="N62" s="214" t="s">
        <v>3183</v>
      </c>
      <c r="O62" s="214"/>
      <c r="P62" s="214"/>
      <c r="Q62" s="214"/>
      <c r="R62" s="214"/>
      <c r="S62" s="214"/>
    </row>
    <row r="63" ht="20.1" customHeight="1" spans="1:19">
      <c r="A63" s="216"/>
      <c r="B63" s="217" t="s">
        <v>3184</v>
      </c>
      <c r="C63" s="217" t="s">
        <v>3185</v>
      </c>
      <c r="D63" s="217" t="s">
        <v>3186</v>
      </c>
      <c r="E63" s="217" t="s">
        <v>3194</v>
      </c>
      <c r="F63" s="217" t="s">
        <v>3195</v>
      </c>
      <c r="G63" s="217" t="s">
        <v>3196</v>
      </c>
      <c r="H63" s="218"/>
      <c r="I63" s="217" t="s">
        <v>3132</v>
      </c>
      <c r="J63" s="217" t="s">
        <v>3132</v>
      </c>
      <c r="K63" s="217" t="s">
        <v>3132</v>
      </c>
      <c r="L63" s="217" t="s">
        <v>3190</v>
      </c>
      <c r="M63" s="217" t="s">
        <v>3132</v>
      </c>
      <c r="N63" s="217" t="s">
        <v>3132</v>
      </c>
      <c r="O63" s="217"/>
      <c r="P63" s="217"/>
      <c r="Q63" s="217"/>
      <c r="R63" s="217"/>
      <c r="S63" s="217"/>
    </row>
    <row r="64" ht="20.1" customHeight="1" spans="1:19">
      <c r="A64" s="216"/>
      <c r="B64" s="217" t="s">
        <v>3191</v>
      </c>
      <c r="C64" s="217" t="s">
        <v>3191</v>
      </c>
      <c r="D64" s="217" t="s">
        <v>3191</v>
      </c>
      <c r="E64" s="217" t="s">
        <v>3191</v>
      </c>
      <c r="F64" s="217" t="s">
        <v>3192</v>
      </c>
      <c r="G64" s="217" t="s">
        <v>3136</v>
      </c>
      <c r="H64" s="218"/>
      <c r="I64" s="217" t="s">
        <v>3137</v>
      </c>
      <c r="J64" s="217" t="s">
        <v>3138</v>
      </c>
      <c r="K64" s="217" t="s">
        <v>3138</v>
      </c>
      <c r="L64" s="217" t="s">
        <v>3132</v>
      </c>
      <c r="M64" s="217" t="s">
        <v>3137</v>
      </c>
      <c r="N64" s="217" t="s">
        <v>3137</v>
      </c>
      <c r="O64" s="217"/>
      <c r="P64" s="217"/>
      <c r="Q64" s="217"/>
      <c r="R64" s="217"/>
      <c r="S64" s="217"/>
    </row>
    <row r="65" ht="20.1" customHeight="1" spans="1:19">
      <c r="A65" s="219"/>
      <c r="B65" s="220" t="s">
        <v>3139</v>
      </c>
      <c r="C65" s="220" t="s">
        <v>3140</v>
      </c>
      <c r="D65" s="220" t="s">
        <v>3140</v>
      </c>
      <c r="E65" s="220" t="s">
        <v>3140</v>
      </c>
      <c r="F65" s="220" t="s">
        <v>3140</v>
      </c>
      <c r="G65" s="220" t="s">
        <v>3139</v>
      </c>
      <c r="H65" s="221"/>
      <c r="I65" s="220"/>
      <c r="J65" s="220"/>
      <c r="K65" s="220"/>
      <c r="L65" s="220" t="s">
        <v>3138</v>
      </c>
      <c r="M65" s="220"/>
      <c r="N65" s="220"/>
      <c r="O65" s="220"/>
      <c r="P65" s="220"/>
      <c r="Q65" s="220"/>
      <c r="R65" s="220"/>
      <c r="S65" s="220"/>
    </row>
    <row r="66" ht="20.1" customHeight="1" spans="1:19">
      <c r="A66" s="222" t="s">
        <v>47</v>
      </c>
      <c r="B66" s="214" t="s">
        <v>3172</v>
      </c>
      <c r="C66" s="214" t="s">
        <v>3173</v>
      </c>
      <c r="D66" s="214" t="s">
        <v>3193</v>
      </c>
      <c r="E66" s="214" t="s">
        <v>3175</v>
      </c>
      <c r="F66" s="214" t="s">
        <v>3176</v>
      </c>
      <c r="G66" s="214" t="s">
        <v>3177</v>
      </c>
      <c r="H66" s="223" t="s">
        <v>47</v>
      </c>
      <c r="I66" s="214" t="s">
        <v>3178</v>
      </c>
      <c r="J66" s="214" t="s">
        <v>3179</v>
      </c>
      <c r="K66" s="214" t="s">
        <v>3180</v>
      </c>
      <c r="L66" s="214" t="s">
        <v>3181</v>
      </c>
      <c r="M66" s="214" t="s">
        <v>3182</v>
      </c>
      <c r="N66" s="214" t="s">
        <v>3183</v>
      </c>
      <c r="O66" s="214"/>
      <c r="P66" s="214"/>
      <c r="Q66" s="214"/>
      <c r="R66" s="214"/>
      <c r="S66" s="214"/>
    </row>
    <row r="67" ht="20.1" customHeight="1" spans="1:19">
      <c r="A67" s="216"/>
      <c r="B67" s="217" t="s">
        <v>3184</v>
      </c>
      <c r="C67" s="217" t="s">
        <v>3185</v>
      </c>
      <c r="D67" s="217" t="s">
        <v>3186</v>
      </c>
      <c r="E67" s="217" t="s">
        <v>3197</v>
      </c>
      <c r="F67" s="217" t="s">
        <v>3188</v>
      </c>
      <c r="G67" s="217" t="s">
        <v>3196</v>
      </c>
      <c r="H67" s="218"/>
      <c r="I67" s="217" t="s">
        <v>3132</v>
      </c>
      <c r="J67" s="217" t="s">
        <v>3132</v>
      </c>
      <c r="K67" s="217" t="s">
        <v>3132</v>
      </c>
      <c r="L67" s="217" t="s">
        <v>3190</v>
      </c>
      <c r="M67" s="217" t="s">
        <v>3132</v>
      </c>
      <c r="N67" s="217" t="s">
        <v>3132</v>
      </c>
      <c r="O67" s="217"/>
      <c r="P67" s="217"/>
      <c r="Q67" s="217"/>
      <c r="R67" s="217"/>
      <c r="S67" s="217"/>
    </row>
    <row r="68" ht="20.1" customHeight="1" spans="1:19">
      <c r="A68" s="216"/>
      <c r="B68" s="217" t="s">
        <v>3191</v>
      </c>
      <c r="C68" s="217" t="s">
        <v>3191</v>
      </c>
      <c r="D68" s="217" t="s">
        <v>3191</v>
      </c>
      <c r="E68" s="217" t="s">
        <v>3198</v>
      </c>
      <c r="F68" s="217" t="s">
        <v>3192</v>
      </c>
      <c r="G68" s="217" t="s">
        <v>3136</v>
      </c>
      <c r="H68" s="218"/>
      <c r="I68" s="217" t="s">
        <v>3137</v>
      </c>
      <c r="J68" s="217" t="s">
        <v>3138</v>
      </c>
      <c r="K68" s="217" t="s">
        <v>3138</v>
      </c>
      <c r="L68" s="217" t="s">
        <v>3132</v>
      </c>
      <c r="M68" s="217" t="s">
        <v>3137</v>
      </c>
      <c r="N68" s="217" t="s">
        <v>3137</v>
      </c>
      <c r="O68" s="217"/>
      <c r="P68" s="217"/>
      <c r="Q68" s="217"/>
      <c r="R68" s="217"/>
      <c r="S68" s="217"/>
    </row>
    <row r="69" ht="20.1" customHeight="1" spans="1:19">
      <c r="A69" s="219"/>
      <c r="B69" s="220" t="s">
        <v>3139</v>
      </c>
      <c r="C69" s="220" t="s">
        <v>3140</v>
      </c>
      <c r="D69" s="220" t="s">
        <v>3140</v>
      </c>
      <c r="E69" s="220" t="s">
        <v>3140</v>
      </c>
      <c r="F69" s="220" t="s">
        <v>3140</v>
      </c>
      <c r="G69" s="220" t="s">
        <v>3139</v>
      </c>
      <c r="H69" s="221"/>
      <c r="I69" s="220"/>
      <c r="J69" s="220"/>
      <c r="K69" s="220"/>
      <c r="L69" s="220" t="s">
        <v>3138</v>
      </c>
      <c r="M69" s="220"/>
      <c r="N69" s="220"/>
      <c r="O69" s="220"/>
      <c r="P69" s="220"/>
      <c r="Q69" s="220"/>
      <c r="R69" s="220"/>
      <c r="S69" s="220"/>
    </row>
    <row r="70" ht="20.1" customHeight="1" spans="1:19">
      <c r="A70" s="222" t="s">
        <v>147</v>
      </c>
      <c r="B70" s="214" t="s">
        <v>3172</v>
      </c>
      <c r="C70" s="214" t="s">
        <v>3173</v>
      </c>
      <c r="D70" s="214" t="s">
        <v>3193</v>
      </c>
      <c r="E70" s="214" t="s">
        <v>3175</v>
      </c>
      <c r="F70" s="214" t="s">
        <v>3176</v>
      </c>
      <c r="G70" s="214" t="s">
        <v>3177</v>
      </c>
      <c r="H70" s="223" t="s">
        <v>147</v>
      </c>
      <c r="I70" s="214" t="s">
        <v>3178</v>
      </c>
      <c r="J70" s="214" t="s">
        <v>3179</v>
      </c>
      <c r="K70" s="214" t="s">
        <v>3180</v>
      </c>
      <c r="L70" s="214" t="s">
        <v>3181</v>
      </c>
      <c r="M70" s="214" t="s">
        <v>3182</v>
      </c>
      <c r="N70" s="214" t="s">
        <v>3183</v>
      </c>
      <c r="O70" s="214"/>
      <c r="P70" s="214"/>
      <c r="Q70" s="214"/>
      <c r="R70" s="214"/>
      <c r="S70" s="214"/>
    </row>
    <row r="71" ht="20.1" customHeight="1" spans="1:19">
      <c r="A71" s="216"/>
      <c r="B71" s="217" t="s">
        <v>3184</v>
      </c>
      <c r="C71" s="217" t="s">
        <v>3185</v>
      </c>
      <c r="D71" s="217" t="s">
        <v>3186</v>
      </c>
      <c r="E71" s="217" t="s">
        <v>3187</v>
      </c>
      <c r="F71" s="217" t="s">
        <v>3188</v>
      </c>
      <c r="G71" s="217" t="s">
        <v>3199</v>
      </c>
      <c r="H71" s="218"/>
      <c r="I71" s="217" t="s">
        <v>3132</v>
      </c>
      <c r="J71" s="217" t="s">
        <v>3132</v>
      </c>
      <c r="K71" s="217" t="s">
        <v>3132</v>
      </c>
      <c r="L71" s="217" t="s">
        <v>3190</v>
      </c>
      <c r="M71" s="217" t="s">
        <v>3132</v>
      </c>
      <c r="N71" s="217" t="s">
        <v>3132</v>
      </c>
      <c r="O71" s="217"/>
      <c r="P71" s="217"/>
      <c r="Q71" s="217"/>
      <c r="R71" s="217"/>
      <c r="S71" s="217"/>
    </row>
    <row r="72" ht="20.1" customHeight="1" spans="1:19">
      <c r="A72" s="216"/>
      <c r="B72" s="217" t="s">
        <v>3191</v>
      </c>
      <c r="C72" s="217" t="s">
        <v>3191</v>
      </c>
      <c r="D72" s="217" t="s">
        <v>3191</v>
      </c>
      <c r="E72" s="217" t="s">
        <v>3191</v>
      </c>
      <c r="F72" s="217" t="s">
        <v>3192</v>
      </c>
      <c r="G72" s="217" t="s">
        <v>3136</v>
      </c>
      <c r="H72" s="218"/>
      <c r="I72" s="217" t="s">
        <v>3137</v>
      </c>
      <c r="J72" s="217" t="s">
        <v>3138</v>
      </c>
      <c r="K72" s="217" t="s">
        <v>3138</v>
      </c>
      <c r="L72" s="217" t="s">
        <v>3132</v>
      </c>
      <c r="M72" s="217" t="s">
        <v>3137</v>
      </c>
      <c r="N72" s="217" t="s">
        <v>3137</v>
      </c>
      <c r="O72" s="217"/>
      <c r="P72" s="217"/>
      <c r="Q72" s="217"/>
      <c r="R72" s="217"/>
      <c r="S72" s="217"/>
    </row>
    <row r="73" ht="20.1" customHeight="1" spans="1:19">
      <c r="A73" s="219"/>
      <c r="B73" s="220" t="s">
        <v>3139</v>
      </c>
      <c r="C73" s="220" t="s">
        <v>3140</v>
      </c>
      <c r="D73" s="220" t="s">
        <v>3140</v>
      </c>
      <c r="E73" s="220" t="s">
        <v>3140</v>
      </c>
      <c r="F73" s="220" t="s">
        <v>3140</v>
      </c>
      <c r="G73" s="220" t="s">
        <v>3139</v>
      </c>
      <c r="H73" s="221"/>
      <c r="I73" s="220"/>
      <c r="J73" s="220"/>
      <c r="K73" s="220"/>
      <c r="L73" s="220" t="s">
        <v>3138</v>
      </c>
      <c r="M73" s="220"/>
      <c r="N73" s="220"/>
      <c r="O73" s="220"/>
      <c r="P73" s="220"/>
      <c r="Q73" s="220"/>
      <c r="R73" s="220"/>
      <c r="S73" s="220"/>
    </row>
    <row r="74" ht="20.1" customHeight="1" spans="1:19">
      <c r="A74" s="222" t="s">
        <v>57</v>
      </c>
      <c r="B74" s="214" t="s">
        <v>3172</v>
      </c>
      <c r="C74" s="214" t="s">
        <v>3175</v>
      </c>
      <c r="D74" s="214" t="s">
        <v>3193</v>
      </c>
      <c r="E74" s="214" t="s">
        <v>3175</v>
      </c>
      <c r="F74" s="214" t="s">
        <v>3176</v>
      </c>
      <c r="G74" s="214" t="s">
        <v>3177</v>
      </c>
      <c r="H74" s="223" t="s">
        <v>57</v>
      </c>
      <c r="I74" s="214" t="s">
        <v>3178</v>
      </c>
      <c r="J74" s="214" t="s">
        <v>3179</v>
      </c>
      <c r="K74" s="214" t="s">
        <v>3180</v>
      </c>
      <c r="L74" s="214" t="s">
        <v>3181</v>
      </c>
      <c r="M74" s="214" t="s">
        <v>3182</v>
      </c>
      <c r="N74" s="214" t="s">
        <v>3183</v>
      </c>
      <c r="O74" s="214"/>
      <c r="P74" s="214"/>
      <c r="Q74" s="214"/>
      <c r="R74" s="214"/>
      <c r="S74" s="214"/>
    </row>
    <row r="75" ht="20.1" customHeight="1" spans="1:19">
      <c r="A75" s="216"/>
      <c r="B75" s="217" t="s">
        <v>3184</v>
      </c>
      <c r="C75" s="217" t="s">
        <v>3185</v>
      </c>
      <c r="D75" s="217" t="s">
        <v>3186</v>
      </c>
      <c r="E75" s="217" t="s">
        <v>3187</v>
      </c>
      <c r="F75" s="217" t="s">
        <v>3188</v>
      </c>
      <c r="G75" s="217" t="s">
        <v>3200</v>
      </c>
      <c r="H75" s="218"/>
      <c r="I75" s="217" t="s">
        <v>3132</v>
      </c>
      <c r="J75" s="217" t="s">
        <v>3132</v>
      </c>
      <c r="K75" s="217" t="s">
        <v>3132</v>
      </c>
      <c r="L75" s="217" t="s">
        <v>3190</v>
      </c>
      <c r="M75" s="217" t="s">
        <v>3132</v>
      </c>
      <c r="N75" s="217" t="s">
        <v>3132</v>
      </c>
      <c r="O75" s="217"/>
      <c r="P75" s="217"/>
      <c r="Q75" s="217"/>
      <c r="R75" s="217"/>
      <c r="S75" s="217"/>
    </row>
    <row r="76" ht="20.1" customHeight="1" spans="1:19">
      <c r="A76" s="216"/>
      <c r="B76" s="217" t="s">
        <v>3191</v>
      </c>
      <c r="C76" s="217" t="s">
        <v>3191</v>
      </c>
      <c r="D76" s="217" t="s">
        <v>3191</v>
      </c>
      <c r="E76" s="217" t="s">
        <v>3191</v>
      </c>
      <c r="F76" s="217" t="s">
        <v>3192</v>
      </c>
      <c r="G76" s="217" t="s">
        <v>3136</v>
      </c>
      <c r="H76" s="218"/>
      <c r="I76" s="217" t="s">
        <v>3137</v>
      </c>
      <c r="J76" s="217" t="s">
        <v>3138</v>
      </c>
      <c r="K76" s="217" t="s">
        <v>3138</v>
      </c>
      <c r="L76" s="217" t="s">
        <v>3132</v>
      </c>
      <c r="M76" s="217" t="s">
        <v>3137</v>
      </c>
      <c r="N76" s="217" t="s">
        <v>3137</v>
      </c>
      <c r="O76" s="217"/>
      <c r="P76" s="217"/>
      <c r="Q76" s="217"/>
      <c r="R76" s="217"/>
      <c r="S76" s="217"/>
    </row>
    <row r="77" ht="20.1" customHeight="1" spans="1:19">
      <c r="A77" s="219"/>
      <c r="B77" s="220" t="s">
        <v>3139</v>
      </c>
      <c r="C77" s="220" t="s">
        <v>3140</v>
      </c>
      <c r="D77" s="220" t="s">
        <v>3140</v>
      </c>
      <c r="E77" s="220" t="s">
        <v>3140</v>
      </c>
      <c r="F77" s="220" t="s">
        <v>3140</v>
      </c>
      <c r="G77" s="220" t="s">
        <v>3139</v>
      </c>
      <c r="H77" s="221"/>
      <c r="I77" s="220"/>
      <c r="J77" s="220"/>
      <c r="K77" s="220"/>
      <c r="L77" s="220" t="s">
        <v>3138</v>
      </c>
      <c r="M77" s="220"/>
      <c r="N77" s="220"/>
      <c r="O77" s="220"/>
      <c r="P77" s="220"/>
      <c r="Q77" s="220"/>
      <c r="R77" s="220"/>
      <c r="S77" s="220"/>
    </row>
    <row r="78" ht="20.1" customHeight="1" spans="1:19">
      <c r="A78" s="222" t="s">
        <v>110</v>
      </c>
      <c r="B78" s="214" t="s">
        <v>3201</v>
      </c>
      <c r="C78" s="214" t="s">
        <v>3202</v>
      </c>
      <c r="D78" s="214" t="s">
        <v>3203</v>
      </c>
      <c r="E78" s="214" t="s">
        <v>3204</v>
      </c>
      <c r="F78" s="214" t="s">
        <v>3205</v>
      </c>
      <c r="G78" s="214" t="s">
        <v>3206</v>
      </c>
      <c r="H78" s="223" t="s">
        <v>110</v>
      </c>
      <c r="I78" s="214" t="s">
        <v>3207</v>
      </c>
      <c r="J78" s="214" t="s">
        <v>3208</v>
      </c>
      <c r="K78" s="214" t="s">
        <v>3209</v>
      </c>
      <c r="L78" s="214" t="s">
        <v>3210</v>
      </c>
      <c r="M78" s="214" t="s">
        <v>3211</v>
      </c>
      <c r="N78" s="214" t="s">
        <v>3212</v>
      </c>
      <c r="O78" s="214"/>
      <c r="P78" s="214"/>
      <c r="Q78" s="214"/>
      <c r="R78" s="214"/>
      <c r="S78" s="214"/>
    </row>
    <row r="79" ht="20.1" customHeight="1" spans="1:19">
      <c r="A79" s="216"/>
      <c r="B79" s="217" t="s">
        <v>3135</v>
      </c>
      <c r="C79" s="217" t="s">
        <v>3135</v>
      </c>
      <c r="D79" s="217" t="s">
        <v>3135</v>
      </c>
      <c r="E79" s="217" t="s">
        <v>3135</v>
      </c>
      <c r="F79" s="217" t="s">
        <v>3135</v>
      </c>
      <c r="G79" s="217" t="s">
        <v>3136</v>
      </c>
      <c r="H79" s="218"/>
      <c r="I79" s="217" t="s">
        <v>3138</v>
      </c>
      <c r="J79" s="217" t="s">
        <v>3138</v>
      </c>
      <c r="K79" s="217" t="s">
        <v>3138</v>
      </c>
      <c r="L79" s="217" t="s">
        <v>3134</v>
      </c>
      <c r="M79" s="217" t="s">
        <v>3134</v>
      </c>
      <c r="N79" s="217" t="s">
        <v>3134</v>
      </c>
      <c r="O79" s="217"/>
      <c r="P79" s="217"/>
      <c r="Q79" s="217"/>
      <c r="R79" s="217"/>
      <c r="S79" s="217"/>
    </row>
    <row r="80" ht="20.1" customHeight="1" spans="1:19">
      <c r="A80" s="219"/>
      <c r="B80" s="220" t="s">
        <v>3139</v>
      </c>
      <c r="C80" s="220" t="s">
        <v>3140</v>
      </c>
      <c r="D80" s="220" t="s">
        <v>3140</v>
      </c>
      <c r="E80" s="220" t="s">
        <v>3140</v>
      </c>
      <c r="F80" s="220" t="s">
        <v>3140</v>
      </c>
      <c r="G80" s="220" t="s">
        <v>3139</v>
      </c>
      <c r="H80" s="221"/>
      <c r="I80" s="220"/>
      <c r="J80" s="220"/>
      <c r="K80" s="220"/>
      <c r="L80" s="220" t="s">
        <v>3137</v>
      </c>
      <c r="M80" s="220" t="s">
        <v>3137</v>
      </c>
      <c r="N80" s="220" t="s">
        <v>3137</v>
      </c>
      <c r="O80" s="220"/>
      <c r="P80" s="220"/>
      <c r="Q80" s="220"/>
      <c r="R80" s="220"/>
      <c r="S80" s="220"/>
    </row>
    <row r="81" ht="20.1" customHeight="1" spans="1:19">
      <c r="A81" s="222" t="s">
        <v>699</v>
      </c>
      <c r="B81" s="214" t="s">
        <v>3201</v>
      </c>
      <c r="C81" s="214" t="s">
        <v>3202</v>
      </c>
      <c r="D81" s="214" t="s">
        <v>3203</v>
      </c>
      <c r="E81" s="214" t="s">
        <v>3204</v>
      </c>
      <c r="F81" s="214" t="s">
        <v>3205</v>
      </c>
      <c r="G81" s="214" t="s">
        <v>3213</v>
      </c>
      <c r="H81" s="223" t="s">
        <v>699</v>
      </c>
      <c r="I81" s="214" t="s">
        <v>3207</v>
      </c>
      <c r="J81" s="214" t="s">
        <v>3208</v>
      </c>
      <c r="K81" s="214" t="s">
        <v>3209</v>
      </c>
      <c r="L81" s="214" t="s">
        <v>3210</v>
      </c>
      <c r="M81" s="214" t="s">
        <v>3211</v>
      </c>
      <c r="N81" s="214" t="s">
        <v>3212</v>
      </c>
      <c r="O81" s="214"/>
      <c r="P81" s="214"/>
      <c r="Q81" s="214"/>
      <c r="R81" s="214"/>
      <c r="S81" s="214"/>
    </row>
    <row r="82" ht="20.1" customHeight="1" spans="1:19">
      <c r="A82" s="216"/>
      <c r="B82" s="217" t="s">
        <v>3135</v>
      </c>
      <c r="C82" s="217" t="s">
        <v>3135</v>
      </c>
      <c r="D82" s="217" t="s">
        <v>3135</v>
      </c>
      <c r="E82" s="217" t="s">
        <v>3135</v>
      </c>
      <c r="F82" s="217" t="s">
        <v>3135</v>
      </c>
      <c r="G82" s="217" t="s">
        <v>3136</v>
      </c>
      <c r="H82" s="218"/>
      <c r="I82" s="217" t="s">
        <v>3138</v>
      </c>
      <c r="J82" s="217" t="s">
        <v>3138</v>
      </c>
      <c r="K82" s="217" t="s">
        <v>3138</v>
      </c>
      <c r="L82" s="217" t="s">
        <v>3134</v>
      </c>
      <c r="M82" s="217" t="s">
        <v>3134</v>
      </c>
      <c r="N82" s="217" t="s">
        <v>3134</v>
      </c>
      <c r="O82" s="217"/>
      <c r="P82" s="217"/>
      <c r="Q82" s="217"/>
      <c r="R82" s="217"/>
      <c r="S82" s="217"/>
    </row>
    <row r="83" ht="20.1" customHeight="1" spans="1:19">
      <c r="A83" s="219"/>
      <c r="B83" s="220" t="s">
        <v>3139</v>
      </c>
      <c r="C83" s="220" t="s">
        <v>3140</v>
      </c>
      <c r="D83" s="220" t="s">
        <v>3140</v>
      </c>
      <c r="E83" s="220" t="s">
        <v>3140</v>
      </c>
      <c r="F83" s="220" t="s">
        <v>3140</v>
      </c>
      <c r="G83" s="220" t="s">
        <v>3139</v>
      </c>
      <c r="H83" s="221"/>
      <c r="I83" s="220"/>
      <c r="J83" s="220"/>
      <c r="K83" s="220"/>
      <c r="L83" s="220" t="s">
        <v>3137</v>
      </c>
      <c r="M83" s="220" t="s">
        <v>3137</v>
      </c>
      <c r="N83" s="220" t="s">
        <v>3137</v>
      </c>
      <c r="O83" s="220"/>
      <c r="P83" s="220"/>
      <c r="Q83" s="220"/>
      <c r="R83" s="220"/>
      <c r="S83" s="220"/>
    </row>
    <row r="84" ht="20.1" customHeight="1" spans="1:19">
      <c r="A84" s="222" t="s">
        <v>709</v>
      </c>
      <c r="B84" s="214" t="s">
        <v>3201</v>
      </c>
      <c r="C84" s="214" t="s">
        <v>3202</v>
      </c>
      <c r="D84" s="214" t="s">
        <v>3203</v>
      </c>
      <c r="E84" s="214" t="s">
        <v>3204</v>
      </c>
      <c r="F84" s="214" t="s">
        <v>3205</v>
      </c>
      <c r="G84" s="214" t="s">
        <v>3214</v>
      </c>
      <c r="H84" s="223" t="s">
        <v>709</v>
      </c>
      <c r="I84" s="214" t="s">
        <v>3207</v>
      </c>
      <c r="J84" s="214" t="s">
        <v>3208</v>
      </c>
      <c r="K84" s="214" t="s">
        <v>3209</v>
      </c>
      <c r="L84" s="214" t="s">
        <v>3210</v>
      </c>
      <c r="M84" s="214" t="s">
        <v>3211</v>
      </c>
      <c r="N84" s="214" t="s">
        <v>3212</v>
      </c>
      <c r="O84" s="214"/>
      <c r="P84" s="214"/>
      <c r="Q84" s="214"/>
      <c r="R84" s="214"/>
      <c r="S84" s="214"/>
    </row>
    <row r="85" ht="20.1" customHeight="1" spans="1:19">
      <c r="A85" s="216"/>
      <c r="B85" s="217" t="s">
        <v>3135</v>
      </c>
      <c r="C85" s="217" t="s">
        <v>3135</v>
      </c>
      <c r="D85" s="217" t="s">
        <v>3135</v>
      </c>
      <c r="E85" s="217" t="s">
        <v>3135</v>
      </c>
      <c r="F85" s="217" t="s">
        <v>3135</v>
      </c>
      <c r="G85" s="217" t="s">
        <v>3136</v>
      </c>
      <c r="H85" s="218"/>
      <c r="I85" s="217" t="s">
        <v>3138</v>
      </c>
      <c r="J85" s="217" t="s">
        <v>3138</v>
      </c>
      <c r="K85" s="217" t="s">
        <v>3138</v>
      </c>
      <c r="L85" s="217" t="s">
        <v>3134</v>
      </c>
      <c r="M85" s="217" t="s">
        <v>3134</v>
      </c>
      <c r="N85" s="217" t="s">
        <v>3134</v>
      </c>
      <c r="O85" s="217"/>
      <c r="P85" s="217"/>
      <c r="Q85" s="217"/>
      <c r="R85" s="217"/>
      <c r="S85" s="217"/>
    </row>
    <row r="86" ht="20.1" customHeight="1" spans="1:19">
      <c r="A86" s="219"/>
      <c r="B86" s="220" t="s">
        <v>3139</v>
      </c>
      <c r="C86" s="220" t="s">
        <v>3140</v>
      </c>
      <c r="D86" s="220" t="s">
        <v>3140</v>
      </c>
      <c r="E86" s="220" t="s">
        <v>3140</v>
      </c>
      <c r="F86" s="220" t="s">
        <v>3140</v>
      </c>
      <c r="G86" s="220" t="s">
        <v>3139</v>
      </c>
      <c r="H86" s="221"/>
      <c r="I86" s="220"/>
      <c r="J86" s="220"/>
      <c r="K86" s="220"/>
      <c r="L86" s="220" t="s">
        <v>3137</v>
      </c>
      <c r="M86" s="220" t="s">
        <v>3137</v>
      </c>
      <c r="N86" s="220" t="s">
        <v>3137</v>
      </c>
      <c r="O86" s="220"/>
      <c r="P86" s="220"/>
      <c r="Q86" s="220"/>
      <c r="R86" s="220"/>
      <c r="S86" s="220"/>
    </row>
    <row r="87" ht="20.1" customHeight="1" spans="1:19">
      <c r="A87" s="222" t="s">
        <v>125</v>
      </c>
      <c r="B87" s="214" t="s">
        <v>3201</v>
      </c>
      <c r="C87" s="214" t="s">
        <v>3202</v>
      </c>
      <c r="D87" s="214" t="s">
        <v>3203</v>
      </c>
      <c r="E87" s="214" t="s">
        <v>3204</v>
      </c>
      <c r="F87" s="214" t="s">
        <v>3205</v>
      </c>
      <c r="G87" s="214" t="s">
        <v>3200</v>
      </c>
      <c r="H87" s="223" t="s">
        <v>125</v>
      </c>
      <c r="I87" s="214" t="s">
        <v>3207</v>
      </c>
      <c r="J87" s="214" t="s">
        <v>3208</v>
      </c>
      <c r="K87" s="214" t="s">
        <v>3209</v>
      </c>
      <c r="L87" s="214" t="s">
        <v>3210</v>
      </c>
      <c r="M87" s="214" t="s">
        <v>3211</v>
      </c>
      <c r="N87" s="214" t="s">
        <v>3212</v>
      </c>
      <c r="O87" s="214"/>
      <c r="P87" s="214"/>
      <c r="Q87" s="214"/>
      <c r="R87" s="214"/>
      <c r="S87" s="214"/>
    </row>
    <row r="88" ht="20.1" customHeight="1" spans="1:19">
      <c r="A88" s="216"/>
      <c r="B88" s="217" t="s">
        <v>3135</v>
      </c>
      <c r="C88" s="217" t="s">
        <v>3135</v>
      </c>
      <c r="D88" s="217" t="s">
        <v>3135</v>
      </c>
      <c r="E88" s="217" t="s">
        <v>3135</v>
      </c>
      <c r="F88" s="217" t="s">
        <v>3135</v>
      </c>
      <c r="G88" s="217" t="s">
        <v>3136</v>
      </c>
      <c r="H88" s="218"/>
      <c r="I88" s="217" t="s">
        <v>3138</v>
      </c>
      <c r="J88" s="217" t="s">
        <v>3138</v>
      </c>
      <c r="K88" s="217" t="s">
        <v>3138</v>
      </c>
      <c r="L88" s="217" t="s">
        <v>3134</v>
      </c>
      <c r="M88" s="217" t="s">
        <v>3134</v>
      </c>
      <c r="N88" s="217" t="s">
        <v>3134</v>
      </c>
      <c r="O88" s="217"/>
      <c r="P88" s="217"/>
      <c r="Q88" s="217"/>
      <c r="R88" s="217"/>
      <c r="S88" s="217"/>
    </row>
    <row r="89" ht="20.1" customHeight="1" spans="1:19">
      <c r="A89" s="219"/>
      <c r="B89" s="220" t="s">
        <v>3139</v>
      </c>
      <c r="C89" s="220" t="s">
        <v>3140</v>
      </c>
      <c r="D89" s="220" t="s">
        <v>3140</v>
      </c>
      <c r="E89" s="220" t="s">
        <v>3140</v>
      </c>
      <c r="F89" s="220" t="s">
        <v>3140</v>
      </c>
      <c r="G89" s="220" t="s">
        <v>3139</v>
      </c>
      <c r="H89" s="221"/>
      <c r="I89" s="220"/>
      <c r="J89" s="220"/>
      <c r="K89" s="220"/>
      <c r="L89" s="220" t="s">
        <v>3137</v>
      </c>
      <c r="M89" s="220" t="s">
        <v>3137</v>
      </c>
      <c r="N89" s="220" t="s">
        <v>3137</v>
      </c>
      <c r="O89" s="220"/>
      <c r="P89" s="220"/>
      <c r="Q89" s="220"/>
      <c r="R89" s="220"/>
      <c r="S89" s="220"/>
    </row>
    <row r="90" ht="20.1" customHeight="1" spans="1:19">
      <c r="A90" s="222" t="s">
        <v>121</v>
      </c>
      <c r="B90" s="214" t="s">
        <v>3201</v>
      </c>
      <c r="C90" s="214" t="s">
        <v>3202</v>
      </c>
      <c r="D90" s="214" t="s">
        <v>3203</v>
      </c>
      <c r="E90" s="214" t="s">
        <v>3204</v>
      </c>
      <c r="F90" s="214" t="s">
        <v>3205</v>
      </c>
      <c r="G90" s="214" t="s">
        <v>3206</v>
      </c>
      <c r="H90" s="223" t="s">
        <v>121</v>
      </c>
      <c r="I90" s="214" t="s">
        <v>3207</v>
      </c>
      <c r="J90" s="214" t="s">
        <v>3208</v>
      </c>
      <c r="K90" s="214" t="s">
        <v>3209</v>
      </c>
      <c r="L90" s="214" t="s">
        <v>3210</v>
      </c>
      <c r="M90" s="214" t="s">
        <v>3211</v>
      </c>
      <c r="N90" s="214" t="s">
        <v>3212</v>
      </c>
      <c r="O90" s="214"/>
      <c r="P90" s="214"/>
      <c r="Q90" s="214"/>
      <c r="R90" s="214"/>
      <c r="S90" s="214"/>
    </row>
    <row r="91" ht="20.1" customHeight="1" spans="1:19">
      <c r="A91" s="216"/>
      <c r="B91" s="217" t="s">
        <v>3135</v>
      </c>
      <c r="C91" s="217" t="s">
        <v>3135</v>
      </c>
      <c r="D91" s="217" t="s">
        <v>3135</v>
      </c>
      <c r="E91" s="217" t="s">
        <v>3135</v>
      </c>
      <c r="F91" s="217" t="s">
        <v>3135</v>
      </c>
      <c r="G91" s="217" t="s">
        <v>3136</v>
      </c>
      <c r="H91" s="218"/>
      <c r="I91" s="217" t="s">
        <v>3138</v>
      </c>
      <c r="J91" s="217" t="s">
        <v>3138</v>
      </c>
      <c r="K91" s="217" t="s">
        <v>3138</v>
      </c>
      <c r="L91" s="217" t="s">
        <v>3134</v>
      </c>
      <c r="M91" s="217" t="s">
        <v>3134</v>
      </c>
      <c r="N91" s="217" t="s">
        <v>3134</v>
      </c>
      <c r="O91" s="217"/>
      <c r="P91" s="217"/>
      <c r="Q91" s="217"/>
      <c r="R91" s="217"/>
      <c r="S91" s="217"/>
    </row>
    <row r="92" ht="20.1" customHeight="1" spans="1:19">
      <c r="A92" s="219"/>
      <c r="B92" s="220" t="s">
        <v>3139</v>
      </c>
      <c r="C92" s="220" t="s">
        <v>3140</v>
      </c>
      <c r="D92" s="220" t="s">
        <v>3140</v>
      </c>
      <c r="E92" s="220" t="s">
        <v>3140</v>
      </c>
      <c r="F92" s="220" t="s">
        <v>3140</v>
      </c>
      <c r="G92" s="220" t="s">
        <v>3139</v>
      </c>
      <c r="H92" s="221"/>
      <c r="I92" s="220"/>
      <c r="J92" s="220"/>
      <c r="K92" s="220"/>
      <c r="L92" s="220" t="s">
        <v>3137</v>
      </c>
      <c r="M92" s="220" t="s">
        <v>3137</v>
      </c>
      <c r="N92" s="220" t="s">
        <v>3137</v>
      </c>
      <c r="O92" s="220"/>
      <c r="P92" s="220"/>
      <c r="Q92" s="220"/>
      <c r="R92" s="220"/>
      <c r="S92" s="220"/>
    </row>
    <row r="93" ht="20.1" customHeight="1" spans="1:19">
      <c r="A93" s="222" t="s">
        <v>135</v>
      </c>
      <c r="B93" s="214" t="s">
        <v>3201</v>
      </c>
      <c r="C93" s="214" t="s">
        <v>3202</v>
      </c>
      <c r="D93" s="214" t="s">
        <v>3203</v>
      </c>
      <c r="E93" s="214" t="s">
        <v>3204</v>
      </c>
      <c r="F93" s="214" t="s">
        <v>3205</v>
      </c>
      <c r="G93" s="214" t="s">
        <v>3215</v>
      </c>
      <c r="H93" s="223" t="s">
        <v>135</v>
      </c>
      <c r="I93" s="214" t="s">
        <v>3207</v>
      </c>
      <c r="J93" s="214" t="s">
        <v>3208</v>
      </c>
      <c r="K93" s="214" t="s">
        <v>3209</v>
      </c>
      <c r="L93" s="214" t="s">
        <v>3210</v>
      </c>
      <c r="M93" s="214" t="s">
        <v>3211</v>
      </c>
      <c r="N93" s="214" t="s">
        <v>3212</v>
      </c>
      <c r="O93" s="214"/>
      <c r="P93" s="214"/>
      <c r="Q93" s="214"/>
      <c r="R93" s="214"/>
      <c r="S93" s="214"/>
    </row>
    <row r="94" ht="20.1" customHeight="1" spans="1:19">
      <c r="A94" s="216"/>
      <c r="B94" s="217" t="s">
        <v>3135</v>
      </c>
      <c r="C94" s="217" t="s">
        <v>3135</v>
      </c>
      <c r="D94" s="217" t="s">
        <v>3135</v>
      </c>
      <c r="E94" s="217" t="s">
        <v>3135</v>
      </c>
      <c r="F94" s="217" t="s">
        <v>3135</v>
      </c>
      <c r="G94" s="217" t="s">
        <v>3136</v>
      </c>
      <c r="H94" s="218"/>
      <c r="I94" s="217" t="s">
        <v>3138</v>
      </c>
      <c r="J94" s="217" t="s">
        <v>3138</v>
      </c>
      <c r="K94" s="217" t="s">
        <v>3138</v>
      </c>
      <c r="L94" s="217" t="s">
        <v>3134</v>
      </c>
      <c r="M94" s="217" t="s">
        <v>3134</v>
      </c>
      <c r="N94" s="217" t="s">
        <v>3134</v>
      </c>
      <c r="O94" s="217"/>
      <c r="P94" s="217"/>
      <c r="Q94" s="217"/>
      <c r="R94" s="217"/>
      <c r="S94" s="217"/>
    </row>
    <row r="95" ht="20.1" customHeight="1" spans="1:19">
      <c r="A95" s="219"/>
      <c r="B95" s="220" t="s">
        <v>3139</v>
      </c>
      <c r="C95" s="220" t="s">
        <v>3140</v>
      </c>
      <c r="D95" s="220" t="s">
        <v>3140</v>
      </c>
      <c r="E95" s="220" t="s">
        <v>3140</v>
      </c>
      <c r="F95" s="220" t="s">
        <v>3140</v>
      </c>
      <c r="G95" s="220" t="s">
        <v>3139</v>
      </c>
      <c r="H95" s="221"/>
      <c r="I95" s="220"/>
      <c r="J95" s="220"/>
      <c r="K95" s="220"/>
      <c r="L95" s="220" t="s">
        <v>3137</v>
      </c>
      <c r="M95" s="220" t="s">
        <v>3137</v>
      </c>
      <c r="N95" s="220" t="s">
        <v>3137</v>
      </c>
      <c r="O95" s="220"/>
      <c r="P95" s="220"/>
      <c r="Q95" s="220"/>
      <c r="R95" s="220"/>
      <c r="S95" s="220"/>
    </row>
    <row r="96" ht="20.1" customHeight="1" spans="1:19">
      <c r="A96" s="222" t="s">
        <v>738</v>
      </c>
      <c r="B96" s="214" t="s">
        <v>3216</v>
      </c>
      <c r="C96" s="214" t="s">
        <v>3217</v>
      </c>
      <c r="D96" s="214" t="s">
        <v>3218</v>
      </c>
      <c r="E96" s="214" t="s">
        <v>3219</v>
      </c>
      <c r="F96" s="214" t="s">
        <v>3182</v>
      </c>
      <c r="G96" s="214" t="s">
        <v>3220</v>
      </c>
      <c r="H96" s="215" t="s">
        <v>738</v>
      </c>
      <c r="I96" s="224" t="s">
        <v>3207</v>
      </c>
      <c r="J96" s="224" t="s">
        <v>3208</v>
      </c>
      <c r="K96" s="224" t="s">
        <v>3221</v>
      </c>
      <c r="L96" s="224" t="s">
        <v>3222</v>
      </c>
      <c r="M96" s="224" t="s">
        <v>3223</v>
      </c>
      <c r="N96" s="224" t="s">
        <v>3224</v>
      </c>
      <c r="O96" s="224"/>
      <c r="P96" s="224"/>
      <c r="Q96" s="224"/>
      <c r="R96" s="224"/>
      <c r="S96" s="224"/>
    </row>
    <row r="97" ht="20.1" customHeight="1" spans="1:19">
      <c r="A97" s="216"/>
      <c r="B97" s="217" t="s">
        <v>3136</v>
      </c>
      <c r="C97" s="217" t="s">
        <v>3136</v>
      </c>
      <c r="D97" s="217" t="s">
        <v>3136</v>
      </c>
      <c r="E97" s="217" t="s">
        <v>3136</v>
      </c>
      <c r="F97" s="217" t="s">
        <v>3136</v>
      </c>
      <c r="G97" s="217" t="s">
        <v>3136</v>
      </c>
      <c r="H97" s="218"/>
      <c r="I97" s="225" t="s">
        <v>3138</v>
      </c>
      <c r="J97" s="225" t="s">
        <v>3138</v>
      </c>
      <c r="K97" s="225" t="s">
        <v>3134</v>
      </c>
      <c r="L97" s="225" t="s">
        <v>3134</v>
      </c>
      <c r="M97" s="225" t="s">
        <v>3134</v>
      </c>
      <c r="N97" s="225" t="s">
        <v>3134</v>
      </c>
      <c r="O97" s="225"/>
      <c r="P97" s="225"/>
      <c r="Q97" s="225"/>
      <c r="R97" s="225"/>
      <c r="S97" s="225"/>
    </row>
    <row r="98" ht="20.1" customHeight="1" spans="1:19">
      <c r="A98" s="226"/>
      <c r="B98" s="220" t="s">
        <v>3140</v>
      </c>
      <c r="C98" s="220" t="s">
        <v>3140</v>
      </c>
      <c r="D98" s="220" t="s">
        <v>3140</v>
      </c>
      <c r="E98" s="220" t="s">
        <v>3140</v>
      </c>
      <c r="F98" s="220" t="s">
        <v>3139</v>
      </c>
      <c r="G98" s="220" t="s">
        <v>3139</v>
      </c>
      <c r="H98" s="221"/>
      <c r="I98" s="227"/>
      <c r="J98" s="227"/>
      <c r="K98" s="227" t="s">
        <v>3138</v>
      </c>
      <c r="L98" s="227" t="s">
        <v>3137</v>
      </c>
      <c r="M98" s="227" t="s">
        <v>3137</v>
      </c>
      <c r="N98" s="227" t="s">
        <v>3225</v>
      </c>
      <c r="O98" s="227"/>
      <c r="P98" s="227"/>
      <c r="Q98" s="227"/>
      <c r="R98" s="227"/>
      <c r="S98" s="227"/>
    </row>
    <row r="99" ht="20.1" customHeight="1" spans="1:19">
      <c r="A99" s="222" t="s">
        <v>747</v>
      </c>
      <c r="B99" s="214" t="s">
        <v>3226</v>
      </c>
      <c r="C99" s="214" t="s">
        <v>3227</v>
      </c>
      <c r="D99" s="214" t="s">
        <v>3228</v>
      </c>
      <c r="E99" s="214" t="s">
        <v>3229</v>
      </c>
      <c r="F99" s="214" t="s">
        <v>3230</v>
      </c>
      <c r="G99" s="214" t="s">
        <v>3231</v>
      </c>
      <c r="H99" s="223" t="s">
        <v>747</v>
      </c>
      <c r="I99" s="214" t="s">
        <v>3207</v>
      </c>
      <c r="J99" s="214" t="s">
        <v>3208</v>
      </c>
      <c r="K99" s="214" t="s">
        <v>3230</v>
      </c>
      <c r="L99" s="214" t="s">
        <v>3231</v>
      </c>
      <c r="M99" s="214" t="s">
        <v>3232</v>
      </c>
      <c r="N99" s="214" t="s">
        <v>3233</v>
      </c>
      <c r="O99" s="214"/>
      <c r="P99" s="214"/>
      <c r="Q99" s="214"/>
      <c r="R99" s="214"/>
      <c r="S99" s="214"/>
    </row>
    <row r="100" ht="20.1" customHeight="1" spans="1:19">
      <c r="A100" s="216"/>
      <c r="B100" s="217" t="s">
        <v>3136</v>
      </c>
      <c r="C100" s="217" t="s">
        <v>3136</v>
      </c>
      <c r="D100" s="217" t="s">
        <v>3136</v>
      </c>
      <c r="E100" s="217" t="s">
        <v>3136</v>
      </c>
      <c r="F100" s="217" t="s">
        <v>3136</v>
      </c>
      <c r="G100" s="217" t="s">
        <v>3136</v>
      </c>
      <c r="H100" s="218"/>
      <c r="I100" s="217" t="s">
        <v>3138</v>
      </c>
      <c r="J100" s="217" t="s">
        <v>3138</v>
      </c>
      <c r="K100" s="217" t="s">
        <v>3134</v>
      </c>
      <c r="L100" s="217" t="s">
        <v>3134</v>
      </c>
      <c r="M100" s="217" t="s">
        <v>3134</v>
      </c>
      <c r="N100" s="217" t="s">
        <v>3134</v>
      </c>
      <c r="O100" s="217"/>
      <c r="P100" s="217"/>
      <c r="Q100" s="217"/>
      <c r="R100" s="217"/>
      <c r="S100" s="217"/>
    </row>
    <row r="101" ht="20.1" customHeight="1" spans="1:19">
      <c r="A101" s="219"/>
      <c r="B101" s="220" t="s">
        <v>3140</v>
      </c>
      <c r="C101" s="220" t="s">
        <v>3140</v>
      </c>
      <c r="D101" s="220" t="s">
        <v>3140</v>
      </c>
      <c r="E101" s="220" t="s">
        <v>3140</v>
      </c>
      <c r="F101" s="220" t="s">
        <v>3139</v>
      </c>
      <c r="G101" s="220" t="s">
        <v>3139</v>
      </c>
      <c r="H101" s="221"/>
      <c r="I101" s="220"/>
      <c r="J101" s="220"/>
      <c r="K101" s="220" t="s">
        <v>3138</v>
      </c>
      <c r="L101" s="220" t="s">
        <v>3137</v>
      </c>
      <c r="M101" s="220" t="s">
        <v>3137</v>
      </c>
      <c r="N101" s="220" t="s">
        <v>3137</v>
      </c>
      <c r="O101" s="220"/>
      <c r="P101" s="220"/>
      <c r="Q101" s="220"/>
      <c r="R101" s="220"/>
      <c r="S101" s="220"/>
    </row>
    <row r="102" ht="20.1" customHeight="1" spans="1:19">
      <c r="A102" s="222" t="s">
        <v>106</v>
      </c>
      <c r="B102" s="214" t="s">
        <v>3216</v>
      </c>
      <c r="C102" s="214" t="s">
        <v>3217</v>
      </c>
      <c r="D102" s="214" t="s">
        <v>3218</v>
      </c>
      <c r="E102" s="214" t="s">
        <v>3219</v>
      </c>
      <c r="F102" s="214" t="s">
        <v>3182</v>
      </c>
      <c r="G102" s="214" t="s">
        <v>3124</v>
      </c>
      <c r="H102" s="223" t="s">
        <v>106</v>
      </c>
      <c r="I102" s="214" t="s">
        <v>3207</v>
      </c>
      <c r="J102" s="214" t="s">
        <v>3208</v>
      </c>
      <c r="K102" s="214" t="s">
        <v>3182</v>
      </c>
      <c r="L102" s="214" t="s">
        <v>3234</v>
      </c>
      <c r="M102" s="214" t="s">
        <v>3212</v>
      </c>
      <c r="N102" s="214" t="s">
        <v>3235</v>
      </c>
      <c r="O102" s="214"/>
      <c r="P102" s="214"/>
      <c r="Q102" s="214"/>
      <c r="R102" s="214"/>
      <c r="S102" s="214"/>
    </row>
    <row r="103" ht="20.1" customHeight="1" spans="1:19">
      <c r="A103" s="216"/>
      <c r="B103" s="217" t="s">
        <v>3136</v>
      </c>
      <c r="C103" s="217" t="s">
        <v>3136</v>
      </c>
      <c r="D103" s="217" t="s">
        <v>3136</v>
      </c>
      <c r="E103" s="217" t="s">
        <v>3136</v>
      </c>
      <c r="F103" s="217" t="s">
        <v>3136</v>
      </c>
      <c r="G103" s="217" t="s">
        <v>3136</v>
      </c>
      <c r="H103" s="218"/>
      <c r="I103" s="217" t="s">
        <v>3138</v>
      </c>
      <c r="J103" s="217" t="s">
        <v>3138</v>
      </c>
      <c r="K103" s="217" t="s">
        <v>3134</v>
      </c>
      <c r="L103" s="217" t="s">
        <v>3134</v>
      </c>
      <c r="M103" s="217" t="s">
        <v>3134</v>
      </c>
      <c r="N103" s="217" t="s">
        <v>3134</v>
      </c>
      <c r="O103" s="217"/>
      <c r="P103" s="217"/>
      <c r="Q103" s="217"/>
      <c r="R103" s="217"/>
      <c r="S103" s="217"/>
    </row>
    <row r="104" ht="20.1" customHeight="1" spans="1:19">
      <c r="A104" s="219"/>
      <c r="B104" s="220" t="s">
        <v>3140</v>
      </c>
      <c r="C104" s="220" t="s">
        <v>3140</v>
      </c>
      <c r="D104" s="220" t="s">
        <v>3140</v>
      </c>
      <c r="E104" s="220" t="s">
        <v>3140</v>
      </c>
      <c r="F104" s="220" t="s">
        <v>3139</v>
      </c>
      <c r="G104" s="220" t="s">
        <v>3139</v>
      </c>
      <c r="H104" s="221"/>
      <c r="I104" s="220"/>
      <c r="J104" s="220"/>
      <c r="K104" s="220" t="s">
        <v>3138</v>
      </c>
      <c r="L104" s="220" t="s">
        <v>3137</v>
      </c>
      <c r="M104" s="220" t="s">
        <v>3137</v>
      </c>
      <c r="N104" s="220" t="s">
        <v>3137</v>
      </c>
      <c r="O104" s="220"/>
      <c r="P104" s="220"/>
      <c r="Q104" s="220"/>
      <c r="R104" s="220"/>
      <c r="S104" s="220"/>
    </row>
    <row r="105" ht="20.1" customHeight="1" spans="1:19">
      <c r="A105" s="222" t="s">
        <v>117</v>
      </c>
      <c r="B105" s="214" t="s">
        <v>3236</v>
      </c>
      <c r="C105" s="214" t="s">
        <v>3227</v>
      </c>
      <c r="D105" s="214" t="s">
        <v>3237</v>
      </c>
      <c r="E105" s="214" t="s">
        <v>3229</v>
      </c>
      <c r="F105" s="214" t="s">
        <v>3230</v>
      </c>
      <c r="G105" s="214" t="s">
        <v>3231</v>
      </c>
      <c r="H105" s="223" t="s">
        <v>117</v>
      </c>
      <c r="I105" s="214" t="s">
        <v>3207</v>
      </c>
      <c r="J105" s="214" t="s">
        <v>3208</v>
      </c>
      <c r="K105" s="214" t="s">
        <v>3230</v>
      </c>
      <c r="L105" s="214" t="s">
        <v>3238</v>
      </c>
      <c r="M105" s="214" t="s">
        <v>3232</v>
      </c>
      <c r="N105" s="214" t="s">
        <v>3233</v>
      </c>
      <c r="O105" s="214"/>
      <c r="P105" s="214"/>
      <c r="Q105" s="214"/>
      <c r="R105" s="214"/>
      <c r="S105" s="214"/>
    </row>
    <row r="106" ht="20.1" customHeight="1" spans="1:19">
      <c r="A106" s="216"/>
      <c r="B106" s="217" t="s">
        <v>3136</v>
      </c>
      <c r="C106" s="217" t="s">
        <v>3136</v>
      </c>
      <c r="D106" s="217" t="s">
        <v>3136</v>
      </c>
      <c r="E106" s="217" t="s">
        <v>3136</v>
      </c>
      <c r="F106" s="217" t="s">
        <v>3136</v>
      </c>
      <c r="G106" s="217" t="s">
        <v>3136</v>
      </c>
      <c r="H106" s="218"/>
      <c r="I106" s="217" t="s">
        <v>3138</v>
      </c>
      <c r="J106" s="217" t="s">
        <v>3138</v>
      </c>
      <c r="K106" s="217" t="s">
        <v>3134</v>
      </c>
      <c r="L106" s="217" t="s">
        <v>3134</v>
      </c>
      <c r="M106" s="217" t="s">
        <v>3134</v>
      </c>
      <c r="N106" s="217" t="s">
        <v>3134</v>
      </c>
      <c r="O106" s="217"/>
      <c r="P106" s="217"/>
      <c r="Q106" s="217"/>
      <c r="R106" s="217"/>
      <c r="S106" s="217"/>
    </row>
    <row r="107" ht="20.1" customHeight="1" spans="1:19">
      <c r="A107" s="219"/>
      <c r="B107" s="220" t="s">
        <v>3140</v>
      </c>
      <c r="C107" s="220" t="s">
        <v>3140</v>
      </c>
      <c r="D107" s="220" t="s">
        <v>3140</v>
      </c>
      <c r="E107" s="220" t="s">
        <v>3140</v>
      </c>
      <c r="F107" s="220" t="s">
        <v>3139</v>
      </c>
      <c r="G107" s="220" t="s">
        <v>3139</v>
      </c>
      <c r="H107" s="221"/>
      <c r="I107" s="220"/>
      <c r="J107" s="220"/>
      <c r="K107" s="220" t="s">
        <v>3138</v>
      </c>
      <c r="L107" s="220" t="s">
        <v>3137</v>
      </c>
      <c r="M107" s="220" t="s">
        <v>3137</v>
      </c>
      <c r="N107" s="220" t="s">
        <v>3137</v>
      </c>
      <c r="O107" s="220"/>
      <c r="P107" s="220"/>
      <c r="Q107" s="220"/>
      <c r="R107" s="220"/>
      <c r="S107" s="220"/>
    </row>
    <row r="108" ht="20.1" customHeight="1" spans="1:19">
      <c r="A108" s="222" t="s">
        <v>734</v>
      </c>
      <c r="B108" s="214" t="s">
        <v>3216</v>
      </c>
      <c r="C108" s="214" t="s">
        <v>3217</v>
      </c>
      <c r="D108" s="214" t="s">
        <v>3218</v>
      </c>
      <c r="E108" s="214" t="s">
        <v>3219</v>
      </c>
      <c r="F108" s="214" t="s">
        <v>3182</v>
      </c>
      <c r="G108" s="214" t="s">
        <v>3124</v>
      </c>
      <c r="H108" s="223" t="s">
        <v>734</v>
      </c>
      <c r="I108" s="214" t="s">
        <v>3207</v>
      </c>
      <c r="J108" s="214" t="s">
        <v>3208</v>
      </c>
      <c r="K108" s="214" t="s">
        <v>3182</v>
      </c>
      <c r="L108" s="214" t="s">
        <v>3234</v>
      </c>
      <c r="M108" s="214" t="s">
        <v>3212</v>
      </c>
      <c r="N108" s="214" t="s">
        <v>3235</v>
      </c>
      <c r="O108" s="214"/>
      <c r="P108" s="214"/>
      <c r="Q108" s="214"/>
      <c r="R108" s="214"/>
      <c r="S108" s="214"/>
    </row>
    <row r="109" ht="20.1" customHeight="1" spans="1:19">
      <c r="A109" s="216"/>
      <c r="B109" s="217" t="s">
        <v>3136</v>
      </c>
      <c r="C109" s="217" t="s">
        <v>3136</v>
      </c>
      <c r="D109" s="217" t="s">
        <v>3136</v>
      </c>
      <c r="E109" s="217" t="s">
        <v>3136</v>
      </c>
      <c r="F109" s="217" t="s">
        <v>3136</v>
      </c>
      <c r="G109" s="217" t="s">
        <v>3136</v>
      </c>
      <c r="H109" s="218"/>
      <c r="I109" s="217" t="s">
        <v>3138</v>
      </c>
      <c r="J109" s="217" t="s">
        <v>3138</v>
      </c>
      <c r="K109" s="217" t="s">
        <v>3134</v>
      </c>
      <c r="L109" s="217" t="s">
        <v>3134</v>
      </c>
      <c r="M109" s="217" t="s">
        <v>3134</v>
      </c>
      <c r="N109" s="217" t="s">
        <v>3134</v>
      </c>
      <c r="O109" s="217"/>
      <c r="P109" s="217"/>
      <c r="Q109" s="217"/>
      <c r="R109" s="217"/>
      <c r="S109" s="217"/>
    </row>
    <row r="110" ht="20.1" customHeight="1" spans="1:19">
      <c r="A110" s="219"/>
      <c r="B110" s="220" t="s">
        <v>3140</v>
      </c>
      <c r="C110" s="220" t="s">
        <v>3140</v>
      </c>
      <c r="D110" s="220" t="s">
        <v>3140</v>
      </c>
      <c r="E110" s="220" t="s">
        <v>3140</v>
      </c>
      <c r="F110" s="220" t="s">
        <v>3139</v>
      </c>
      <c r="G110" s="220" t="s">
        <v>3139</v>
      </c>
      <c r="H110" s="221"/>
      <c r="I110" s="220"/>
      <c r="J110" s="220"/>
      <c r="K110" s="220" t="s">
        <v>3138</v>
      </c>
      <c r="L110" s="220" t="s">
        <v>3137</v>
      </c>
      <c r="M110" s="220" t="s">
        <v>3137</v>
      </c>
      <c r="N110" s="220" t="s">
        <v>3137</v>
      </c>
      <c r="O110" s="220"/>
      <c r="P110" s="220"/>
      <c r="Q110" s="220"/>
      <c r="R110" s="220"/>
      <c r="S110" s="220"/>
    </row>
    <row r="111" ht="20.1" customHeight="1" spans="1:19">
      <c r="A111" s="222" t="s">
        <v>124</v>
      </c>
      <c r="B111" s="214" t="s">
        <v>3236</v>
      </c>
      <c r="C111" s="214" t="s">
        <v>3227</v>
      </c>
      <c r="D111" s="214" t="s">
        <v>3237</v>
      </c>
      <c r="E111" s="214" t="s">
        <v>3229</v>
      </c>
      <c r="F111" s="214" t="s">
        <v>3230</v>
      </c>
      <c r="G111" s="214" t="s">
        <v>3231</v>
      </c>
      <c r="H111" s="223" t="s">
        <v>124</v>
      </c>
      <c r="I111" s="214" t="s">
        <v>3207</v>
      </c>
      <c r="J111" s="214" t="s">
        <v>3208</v>
      </c>
      <c r="K111" s="214" t="s">
        <v>3230</v>
      </c>
      <c r="L111" s="214" t="s">
        <v>3231</v>
      </c>
      <c r="M111" s="214" t="s">
        <v>3232</v>
      </c>
      <c r="N111" s="214" t="s">
        <v>3233</v>
      </c>
      <c r="O111" s="214"/>
      <c r="P111" s="214"/>
      <c r="Q111" s="214"/>
      <c r="R111" s="214"/>
      <c r="S111" s="214"/>
    </row>
    <row r="112" ht="20.1" customHeight="1" spans="1:19">
      <c r="A112" s="216"/>
      <c r="B112" s="217" t="s">
        <v>3136</v>
      </c>
      <c r="C112" s="217" t="s">
        <v>3136</v>
      </c>
      <c r="D112" s="217" t="s">
        <v>3136</v>
      </c>
      <c r="E112" s="217" t="s">
        <v>3136</v>
      </c>
      <c r="F112" s="217" t="s">
        <v>3136</v>
      </c>
      <c r="G112" s="217" t="s">
        <v>3136</v>
      </c>
      <c r="H112" s="218"/>
      <c r="I112" s="217" t="s">
        <v>3138</v>
      </c>
      <c r="J112" s="217" t="s">
        <v>3138</v>
      </c>
      <c r="K112" s="217" t="s">
        <v>3134</v>
      </c>
      <c r="L112" s="217" t="s">
        <v>3134</v>
      </c>
      <c r="M112" s="217" t="s">
        <v>3134</v>
      </c>
      <c r="N112" s="217" t="s">
        <v>3134</v>
      </c>
      <c r="O112" s="217"/>
      <c r="P112" s="217"/>
      <c r="Q112" s="217"/>
      <c r="R112" s="217"/>
      <c r="S112" s="217"/>
    </row>
    <row r="113" ht="20.1" customHeight="1" spans="1:19">
      <c r="A113" s="219"/>
      <c r="B113" s="220" t="s">
        <v>3140</v>
      </c>
      <c r="C113" s="220" t="s">
        <v>3140</v>
      </c>
      <c r="D113" s="220" t="s">
        <v>3140</v>
      </c>
      <c r="E113" s="220" t="s">
        <v>3140</v>
      </c>
      <c r="F113" s="220" t="s">
        <v>3139</v>
      </c>
      <c r="G113" s="220" t="s">
        <v>3139</v>
      </c>
      <c r="H113" s="221"/>
      <c r="I113" s="220"/>
      <c r="J113" s="220"/>
      <c r="K113" s="220" t="s">
        <v>3138</v>
      </c>
      <c r="L113" s="220" t="s">
        <v>3137</v>
      </c>
      <c r="M113" s="220" t="s">
        <v>3137</v>
      </c>
      <c r="N113" s="220" t="s">
        <v>3137</v>
      </c>
      <c r="O113" s="220"/>
      <c r="P113" s="220"/>
      <c r="Q113" s="220"/>
      <c r="R113" s="220"/>
      <c r="S113" s="220"/>
    </row>
    <row r="114" ht="20.1" customHeight="1" spans="1:19">
      <c r="A114" s="222" t="s">
        <v>794</v>
      </c>
      <c r="B114" s="214" t="s">
        <v>3216</v>
      </c>
      <c r="C114" s="214" t="s">
        <v>3217</v>
      </c>
      <c r="D114" s="214" t="s">
        <v>3239</v>
      </c>
      <c r="E114" s="214" t="s">
        <v>3219</v>
      </c>
      <c r="F114" s="214" t="s">
        <v>3182</v>
      </c>
      <c r="G114" s="214" t="s">
        <v>3124</v>
      </c>
      <c r="H114" s="223" t="s">
        <v>794</v>
      </c>
      <c r="I114" s="214" t="s">
        <v>3207</v>
      </c>
      <c r="J114" s="214" t="s">
        <v>3208</v>
      </c>
      <c r="K114" s="214" t="s">
        <v>3182</v>
      </c>
      <c r="L114" s="214" t="s">
        <v>3234</v>
      </c>
      <c r="M114" s="214" t="s">
        <v>3212</v>
      </c>
      <c r="N114" s="214" t="s">
        <v>3235</v>
      </c>
      <c r="O114" s="214"/>
      <c r="P114" s="214"/>
      <c r="Q114" s="214"/>
      <c r="R114" s="214"/>
      <c r="S114" s="214"/>
    </row>
    <row r="115" ht="20.1" customHeight="1" spans="1:19">
      <c r="A115" s="216"/>
      <c r="B115" s="217" t="s">
        <v>3136</v>
      </c>
      <c r="C115" s="217" t="s">
        <v>3136</v>
      </c>
      <c r="D115" s="217" t="s">
        <v>3136</v>
      </c>
      <c r="E115" s="217" t="s">
        <v>3136</v>
      </c>
      <c r="F115" s="217" t="s">
        <v>3136</v>
      </c>
      <c r="G115" s="217" t="s">
        <v>3136</v>
      </c>
      <c r="H115" s="218"/>
      <c r="I115" s="217" t="s">
        <v>3138</v>
      </c>
      <c r="J115" s="217" t="s">
        <v>3138</v>
      </c>
      <c r="K115" s="217" t="s">
        <v>3134</v>
      </c>
      <c r="L115" s="217" t="s">
        <v>3134</v>
      </c>
      <c r="M115" s="217" t="s">
        <v>3134</v>
      </c>
      <c r="N115" s="217" t="s">
        <v>3134</v>
      </c>
      <c r="O115" s="217"/>
      <c r="P115" s="217"/>
      <c r="Q115" s="217"/>
      <c r="R115" s="217"/>
      <c r="S115" s="217"/>
    </row>
    <row r="116" ht="20.1" customHeight="1" spans="1:19">
      <c r="A116" s="219"/>
      <c r="B116" s="220" t="s">
        <v>3140</v>
      </c>
      <c r="C116" s="220" t="s">
        <v>3140</v>
      </c>
      <c r="D116" s="220" t="s">
        <v>3140</v>
      </c>
      <c r="E116" s="220" t="s">
        <v>3140</v>
      </c>
      <c r="F116" s="220" t="s">
        <v>3139</v>
      </c>
      <c r="G116" s="220" t="s">
        <v>3139</v>
      </c>
      <c r="H116" s="221"/>
      <c r="I116" s="220"/>
      <c r="J116" s="220"/>
      <c r="K116" s="220" t="s">
        <v>3138</v>
      </c>
      <c r="L116" s="220" t="s">
        <v>3137</v>
      </c>
      <c r="M116" s="220" t="s">
        <v>3137</v>
      </c>
      <c r="N116" s="220" t="s">
        <v>3137</v>
      </c>
      <c r="O116" s="220"/>
      <c r="P116" s="220"/>
      <c r="Q116" s="220"/>
      <c r="R116" s="220"/>
      <c r="S116" s="220"/>
    </row>
    <row r="117" ht="20.1" customHeight="1" spans="1:19">
      <c r="A117" s="222" t="s">
        <v>753</v>
      </c>
      <c r="B117" s="214" t="s">
        <v>3236</v>
      </c>
      <c r="C117" s="214" t="s">
        <v>3240</v>
      </c>
      <c r="D117" s="214" t="s">
        <v>3237</v>
      </c>
      <c r="E117" s="214" t="s">
        <v>3229</v>
      </c>
      <c r="F117" s="214" t="s">
        <v>3230</v>
      </c>
      <c r="G117" s="214" t="s">
        <v>3231</v>
      </c>
      <c r="H117" s="223" t="s">
        <v>753</v>
      </c>
      <c r="I117" s="214" t="s">
        <v>3207</v>
      </c>
      <c r="J117" s="214" t="s">
        <v>3208</v>
      </c>
      <c r="K117" s="214" t="s">
        <v>3230</v>
      </c>
      <c r="L117" s="214" t="s">
        <v>3231</v>
      </c>
      <c r="M117" s="214" t="s">
        <v>3232</v>
      </c>
      <c r="N117" s="214" t="s">
        <v>3233</v>
      </c>
      <c r="O117" s="214"/>
      <c r="P117" s="214"/>
      <c r="Q117" s="214"/>
      <c r="R117" s="214"/>
      <c r="S117" s="214"/>
    </row>
    <row r="118" ht="20.1" customHeight="1" spans="1:19">
      <c r="A118" s="216"/>
      <c r="B118" s="217" t="s">
        <v>3136</v>
      </c>
      <c r="C118" s="217" t="s">
        <v>3136</v>
      </c>
      <c r="D118" s="217" t="s">
        <v>3136</v>
      </c>
      <c r="E118" s="217" t="s">
        <v>3136</v>
      </c>
      <c r="F118" s="217" t="s">
        <v>3136</v>
      </c>
      <c r="G118" s="217" t="s">
        <v>3136</v>
      </c>
      <c r="H118" s="218"/>
      <c r="I118" s="217" t="s">
        <v>3138</v>
      </c>
      <c r="J118" s="217" t="s">
        <v>3138</v>
      </c>
      <c r="K118" s="217" t="s">
        <v>3134</v>
      </c>
      <c r="L118" s="217" t="s">
        <v>3134</v>
      </c>
      <c r="M118" s="217" t="s">
        <v>3134</v>
      </c>
      <c r="N118" s="217" t="s">
        <v>3134</v>
      </c>
      <c r="O118" s="217"/>
      <c r="P118" s="217"/>
      <c r="Q118" s="217"/>
      <c r="R118" s="217"/>
      <c r="S118" s="217"/>
    </row>
    <row r="119" ht="20.1" customHeight="1" spans="1:19">
      <c r="A119" s="219"/>
      <c r="B119" s="220" t="s">
        <v>3140</v>
      </c>
      <c r="C119" s="220" t="s">
        <v>3140</v>
      </c>
      <c r="D119" s="220" t="s">
        <v>3140</v>
      </c>
      <c r="E119" s="220" t="s">
        <v>3140</v>
      </c>
      <c r="F119" s="220" t="s">
        <v>3139</v>
      </c>
      <c r="G119" s="220" t="s">
        <v>3139</v>
      </c>
      <c r="H119" s="221"/>
      <c r="I119" s="220"/>
      <c r="J119" s="220"/>
      <c r="K119" s="220" t="s">
        <v>3138</v>
      </c>
      <c r="L119" s="220" t="s">
        <v>3137</v>
      </c>
      <c r="M119" s="220" t="s">
        <v>3137</v>
      </c>
      <c r="N119" s="220" t="s">
        <v>3137</v>
      </c>
      <c r="O119" s="220"/>
      <c r="P119" s="220"/>
      <c r="Q119" s="220"/>
      <c r="R119" s="220"/>
      <c r="S119" s="220"/>
    </row>
    <row r="120" ht="20.1" customHeight="1" spans="1:19">
      <c r="A120" s="222" t="s">
        <v>791</v>
      </c>
      <c r="B120" s="214" t="s">
        <v>3216</v>
      </c>
      <c r="C120" s="214" t="s">
        <v>3217</v>
      </c>
      <c r="D120" s="214" t="s">
        <v>3218</v>
      </c>
      <c r="E120" s="214" t="s">
        <v>3219</v>
      </c>
      <c r="F120" s="214" t="s">
        <v>3182</v>
      </c>
      <c r="G120" s="214" t="s">
        <v>3124</v>
      </c>
      <c r="H120" s="223" t="s">
        <v>791</v>
      </c>
      <c r="I120" s="214" t="s">
        <v>3207</v>
      </c>
      <c r="J120" s="214" t="s">
        <v>3208</v>
      </c>
      <c r="K120" s="214" t="s">
        <v>3182</v>
      </c>
      <c r="L120" s="214" t="s">
        <v>3234</v>
      </c>
      <c r="M120" s="214" t="s">
        <v>3212</v>
      </c>
      <c r="N120" s="214" t="s">
        <v>3235</v>
      </c>
      <c r="O120" s="214"/>
      <c r="P120" s="214"/>
      <c r="Q120" s="214"/>
      <c r="R120" s="214"/>
      <c r="S120" s="214"/>
    </row>
    <row r="121" ht="20.1" customHeight="1" spans="1:19">
      <c r="A121" s="216"/>
      <c r="B121" s="217" t="s">
        <v>3136</v>
      </c>
      <c r="C121" s="217" t="s">
        <v>3136</v>
      </c>
      <c r="D121" s="217" t="s">
        <v>3136</v>
      </c>
      <c r="E121" s="217" t="s">
        <v>3136</v>
      </c>
      <c r="F121" s="217" t="s">
        <v>3136</v>
      </c>
      <c r="G121" s="217" t="s">
        <v>3136</v>
      </c>
      <c r="H121" s="218"/>
      <c r="I121" s="217" t="s">
        <v>3138</v>
      </c>
      <c r="J121" s="217" t="s">
        <v>3138</v>
      </c>
      <c r="K121" s="217" t="s">
        <v>3134</v>
      </c>
      <c r="L121" s="217" t="s">
        <v>3134</v>
      </c>
      <c r="M121" s="217" t="s">
        <v>3134</v>
      </c>
      <c r="N121" s="217" t="s">
        <v>3134</v>
      </c>
      <c r="O121" s="217"/>
      <c r="P121" s="217"/>
      <c r="Q121" s="217"/>
      <c r="R121" s="217"/>
      <c r="S121" s="217"/>
    </row>
    <row r="122" ht="20.1" customHeight="1" spans="1:19">
      <c r="A122" s="219"/>
      <c r="B122" s="220" t="s">
        <v>3140</v>
      </c>
      <c r="C122" s="220" t="s">
        <v>3140</v>
      </c>
      <c r="D122" s="220" t="s">
        <v>3140</v>
      </c>
      <c r="E122" s="220" t="s">
        <v>3140</v>
      </c>
      <c r="F122" s="220" t="s">
        <v>3139</v>
      </c>
      <c r="G122" s="220" t="s">
        <v>3139</v>
      </c>
      <c r="H122" s="221"/>
      <c r="I122" s="220"/>
      <c r="J122" s="220"/>
      <c r="K122" s="220" t="s">
        <v>3138</v>
      </c>
      <c r="L122" s="220" t="s">
        <v>3137</v>
      </c>
      <c r="M122" s="220" t="s">
        <v>3137</v>
      </c>
      <c r="N122" s="220" t="s">
        <v>3137</v>
      </c>
      <c r="O122" s="220"/>
      <c r="P122" s="220"/>
      <c r="Q122" s="220"/>
      <c r="R122" s="220"/>
      <c r="S122" s="220"/>
    </row>
    <row r="123" ht="20.1" customHeight="1" spans="1:19">
      <c r="A123" s="222" t="s">
        <v>743</v>
      </c>
      <c r="B123" s="214" t="s">
        <v>3236</v>
      </c>
      <c r="C123" s="214" t="s">
        <v>3240</v>
      </c>
      <c r="D123" s="214" t="s">
        <v>3237</v>
      </c>
      <c r="E123" s="214" t="s">
        <v>3229</v>
      </c>
      <c r="F123" s="214" t="s">
        <v>3230</v>
      </c>
      <c r="G123" s="214" t="s">
        <v>3231</v>
      </c>
      <c r="H123" s="223" t="s">
        <v>743</v>
      </c>
      <c r="I123" s="214" t="s">
        <v>3207</v>
      </c>
      <c r="J123" s="214" t="s">
        <v>3208</v>
      </c>
      <c r="K123" s="214" t="s">
        <v>3230</v>
      </c>
      <c r="L123" s="214" t="s">
        <v>3231</v>
      </c>
      <c r="M123" s="214" t="s">
        <v>3232</v>
      </c>
      <c r="N123" s="214" t="s">
        <v>3233</v>
      </c>
      <c r="O123" s="214"/>
      <c r="P123" s="214"/>
      <c r="Q123" s="214"/>
      <c r="R123" s="214"/>
      <c r="S123" s="214"/>
    </row>
    <row r="124" ht="20.1" customHeight="1" spans="1:19">
      <c r="A124" s="216"/>
      <c r="B124" s="217" t="s">
        <v>3136</v>
      </c>
      <c r="C124" s="217" t="s">
        <v>3136</v>
      </c>
      <c r="D124" s="217" t="s">
        <v>3136</v>
      </c>
      <c r="E124" s="217" t="s">
        <v>3136</v>
      </c>
      <c r="F124" s="217" t="s">
        <v>3136</v>
      </c>
      <c r="G124" s="217" t="s">
        <v>3136</v>
      </c>
      <c r="H124" s="218"/>
      <c r="I124" s="217" t="s">
        <v>3138</v>
      </c>
      <c r="J124" s="217" t="s">
        <v>3138</v>
      </c>
      <c r="K124" s="217" t="s">
        <v>3134</v>
      </c>
      <c r="L124" s="217" t="s">
        <v>3134</v>
      </c>
      <c r="M124" s="217" t="s">
        <v>3134</v>
      </c>
      <c r="N124" s="217" t="s">
        <v>3134</v>
      </c>
      <c r="O124" s="217"/>
      <c r="P124" s="217"/>
      <c r="Q124" s="217"/>
      <c r="R124" s="217"/>
      <c r="S124" s="217"/>
    </row>
    <row r="125" ht="20.1" customHeight="1" spans="1:19">
      <c r="A125" s="219"/>
      <c r="B125" s="220" t="s">
        <v>3140</v>
      </c>
      <c r="C125" s="220" t="s">
        <v>3140</v>
      </c>
      <c r="D125" s="220" t="s">
        <v>3140</v>
      </c>
      <c r="E125" s="220" t="s">
        <v>3140</v>
      </c>
      <c r="F125" s="220" t="s">
        <v>3139</v>
      </c>
      <c r="G125" s="220" t="s">
        <v>3139</v>
      </c>
      <c r="H125" s="221"/>
      <c r="I125" s="220"/>
      <c r="J125" s="220"/>
      <c r="K125" s="220" t="s">
        <v>3138</v>
      </c>
      <c r="L125" s="220" t="s">
        <v>3137</v>
      </c>
      <c r="M125" s="220" t="s">
        <v>3137</v>
      </c>
      <c r="N125" s="220" t="s">
        <v>3137</v>
      </c>
      <c r="O125" s="220"/>
      <c r="P125" s="220"/>
      <c r="Q125" s="220"/>
      <c r="R125" s="220"/>
      <c r="S125" s="220"/>
    </row>
    <row r="126" ht="20.1" customHeight="1" spans="1:19">
      <c r="A126" s="222" t="s">
        <v>704</v>
      </c>
      <c r="B126" s="214" t="s">
        <v>3241</v>
      </c>
      <c r="C126" s="214" t="s">
        <v>3216</v>
      </c>
      <c r="D126" s="214" t="s">
        <v>3217</v>
      </c>
      <c r="E126" s="214" t="s">
        <v>3218</v>
      </c>
      <c r="F126" s="214" t="s">
        <v>3242</v>
      </c>
      <c r="G126" s="214" t="s">
        <v>3243</v>
      </c>
      <c r="H126" s="223" t="s">
        <v>704</v>
      </c>
      <c r="I126" s="214" t="s">
        <v>3207</v>
      </c>
      <c r="J126" s="214" t="s">
        <v>3208</v>
      </c>
      <c r="K126" s="214" t="s">
        <v>3182</v>
      </c>
      <c r="L126" s="214" t="s">
        <v>3234</v>
      </c>
      <c r="M126" s="214" t="s">
        <v>3212</v>
      </c>
      <c r="N126" s="214" t="s">
        <v>3235</v>
      </c>
      <c r="O126" s="214"/>
      <c r="P126" s="214"/>
      <c r="Q126" s="214"/>
      <c r="R126" s="214"/>
      <c r="S126" s="214"/>
    </row>
    <row r="127" ht="20.1" customHeight="1" spans="1:19">
      <c r="A127" s="216"/>
      <c r="B127" s="217" t="s">
        <v>3136</v>
      </c>
      <c r="C127" s="217" t="s">
        <v>3136</v>
      </c>
      <c r="D127" s="217" t="s">
        <v>3136</v>
      </c>
      <c r="E127" s="217" t="s">
        <v>3136</v>
      </c>
      <c r="F127" s="217" t="s">
        <v>3136</v>
      </c>
      <c r="G127" s="217" t="s">
        <v>3244</v>
      </c>
      <c r="H127" s="218"/>
      <c r="I127" s="217" t="s">
        <v>3138</v>
      </c>
      <c r="J127" s="217" t="s">
        <v>3138</v>
      </c>
      <c r="K127" s="217" t="s">
        <v>3134</v>
      </c>
      <c r="L127" s="217" t="s">
        <v>3134</v>
      </c>
      <c r="M127" s="217" t="s">
        <v>3134</v>
      </c>
      <c r="N127" s="217" t="s">
        <v>3134</v>
      </c>
      <c r="O127" s="217"/>
      <c r="P127" s="217"/>
      <c r="Q127" s="217"/>
      <c r="R127" s="217"/>
      <c r="S127" s="217"/>
    </row>
    <row r="128" ht="20.1" customHeight="1" spans="1:19">
      <c r="A128" s="219"/>
      <c r="B128" s="220" t="s">
        <v>3140</v>
      </c>
      <c r="C128" s="220" t="s">
        <v>3140</v>
      </c>
      <c r="D128" s="220" t="s">
        <v>3140</v>
      </c>
      <c r="E128" s="220" t="s">
        <v>3140</v>
      </c>
      <c r="F128" s="220" t="s">
        <v>3139</v>
      </c>
      <c r="G128" s="220" t="s">
        <v>3139</v>
      </c>
      <c r="H128" s="221"/>
      <c r="I128" s="220"/>
      <c r="J128" s="220"/>
      <c r="K128" s="220" t="s">
        <v>3138</v>
      </c>
      <c r="L128" s="220" t="s">
        <v>3137</v>
      </c>
      <c r="M128" s="220" t="s">
        <v>3137</v>
      </c>
      <c r="N128" s="220" t="s">
        <v>3137</v>
      </c>
      <c r="O128" s="220"/>
      <c r="P128" s="220"/>
      <c r="Q128" s="220"/>
      <c r="R128" s="220"/>
      <c r="S128" s="220"/>
    </row>
    <row r="129" ht="20.1" customHeight="1" spans="1:19">
      <c r="A129" s="222" t="s">
        <v>724</v>
      </c>
      <c r="B129" s="214" t="s">
        <v>3241</v>
      </c>
      <c r="C129" s="214" t="s">
        <v>3216</v>
      </c>
      <c r="D129" s="214" t="s">
        <v>3217</v>
      </c>
      <c r="E129" s="214" t="s">
        <v>3218</v>
      </c>
      <c r="F129" s="214" t="s">
        <v>3242</v>
      </c>
      <c r="G129" s="214" t="s">
        <v>3243</v>
      </c>
      <c r="H129" s="223" t="s">
        <v>724</v>
      </c>
      <c r="I129" s="214" t="s">
        <v>3207</v>
      </c>
      <c r="J129" s="214" t="s">
        <v>3208</v>
      </c>
      <c r="K129" s="214" t="s">
        <v>3230</v>
      </c>
      <c r="L129" s="214" t="s">
        <v>3231</v>
      </c>
      <c r="M129" s="214" t="s">
        <v>3232</v>
      </c>
      <c r="N129" s="214" t="s">
        <v>3233</v>
      </c>
      <c r="O129" s="214"/>
      <c r="P129" s="214"/>
      <c r="Q129" s="214"/>
      <c r="R129" s="214"/>
      <c r="S129" s="214"/>
    </row>
    <row r="130" ht="20.1" customHeight="1" spans="1:19">
      <c r="A130" s="216"/>
      <c r="B130" s="217" t="s">
        <v>3136</v>
      </c>
      <c r="C130" s="217" t="s">
        <v>3136</v>
      </c>
      <c r="D130" s="217" t="s">
        <v>3136</v>
      </c>
      <c r="E130" s="217" t="s">
        <v>3136</v>
      </c>
      <c r="F130" s="217" t="s">
        <v>3136</v>
      </c>
      <c r="G130" s="217" t="s">
        <v>3136</v>
      </c>
      <c r="H130" s="218"/>
      <c r="I130" s="217" t="s">
        <v>3138</v>
      </c>
      <c r="J130" s="217" t="s">
        <v>3138</v>
      </c>
      <c r="K130" s="217" t="s">
        <v>3134</v>
      </c>
      <c r="L130" s="217" t="s">
        <v>3134</v>
      </c>
      <c r="M130" s="217" t="s">
        <v>3134</v>
      </c>
      <c r="N130" s="217" t="s">
        <v>3134</v>
      </c>
      <c r="O130" s="217"/>
      <c r="P130" s="217"/>
      <c r="Q130" s="217"/>
      <c r="R130" s="217"/>
      <c r="S130" s="217"/>
    </row>
    <row r="131" ht="20.1" customHeight="1" spans="1:19">
      <c r="A131" s="219"/>
      <c r="B131" s="220" t="s">
        <v>3140</v>
      </c>
      <c r="C131" s="220" t="s">
        <v>3140</v>
      </c>
      <c r="D131" s="220" t="s">
        <v>3140</v>
      </c>
      <c r="E131" s="220" t="s">
        <v>3140</v>
      </c>
      <c r="F131" s="220" t="s">
        <v>3139</v>
      </c>
      <c r="G131" s="220" t="s">
        <v>3139</v>
      </c>
      <c r="H131" s="221"/>
      <c r="I131" s="220"/>
      <c r="J131" s="220"/>
      <c r="K131" s="220" t="s">
        <v>3138</v>
      </c>
      <c r="L131" s="220" t="s">
        <v>3137</v>
      </c>
      <c r="M131" s="220" t="s">
        <v>3137</v>
      </c>
      <c r="N131" s="220" t="s">
        <v>3137</v>
      </c>
      <c r="O131" s="220"/>
      <c r="P131" s="220"/>
      <c r="Q131" s="220"/>
      <c r="R131" s="220"/>
      <c r="S131" s="220"/>
    </row>
    <row r="132" ht="20.1" customHeight="1" spans="1:19">
      <c r="A132" s="222" t="s">
        <v>807</v>
      </c>
      <c r="B132" s="214" t="s">
        <v>3236</v>
      </c>
      <c r="C132" s="214" t="s">
        <v>3227</v>
      </c>
      <c r="D132" s="214" t="s">
        <v>3237</v>
      </c>
      <c r="E132" s="214" t="s">
        <v>3229</v>
      </c>
      <c r="F132" s="214" t="s">
        <v>3230</v>
      </c>
      <c r="G132" s="214" t="s">
        <v>3231</v>
      </c>
      <c r="H132" s="223" t="s">
        <v>807</v>
      </c>
      <c r="I132" s="214" t="s">
        <v>3207</v>
      </c>
      <c r="J132" s="214" t="s">
        <v>3208</v>
      </c>
      <c r="K132" s="214" t="s">
        <v>3182</v>
      </c>
      <c r="L132" s="214" t="s">
        <v>3234</v>
      </c>
      <c r="M132" s="214" t="s">
        <v>3212</v>
      </c>
      <c r="N132" s="214" t="s">
        <v>3235</v>
      </c>
      <c r="O132" s="214"/>
      <c r="P132" s="214"/>
      <c r="Q132" s="214"/>
      <c r="R132" s="214"/>
      <c r="S132" s="214"/>
    </row>
    <row r="133" ht="20.1" customHeight="1" spans="1:19">
      <c r="A133" s="216"/>
      <c r="B133" s="217" t="s">
        <v>3136</v>
      </c>
      <c r="C133" s="217" t="s">
        <v>3136</v>
      </c>
      <c r="D133" s="217" t="s">
        <v>3136</v>
      </c>
      <c r="E133" s="217" t="s">
        <v>3136</v>
      </c>
      <c r="F133" s="217" t="s">
        <v>3136</v>
      </c>
      <c r="G133" s="217" t="s">
        <v>3136</v>
      </c>
      <c r="H133" s="218"/>
      <c r="I133" s="217" t="s">
        <v>3138</v>
      </c>
      <c r="J133" s="217" t="s">
        <v>3138</v>
      </c>
      <c r="K133" s="217" t="s">
        <v>3134</v>
      </c>
      <c r="L133" s="217" t="s">
        <v>3134</v>
      </c>
      <c r="M133" s="217" t="s">
        <v>3134</v>
      </c>
      <c r="N133" s="217" t="s">
        <v>3134</v>
      </c>
      <c r="O133" s="217"/>
      <c r="P133" s="217"/>
      <c r="Q133" s="217"/>
      <c r="R133" s="217"/>
      <c r="S133" s="217"/>
    </row>
    <row r="134" ht="20.1" customHeight="1" spans="1:19">
      <c r="A134" s="219"/>
      <c r="B134" s="220" t="s">
        <v>3140</v>
      </c>
      <c r="C134" s="220" t="s">
        <v>3140</v>
      </c>
      <c r="D134" s="220" t="s">
        <v>3140</v>
      </c>
      <c r="E134" s="220" t="s">
        <v>3140</v>
      </c>
      <c r="F134" s="220" t="s">
        <v>3139</v>
      </c>
      <c r="G134" s="220" t="s">
        <v>3139</v>
      </c>
      <c r="H134" s="221"/>
      <c r="I134" s="220"/>
      <c r="J134" s="220"/>
      <c r="K134" s="220" t="s">
        <v>3138</v>
      </c>
      <c r="L134" s="220" t="s">
        <v>3137</v>
      </c>
      <c r="M134" s="220" t="s">
        <v>3137</v>
      </c>
      <c r="N134" s="220" t="s">
        <v>3137</v>
      </c>
      <c r="O134" s="220"/>
      <c r="P134" s="220"/>
      <c r="Q134" s="220"/>
      <c r="R134" s="220"/>
      <c r="S134" s="220"/>
    </row>
    <row r="135" ht="20.1" customHeight="1" spans="1:19">
      <c r="A135" s="222" t="s">
        <v>701</v>
      </c>
      <c r="B135" s="214" t="s">
        <v>3218</v>
      </c>
      <c r="C135" s="214" t="s">
        <v>3237</v>
      </c>
      <c r="D135" s="214" t="s">
        <v>3219</v>
      </c>
      <c r="E135" s="214" t="s">
        <v>3229</v>
      </c>
      <c r="F135" s="214" t="s">
        <v>3214</v>
      </c>
      <c r="G135" s="214" t="s">
        <v>3222</v>
      </c>
      <c r="H135" s="223" t="s">
        <v>701</v>
      </c>
      <c r="I135" s="214" t="s">
        <v>3207</v>
      </c>
      <c r="J135" s="214" t="s">
        <v>3208</v>
      </c>
      <c r="K135" s="214" t="s">
        <v>3230</v>
      </c>
      <c r="L135" s="214" t="s">
        <v>3231</v>
      </c>
      <c r="M135" s="214" t="s">
        <v>3232</v>
      </c>
      <c r="N135" s="214" t="s">
        <v>3233</v>
      </c>
      <c r="O135" s="214"/>
      <c r="P135" s="214"/>
      <c r="Q135" s="214"/>
      <c r="R135" s="214"/>
      <c r="S135" s="214"/>
    </row>
    <row r="136" ht="20.1" customHeight="1" spans="1:19">
      <c r="A136" s="216"/>
      <c r="B136" s="217" t="s">
        <v>3136</v>
      </c>
      <c r="C136" s="217" t="s">
        <v>3136</v>
      </c>
      <c r="D136" s="217" t="s">
        <v>3136</v>
      </c>
      <c r="E136" s="217" t="s">
        <v>3136</v>
      </c>
      <c r="F136" s="217" t="s">
        <v>3136</v>
      </c>
      <c r="G136" s="217" t="s">
        <v>3136</v>
      </c>
      <c r="H136" s="218"/>
      <c r="I136" s="217" t="s">
        <v>3138</v>
      </c>
      <c r="J136" s="217" t="s">
        <v>3138</v>
      </c>
      <c r="K136" s="217" t="s">
        <v>3134</v>
      </c>
      <c r="L136" s="217" t="s">
        <v>3134</v>
      </c>
      <c r="M136" s="217" t="s">
        <v>3134</v>
      </c>
      <c r="N136" s="217" t="s">
        <v>3134</v>
      </c>
      <c r="O136" s="217"/>
      <c r="P136" s="217"/>
      <c r="Q136" s="217"/>
      <c r="R136" s="217"/>
      <c r="S136" s="217"/>
    </row>
    <row r="137" ht="20.1" customHeight="1" spans="1:19">
      <c r="A137" s="219"/>
      <c r="B137" s="220" t="s">
        <v>3140</v>
      </c>
      <c r="C137" s="220" t="s">
        <v>3140</v>
      </c>
      <c r="D137" s="220" t="s">
        <v>3140</v>
      </c>
      <c r="E137" s="220" t="s">
        <v>3140</v>
      </c>
      <c r="F137" s="220" t="s">
        <v>3139</v>
      </c>
      <c r="G137" s="220" t="s">
        <v>3139</v>
      </c>
      <c r="H137" s="221"/>
      <c r="I137" s="220"/>
      <c r="J137" s="220"/>
      <c r="K137" s="220" t="s">
        <v>3138</v>
      </c>
      <c r="L137" s="220" t="s">
        <v>3137</v>
      </c>
      <c r="M137" s="220" t="s">
        <v>3137</v>
      </c>
      <c r="N137" s="220" t="s">
        <v>3137</v>
      </c>
      <c r="O137" s="220"/>
      <c r="P137" s="220"/>
      <c r="Q137" s="220"/>
      <c r="R137" s="220"/>
      <c r="S137" s="220"/>
    </row>
    <row r="138" ht="20.1" customHeight="1" spans="1:19">
      <c r="A138" s="222" t="s">
        <v>713</v>
      </c>
      <c r="B138" s="214" t="s">
        <v>3236</v>
      </c>
      <c r="C138" s="214" t="s">
        <v>3227</v>
      </c>
      <c r="D138" s="214" t="s">
        <v>3237</v>
      </c>
      <c r="E138" s="214" t="s">
        <v>3229</v>
      </c>
      <c r="F138" s="214" t="s">
        <v>3230</v>
      </c>
      <c r="G138" s="214" t="s">
        <v>3231</v>
      </c>
      <c r="H138" s="223" t="s">
        <v>713</v>
      </c>
      <c r="I138" s="214" t="s">
        <v>3207</v>
      </c>
      <c r="J138" s="214" t="s">
        <v>3208</v>
      </c>
      <c r="K138" s="214" t="s">
        <v>3182</v>
      </c>
      <c r="L138" s="214" t="s">
        <v>3234</v>
      </c>
      <c r="M138" s="214" t="s">
        <v>3212</v>
      </c>
      <c r="N138" s="214" t="s">
        <v>3235</v>
      </c>
      <c r="O138" s="214"/>
      <c r="P138" s="214"/>
      <c r="Q138" s="214"/>
      <c r="R138" s="214"/>
      <c r="S138" s="214"/>
    </row>
    <row r="139" ht="20.1" customHeight="1" spans="1:19">
      <c r="A139" s="216"/>
      <c r="B139" s="217" t="s">
        <v>3136</v>
      </c>
      <c r="C139" s="217" t="s">
        <v>3136</v>
      </c>
      <c r="D139" s="217" t="s">
        <v>3136</v>
      </c>
      <c r="E139" s="217" t="s">
        <v>3244</v>
      </c>
      <c r="F139" s="217" t="s">
        <v>3136</v>
      </c>
      <c r="G139" s="217" t="s">
        <v>3136</v>
      </c>
      <c r="H139" s="218"/>
      <c r="I139" s="217" t="s">
        <v>3138</v>
      </c>
      <c r="J139" s="217" t="s">
        <v>3138</v>
      </c>
      <c r="K139" s="217" t="s">
        <v>3134</v>
      </c>
      <c r="L139" s="217" t="s">
        <v>3134</v>
      </c>
      <c r="M139" s="217" t="s">
        <v>3134</v>
      </c>
      <c r="N139" s="217" t="s">
        <v>3134</v>
      </c>
      <c r="O139" s="217"/>
      <c r="P139" s="217"/>
      <c r="Q139" s="217"/>
      <c r="R139" s="217"/>
      <c r="S139" s="217"/>
    </row>
    <row r="140" ht="20.1" customHeight="1" spans="1:19">
      <c r="A140" s="219"/>
      <c r="B140" s="220" t="s">
        <v>3140</v>
      </c>
      <c r="C140" s="220" t="s">
        <v>3140</v>
      </c>
      <c r="D140" s="220" t="s">
        <v>3140</v>
      </c>
      <c r="E140" s="220" t="s">
        <v>3140</v>
      </c>
      <c r="F140" s="220" t="s">
        <v>3139</v>
      </c>
      <c r="G140" s="220" t="s">
        <v>3139</v>
      </c>
      <c r="H140" s="221"/>
      <c r="I140" s="220"/>
      <c r="J140" s="220"/>
      <c r="K140" s="220" t="s">
        <v>3138</v>
      </c>
      <c r="L140" s="220" t="s">
        <v>3137</v>
      </c>
      <c r="M140" s="220" t="s">
        <v>3137</v>
      </c>
      <c r="N140" s="220" t="s">
        <v>3137</v>
      </c>
      <c r="O140" s="220"/>
      <c r="P140" s="220"/>
      <c r="Q140" s="220"/>
      <c r="R140" s="220"/>
      <c r="S140" s="220"/>
    </row>
    <row r="141" ht="20.1" customHeight="1" spans="1:19">
      <c r="A141" s="222" t="s">
        <v>813</v>
      </c>
      <c r="B141" s="214" t="s">
        <v>3216</v>
      </c>
      <c r="C141" s="214" t="s">
        <v>3217</v>
      </c>
      <c r="D141" s="214" t="s">
        <v>3218</v>
      </c>
      <c r="E141" s="214" t="s">
        <v>3219</v>
      </c>
      <c r="F141" s="214" t="s">
        <v>3182</v>
      </c>
      <c r="G141" s="214" t="s">
        <v>3124</v>
      </c>
      <c r="H141" s="223" t="s">
        <v>813</v>
      </c>
      <c r="I141" s="214" t="s">
        <v>3207</v>
      </c>
      <c r="J141" s="214" t="s">
        <v>3208</v>
      </c>
      <c r="K141" s="214" t="s">
        <v>3230</v>
      </c>
      <c r="L141" s="214" t="s">
        <v>3231</v>
      </c>
      <c r="M141" s="214" t="s">
        <v>3232</v>
      </c>
      <c r="N141" s="214" t="s">
        <v>3233</v>
      </c>
      <c r="O141" s="214"/>
      <c r="P141" s="214"/>
      <c r="Q141" s="214"/>
      <c r="R141" s="214"/>
      <c r="S141" s="214"/>
    </row>
    <row r="142" ht="20.1" customHeight="1" spans="1:19">
      <c r="A142" s="216"/>
      <c r="B142" s="217" t="s">
        <v>3136</v>
      </c>
      <c r="C142" s="217" t="s">
        <v>3136</v>
      </c>
      <c r="D142" s="217" t="s">
        <v>3136</v>
      </c>
      <c r="E142" s="217" t="s">
        <v>3136</v>
      </c>
      <c r="F142" s="217" t="s">
        <v>3136</v>
      </c>
      <c r="G142" s="217" t="s">
        <v>3136</v>
      </c>
      <c r="H142" s="218"/>
      <c r="I142" s="217" t="s">
        <v>3138</v>
      </c>
      <c r="J142" s="217" t="s">
        <v>3138</v>
      </c>
      <c r="K142" s="217" t="s">
        <v>3134</v>
      </c>
      <c r="L142" s="217" t="s">
        <v>3134</v>
      </c>
      <c r="M142" s="217" t="s">
        <v>3134</v>
      </c>
      <c r="N142" s="217" t="s">
        <v>3134</v>
      </c>
      <c r="O142" s="217"/>
      <c r="P142" s="217"/>
      <c r="Q142" s="217"/>
      <c r="R142" s="217"/>
      <c r="S142" s="217"/>
    </row>
    <row r="143" ht="20.1" customHeight="1" spans="1:19">
      <c r="A143" s="219"/>
      <c r="B143" s="220" t="s">
        <v>3140</v>
      </c>
      <c r="C143" s="220" t="s">
        <v>3140</v>
      </c>
      <c r="D143" s="220" t="s">
        <v>3140</v>
      </c>
      <c r="E143" s="220" t="s">
        <v>3140</v>
      </c>
      <c r="F143" s="220" t="s">
        <v>3139</v>
      </c>
      <c r="G143" s="220" t="s">
        <v>3139</v>
      </c>
      <c r="H143" s="221"/>
      <c r="I143" s="220"/>
      <c r="J143" s="220"/>
      <c r="K143" s="220" t="s">
        <v>3138</v>
      </c>
      <c r="L143" s="220" t="s">
        <v>3137</v>
      </c>
      <c r="M143" s="220" t="s">
        <v>3137</v>
      </c>
      <c r="N143" s="220" t="s">
        <v>3137</v>
      </c>
      <c r="O143" s="220"/>
      <c r="P143" s="220"/>
      <c r="Q143" s="220"/>
      <c r="R143" s="220"/>
      <c r="S143" s="220"/>
    </row>
    <row r="144" ht="20.1" customHeight="1" spans="1:19">
      <c r="A144" s="222" t="s">
        <v>710</v>
      </c>
      <c r="B144" s="214" t="s">
        <v>3218</v>
      </c>
      <c r="C144" s="214" t="s">
        <v>3237</v>
      </c>
      <c r="D144" s="214" t="s">
        <v>3219</v>
      </c>
      <c r="E144" s="214" t="s">
        <v>3229</v>
      </c>
      <c r="F144" s="214" t="s">
        <v>3214</v>
      </c>
      <c r="G144" s="214" t="s">
        <v>3222</v>
      </c>
      <c r="H144" s="223" t="s">
        <v>710</v>
      </c>
      <c r="I144" s="214" t="s">
        <v>3207</v>
      </c>
      <c r="J144" s="214" t="s">
        <v>3208</v>
      </c>
      <c r="K144" s="214" t="s">
        <v>3182</v>
      </c>
      <c r="L144" s="214" t="s">
        <v>3234</v>
      </c>
      <c r="M144" s="214" t="s">
        <v>3212</v>
      </c>
      <c r="N144" s="214" t="s">
        <v>3235</v>
      </c>
      <c r="O144" s="214"/>
      <c r="P144" s="214"/>
      <c r="Q144" s="214"/>
      <c r="R144" s="214"/>
      <c r="S144" s="214"/>
    </row>
    <row r="145" ht="20.1" customHeight="1" spans="1:19">
      <c r="A145" s="216"/>
      <c r="B145" s="217" t="s">
        <v>3136</v>
      </c>
      <c r="C145" s="217" t="s">
        <v>3136</v>
      </c>
      <c r="D145" s="217" t="s">
        <v>3136</v>
      </c>
      <c r="E145" s="217" t="s">
        <v>3136</v>
      </c>
      <c r="F145" s="217" t="s">
        <v>3136</v>
      </c>
      <c r="G145" s="217" t="s">
        <v>3136</v>
      </c>
      <c r="H145" s="218"/>
      <c r="I145" s="217" t="s">
        <v>3138</v>
      </c>
      <c r="J145" s="217" t="s">
        <v>3138</v>
      </c>
      <c r="K145" s="217" t="s">
        <v>3134</v>
      </c>
      <c r="L145" s="217" t="s">
        <v>3134</v>
      </c>
      <c r="M145" s="217" t="s">
        <v>3134</v>
      </c>
      <c r="N145" s="217" t="s">
        <v>3134</v>
      </c>
      <c r="O145" s="217"/>
      <c r="P145" s="217"/>
      <c r="Q145" s="217"/>
      <c r="R145" s="217"/>
      <c r="S145" s="217"/>
    </row>
    <row r="146" ht="20.1" customHeight="1" spans="1:19">
      <c r="A146" s="219"/>
      <c r="B146" s="220" t="s">
        <v>3140</v>
      </c>
      <c r="C146" s="220" t="s">
        <v>3140</v>
      </c>
      <c r="D146" s="220" t="s">
        <v>3140</v>
      </c>
      <c r="E146" s="220" t="s">
        <v>3140</v>
      </c>
      <c r="F146" s="220" t="s">
        <v>3139</v>
      </c>
      <c r="G146" s="220" t="s">
        <v>3139</v>
      </c>
      <c r="H146" s="221"/>
      <c r="I146" s="220"/>
      <c r="J146" s="220"/>
      <c r="K146" s="220" t="s">
        <v>3138</v>
      </c>
      <c r="L146" s="220" t="s">
        <v>3137</v>
      </c>
      <c r="M146" s="220" t="s">
        <v>3137</v>
      </c>
      <c r="N146" s="220" t="s">
        <v>3137</v>
      </c>
      <c r="O146" s="220"/>
      <c r="P146" s="220"/>
      <c r="Q146" s="220"/>
      <c r="R146" s="220"/>
      <c r="S146" s="220"/>
    </row>
    <row r="147" ht="20.1" customHeight="1" spans="1:19">
      <c r="A147" s="222" t="s">
        <v>742</v>
      </c>
      <c r="B147" s="214" t="s">
        <v>3216</v>
      </c>
      <c r="C147" s="214" t="s">
        <v>3236</v>
      </c>
      <c r="D147" s="214" t="s">
        <v>3217</v>
      </c>
      <c r="E147" s="214" t="s">
        <v>3227</v>
      </c>
      <c r="F147" s="214" t="s">
        <v>3245</v>
      </c>
      <c r="G147" s="214" t="s">
        <v>3246</v>
      </c>
      <c r="H147" s="223" t="s">
        <v>742</v>
      </c>
      <c r="I147" s="214" t="s">
        <v>3207</v>
      </c>
      <c r="J147" s="214" t="s">
        <v>3208</v>
      </c>
      <c r="K147" s="214" t="s">
        <v>3230</v>
      </c>
      <c r="L147" s="214" t="s">
        <v>3231</v>
      </c>
      <c r="M147" s="214" t="s">
        <v>3232</v>
      </c>
      <c r="N147" s="214" t="s">
        <v>3233</v>
      </c>
      <c r="O147" s="214"/>
      <c r="P147" s="214"/>
      <c r="Q147" s="214"/>
      <c r="R147" s="214"/>
      <c r="S147" s="214"/>
    </row>
    <row r="148" ht="20.1" customHeight="1" spans="1:19">
      <c r="A148" s="216"/>
      <c r="B148" s="217" t="s">
        <v>3136</v>
      </c>
      <c r="C148" s="217" t="s">
        <v>3136</v>
      </c>
      <c r="D148" s="217" t="s">
        <v>3136</v>
      </c>
      <c r="E148" s="217" t="s">
        <v>3136</v>
      </c>
      <c r="F148" s="217" t="s">
        <v>3136</v>
      </c>
      <c r="G148" s="217" t="s">
        <v>3136</v>
      </c>
      <c r="H148" s="218"/>
      <c r="I148" s="217" t="s">
        <v>3138</v>
      </c>
      <c r="J148" s="217" t="s">
        <v>3138</v>
      </c>
      <c r="K148" s="217" t="s">
        <v>3134</v>
      </c>
      <c r="L148" s="217" t="s">
        <v>3134</v>
      </c>
      <c r="M148" s="217" t="s">
        <v>3134</v>
      </c>
      <c r="N148" s="217" t="s">
        <v>3134</v>
      </c>
      <c r="O148" s="217"/>
      <c r="P148" s="217"/>
      <c r="Q148" s="217"/>
      <c r="R148" s="217"/>
      <c r="S148" s="217"/>
    </row>
    <row r="149" ht="20.1" customHeight="1" spans="1:19">
      <c r="A149" s="219"/>
      <c r="B149" s="220" t="s">
        <v>3140</v>
      </c>
      <c r="C149" s="220" t="s">
        <v>3140</v>
      </c>
      <c r="D149" s="220" t="s">
        <v>3140</v>
      </c>
      <c r="E149" s="220" t="s">
        <v>3140</v>
      </c>
      <c r="F149" s="220" t="s">
        <v>3139</v>
      </c>
      <c r="G149" s="220" t="s">
        <v>3139</v>
      </c>
      <c r="H149" s="221"/>
      <c r="I149" s="220"/>
      <c r="J149" s="220"/>
      <c r="K149" s="220" t="s">
        <v>3138</v>
      </c>
      <c r="L149" s="220" t="s">
        <v>3137</v>
      </c>
      <c r="M149" s="220" t="s">
        <v>3137</v>
      </c>
      <c r="N149" s="220" t="s">
        <v>3137</v>
      </c>
      <c r="O149" s="220"/>
      <c r="P149" s="220"/>
      <c r="Q149" s="220"/>
      <c r="R149" s="220"/>
      <c r="S149" s="220"/>
    </row>
    <row r="150" ht="20.1" customHeight="1" spans="1:19">
      <c r="A150" s="222" t="s">
        <v>132</v>
      </c>
      <c r="B150" s="214" t="s">
        <v>3216</v>
      </c>
      <c r="C150" s="214" t="s">
        <v>3236</v>
      </c>
      <c r="D150" s="214" t="s">
        <v>3217</v>
      </c>
      <c r="E150" s="214" t="s">
        <v>3227</v>
      </c>
      <c r="F150" s="214" t="s">
        <v>3245</v>
      </c>
      <c r="G150" s="214" t="s">
        <v>3246</v>
      </c>
      <c r="H150" s="223" t="s">
        <v>132</v>
      </c>
      <c r="I150" s="214" t="s">
        <v>3207</v>
      </c>
      <c r="J150" s="214" t="s">
        <v>3208</v>
      </c>
      <c r="K150" s="214" t="s">
        <v>3182</v>
      </c>
      <c r="L150" s="214" t="s">
        <v>3234</v>
      </c>
      <c r="M150" s="214" t="s">
        <v>3212</v>
      </c>
      <c r="N150" s="214" t="s">
        <v>3235</v>
      </c>
      <c r="O150" s="214"/>
      <c r="P150" s="214"/>
      <c r="Q150" s="214"/>
      <c r="R150" s="214"/>
      <c r="S150" s="214"/>
    </row>
    <row r="151" ht="20.1" customHeight="1" spans="1:19">
      <c r="A151" s="216"/>
      <c r="B151" s="217" t="s">
        <v>3136</v>
      </c>
      <c r="C151" s="217" t="s">
        <v>3136</v>
      </c>
      <c r="D151" s="217" t="s">
        <v>3136</v>
      </c>
      <c r="E151" s="217" t="s">
        <v>3136</v>
      </c>
      <c r="F151" s="217" t="s">
        <v>3136</v>
      </c>
      <c r="G151" s="217" t="s">
        <v>3136</v>
      </c>
      <c r="H151" s="218"/>
      <c r="I151" s="217" t="s">
        <v>3138</v>
      </c>
      <c r="J151" s="217" t="s">
        <v>3138</v>
      </c>
      <c r="K151" s="217" t="s">
        <v>3134</v>
      </c>
      <c r="L151" s="217" t="s">
        <v>3134</v>
      </c>
      <c r="M151" s="217" t="s">
        <v>3134</v>
      </c>
      <c r="N151" s="217" t="s">
        <v>3134</v>
      </c>
      <c r="O151" s="217"/>
      <c r="P151" s="217"/>
      <c r="Q151" s="217"/>
      <c r="R151" s="217"/>
      <c r="S151" s="217"/>
    </row>
    <row r="152" ht="20.1" customHeight="1" spans="1:19">
      <c r="A152" s="226"/>
      <c r="B152" s="220" t="s">
        <v>3140</v>
      </c>
      <c r="C152" s="220" t="s">
        <v>3140</v>
      </c>
      <c r="D152" s="220" t="s">
        <v>3140</v>
      </c>
      <c r="E152" s="220" t="s">
        <v>3140</v>
      </c>
      <c r="F152" s="220" t="s">
        <v>3139</v>
      </c>
      <c r="G152" s="220" t="s">
        <v>3139</v>
      </c>
      <c r="H152" s="228"/>
      <c r="I152" s="220"/>
      <c r="J152" s="220"/>
      <c r="K152" s="220" t="s">
        <v>3138</v>
      </c>
      <c r="L152" s="220" t="s">
        <v>3137</v>
      </c>
      <c r="M152" s="220" t="s">
        <v>3137</v>
      </c>
      <c r="N152" s="220" t="s">
        <v>3137</v>
      </c>
      <c r="O152" s="220"/>
      <c r="P152" s="220"/>
      <c r="Q152" s="220"/>
      <c r="R152" s="220"/>
      <c r="S152" s="220"/>
    </row>
  </sheetData>
  <mergeCells count="88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</mergeCells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opLeftCell="A64" workbookViewId="0">
      <selection activeCell="G109" sqref="G109"/>
    </sheetView>
  </sheetViews>
  <sheetFormatPr defaultColWidth="9" defaultRowHeight="13.5"/>
  <cols>
    <col min="1" max="1" width="11" customWidth="1"/>
    <col min="2" max="2" width="14.375" customWidth="1"/>
    <col min="3" max="3" width="11.25" customWidth="1"/>
    <col min="4" max="4" width="17" customWidth="1"/>
    <col min="5" max="5" width="17.25" customWidth="1"/>
    <col min="6" max="6" width="18" customWidth="1"/>
    <col min="8" max="8" width="19.375" customWidth="1"/>
  </cols>
  <sheetData>
    <row r="1" spans="1:6">
      <c r="A1" s="41" t="s">
        <v>3247</v>
      </c>
      <c r="B1" s="41" t="s">
        <v>3248</v>
      </c>
      <c r="C1" s="41" t="s">
        <v>3249</v>
      </c>
      <c r="D1" s="41" t="s">
        <v>3250</v>
      </c>
      <c r="E1" s="41" t="s">
        <v>3251</v>
      </c>
    </row>
    <row r="2" spans="1:6">
      <c r="A2" s="41">
        <v>1</v>
      </c>
      <c r="B2" s="41">
        <v>30</v>
      </c>
      <c r="C2" s="41">
        <v>5</v>
      </c>
      <c r="D2" s="206">
        <f>B2/C2</f>
        <v>6</v>
      </c>
      <c r="E2">
        <f t="shared" ref="E2:E9" si="0">D2/20</f>
        <v>0.3</v>
      </c>
      <c r="F2">
        <f>ROUNDUP(E2,0)</f>
        <v>1</v>
      </c>
    </row>
    <row r="3" spans="1:6">
      <c r="A3" s="41">
        <v>2</v>
      </c>
      <c r="B3" s="41">
        <v>50</v>
      </c>
      <c r="C3" s="41">
        <v>5</v>
      </c>
      <c r="D3" s="206">
        <f t="shared" ref="D3:D66" si="1">B3/C3</f>
        <v>10</v>
      </c>
      <c r="E3">
        <f t="shared" si="0"/>
        <v>0.5</v>
      </c>
      <c r="F3">
        <f t="shared" ref="F3:F66" si="2">ROUNDUP(E3,0)</f>
        <v>1</v>
      </c>
    </row>
    <row r="4" spans="1:6">
      <c r="A4" s="41">
        <v>3</v>
      </c>
      <c r="B4" s="41">
        <v>70</v>
      </c>
      <c r="C4" s="41">
        <v>5</v>
      </c>
      <c r="D4" s="206">
        <f t="shared" si="1"/>
        <v>14</v>
      </c>
      <c r="E4">
        <f t="shared" si="0"/>
        <v>0.7</v>
      </c>
      <c r="F4">
        <f t="shared" si="2"/>
        <v>1</v>
      </c>
    </row>
    <row r="5" spans="1:6">
      <c r="A5" s="41">
        <v>4</v>
      </c>
      <c r="B5" s="41">
        <v>120</v>
      </c>
      <c r="C5" s="41">
        <v>5</v>
      </c>
      <c r="D5" s="206">
        <f t="shared" si="1"/>
        <v>24</v>
      </c>
      <c r="E5">
        <f t="shared" si="0"/>
        <v>1.2</v>
      </c>
      <c r="F5">
        <f t="shared" si="2"/>
        <v>2</v>
      </c>
    </row>
    <row r="6" spans="1:6">
      <c r="A6" s="41">
        <v>5</v>
      </c>
      <c r="B6" s="41">
        <v>170</v>
      </c>
      <c r="C6" s="41">
        <v>6</v>
      </c>
      <c r="D6" s="206">
        <f t="shared" si="1"/>
        <v>28.3333333333333</v>
      </c>
      <c r="E6">
        <f t="shared" si="0"/>
        <v>1.41666666666667</v>
      </c>
      <c r="F6">
        <f t="shared" si="2"/>
        <v>2</v>
      </c>
    </row>
    <row r="7" spans="1:6">
      <c r="A7" s="41">
        <v>6</v>
      </c>
      <c r="B7" s="41">
        <v>220</v>
      </c>
      <c r="C7" s="41">
        <v>6</v>
      </c>
      <c r="D7" s="206">
        <f t="shared" si="1"/>
        <v>36.6666666666667</v>
      </c>
      <c r="E7">
        <f t="shared" si="0"/>
        <v>1.83333333333333</v>
      </c>
      <c r="F7">
        <f t="shared" si="2"/>
        <v>2</v>
      </c>
    </row>
    <row r="8" spans="1:6">
      <c r="A8" s="41">
        <v>7</v>
      </c>
      <c r="B8" s="41">
        <v>270</v>
      </c>
      <c r="C8" s="41">
        <v>6</v>
      </c>
      <c r="D8" s="206">
        <f t="shared" si="1"/>
        <v>45</v>
      </c>
      <c r="E8">
        <f t="shared" si="0"/>
        <v>2.25</v>
      </c>
      <c r="F8">
        <f t="shared" si="2"/>
        <v>3</v>
      </c>
    </row>
    <row r="9" spans="1:6">
      <c r="A9" s="41">
        <v>8</v>
      </c>
      <c r="B9" s="41">
        <v>350</v>
      </c>
      <c r="C9" s="41">
        <v>7</v>
      </c>
      <c r="D9" s="206">
        <f t="shared" si="1"/>
        <v>50</v>
      </c>
      <c r="E9">
        <f t="shared" si="0"/>
        <v>2.5</v>
      </c>
      <c r="F9">
        <f t="shared" si="2"/>
        <v>3</v>
      </c>
    </row>
    <row r="10" spans="1:6">
      <c r="A10" s="41">
        <v>9</v>
      </c>
      <c r="B10" s="41">
        <v>430</v>
      </c>
      <c r="C10" s="41">
        <v>7</v>
      </c>
      <c r="D10" s="206">
        <f t="shared" si="1"/>
        <v>61.4285714285714</v>
      </c>
      <c r="E10">
        <f t="shared" ref="E10:E73" si="3">D10/20</f>
        <v>3.07142857142857</v>
      </c>
      <c r="F10">
        <f t="shared" si="2"/>
        <v>4</v>
      </c>
    </row>
    <row r="11" spans="1:6">
      <c r="A11" s="41">
        <v>10</v>
      </c>
      <c r="B11" s="41">
        <v>510</v>
      </c>
      <c r="C11" s="41">
        <v>7</v>
      </c>
      <c r="D11" s="206">
        <f t="shared" si="1"/>
        <v>72.8571428571429</v>
      </c>
      <c r="E11">
        <f t="shared" si="3"/>
        <v>3.64285714285714</v>
      </c>
      <c r="F11">
        <f t="shared" si="2"/>
        <v>4</v>
      </c>
    </row>
    <row r="12" spans="1:6">
      <c r="A12" s="41">
        <v>11</v>
      </c>
      <c r="B12" s="41">
        <v>600</v>
      </c>
      <c r="C12" s="41">
        <v>8</v>
      </c>
      <c r="D12" s="206">
        <f t="shared" si="1"/>
        <v>75</v>
      </c>
      <c r="E12">
        <f t="shared" si="3"/>
        <v>3.75</v>
      </c>
      <c r="F12">
        <f t="shared" si="2"/>
        <v>4</v>
      </c>
    </row>
    <row r="13" spans="1:6">
      <c r="A13" s="41">
        <v>12</v>
      </c>
      <c r="B13" s="41">
        <v>690</v>
      </c>
      <c r="C13" s="41">
        <v>8</v>
      </c>
      <c r="D13" s="206">
        <f t="shared" si="1"/>
        <v>86.25</v>
      </c>
      <c r="E13">
        <f t="shared" si="3"/>
        <v>4.3125</v>
      </c>
      <c r="F13">
        <f t="shared" si="2"/>
        <v>5</v>
      </c>
    </row>
    <row r="14" spans="1:6">
      <c r="A14" s="41">
        <v>13</v>
      </c>
      <c r="B14" s="41">
        <v>800</v>
      </c>
      <c r="C14" s="41">
        <v>8</v>
      </c>
      <c r="D14" s="206">
        <f t="shared" si="1"/>
        <v>100</v>
      </c>
      <c r="E14">
        <f t="shared" si="3"/>
        <v>5</v>
      </c>
      <c r="F14">
        <f t="shared" si="2"/>
        <v>5</v>
      </c>
    </row>
    <row r="15" spans="1:6">
      <c r="A15" s="41">
        <v>14</v>
      </c>
      <c r="B15" s="41">
        <v>920</v>
      </c>
      <c r="C15" s="41">
        <v>9</v>
      </c>
      <c r="D15" s="206">
        <f t="shared" si="1"/>
        <v>102.222222222222</v>
      </c>
      <c r="E15">
        <f t="shared" si="3"/>
        <v>5.11111111111111</v>
      </c>
      <c r="F15">
        <f t="shared" si="2"/>
        <v>6</v>
      </c>
    </row>
    <row r="16" spans="1:6">
      <c r="A16" s="41">
        <v>15</v>
      </c>
      <c r="B16" s="41">
        <v>1060</v>
      </c>
      <c r="C16" s="41">
        <v>9</v>
      </c>
      <c r="D16" s="206">
        <f t="shared" si="1"/>
        <v>117.777777777778</v>
      </c>
      <c r="E16">
        <f t="shared" si="3"/>
        <v>5.88888888888889</v>
      </c>
      <c r="F16">
        <f t="shared" si="2"/>
        <v>6</v>
      </c>
    </row>
    <row r="17" spans="1:6">
      <c r="A17" s="41">
        <v>16</v>
      </c>
      <c r="B17" s="41">
        <v>1220</v>
      </c>
      <c r="C17" s="41">
        <v>10</v>
      </c>
      <c r="D17" s="206">
        <f t="shared" si="1"/>
        <v>122</v>
      </c>
      <c r="E17">
        <f t="shared" si="3"/>
        <v>6.1</v>
      </c>
      <c r="F17">
        <f t="shared" si="2"/>
        <v>7</v>
      </c>
    </row>
    <row r="18" spans="1:6">
      <c r="A18" s="41">
        <v>17</v>
      </c>
      <c r="B18" s="41">
        <v>1400</v>
      </c>
      <c r="C18" s="41">
        <v>10</v>
      </c>
      <c r="D18" s="206">
        <f t="shared" si="1"/>
        <v>140</v>
      </c>
      <c r="E18">
        <f t="shared" si="3"/>
        <v>7</v>
      </c>
      <c r="F18">
        <f t="shared" si="2"/>
        <v>7</v>
      </c>
    </row>
    <row r="19" spans="1:6">
      <c r="A19" s="41">
        <v>18</v>
      </c>
      <c r="B19" s="41">
        <v>1610</v>
      </c>
      <c r="C19" s="41">
        <v>11</v>
      </c>
      <c r="D19" s="206">
        <f t="shared" si="1"/>
        <v>146.363636363636</v>
      </c>
      <c r="E19">
        <f t="shared" si="3"/>
        <v>7.31818181818182</v>
      </c>
      <c r="F19">
        <f t="shared" si="2"/>
        <v>8</v>
      </c>
    </row>
    <row r="20" spans="1:6">
      <c r="A20" s="41">
        <v>19</v>
      </c>
      <c r="B20" s="41">
        <v>1850</v>
      </c>
      <c r="C20" s="41">
        <v>12</v>
      </c>
      <c r="D20" s="206">
        <f t="shared" si="1"/>
        <v>154.166666666667</v>
      </c>
      <c r="E20">
        <f t="shared" si="3"/>
        <v>7.70833333333333</v>
      </c>
      <c r="F20">
        <f t="shared" si="2"/>
        <v>8</v>
      </c>
    </row>
    <row r="21" spans="1:6">
      <c r="A21" s="41">
        <v>20</v>
      </c>
      <c r="B21" s="41">
        <v>2130</v>
      </c>
      <c r="C21" s="41">
        <v>12</v>
      </c>
      <c r="D21" s="206">
        <f t="shared" si="1"/>
        <v>177.5</v>
      </c>
      <c r="E21">
        <f t="shared" si="3"/>
        <v>8.875</v>
      </c>
      <c r="F21">
        <f t="shared" si="2"/>
        <v>9</v>
      </c>
    </row>
    <row r="22" spans="1:6">
      <c r="A22" s="41">
        <v>21</v>
      </c>
      <c r="B22" s="41">
        <v>2450</v>
      </c>
      <c r="C22" s="41">
        <v>13</v>
      </c>
      <c r="D22" s="206">
        <f t="shared" si="1"/>
        <v>188.461538461538</v>
      </c>
      <c r="E22">
        <f t="shared" si="3"/>
        <v>9.42307692307692</v>
      </c>
      <c r="F22">
        <f t="shared" si="2"/>
        <v>10</v>
      </c>
    </row>
    <row r="23" spans="1:6">
      <c r="A23" s="41">
        <v>22</v>
      </c>
      <c r="B23" s="41">
        <v>2820</v>
      </c>
      <c r="C23" s="41">
        <v>13</v>
      </c>
      <c r="D23" s="206">
        <f t="shared" si="1"/>
        <v>216.923076923077</v>
      </c>
      <c r="E23">
        <f t="shared" si="3"/>
        <v>10.8461538461538</v>
      </c>
      <c r="F23">
        <f t="shared" si="2"/>
        <v>11</v>
      </c>
    </row>
    <row r="24" spans="1:6">
      <c r="A24" s="41">
        <v>23</v>
      </c>
      <c r="B24" s="41">
        <v>3240</v>
      </c>
      <c r="C24" s="41">
        <v>14</v>
      </c>
      <c r="D24" s="206">
        <f t="shared" si="1"/>
        <v>231.428571428571</v>
      </c>
      <c r="E24">
        <f t="shared" si="3"/>
        <v>11.5714285714286</v>
      </c>
      <c r="F24">
        <f t="shared" si="2"/>
        <v>12</v>
      </c>
    </row>
    <row r="25" spans="1:6">
      <c r="A25" s="41">
        <v>24</v>
      </c>
      <c r="B25" s="41">
        <v>3730</v>
      </c>
      <c r="C25" s="41">
        <v>15</v>
      </c>
      <c r="D25" s="206">
        <f t="shared" si="1"/>
        <v>248.666666666667</v>
      </c>
      <c r="E25">
        <f t="shared" si="3"/>
        <v>12.4333333333333</v>
      </c>
      <c r="F25">
        <f t="shared" si="2"/>
        <v>13</v>
      </c>
    </row>
    <row r="26" spans="1:6">
      <c r="A26" s="41">
        <v>25</v>
      </c>
      <c r="B26" s="41">
        <v>4290</v>
      </c>
      <c r="C26" s="41">
        <v>16</v>
      </c>
      <c r="D26" s="206">
        <f t="shared" si="1"/>
        <v>268.125</v>
      </c>
      <c r="E26">
        <f t="shared" si="3"/>
        <v>13.40625</v>
      </c>
      <c r="F26">
        <f t="shared" si="2"/>
        <v>14</v>
      </c>
    </row>
    <row r="27" spans="1:6">
      <c r="A27" s="41">
        <v>26</v>
      </c>
      <c r="B27" s="41">
        <v>4930</v>
      </c>
      <c r="C27" s="41">
        <v>16</v>
      </c>
      <c r="D27" s="206">
        <f t="shared" si="1"/>
        <v>308.125</v>
      </c>
      <c r="E27">
        <f t="shared" si="3"/>
        <v>15.40625</v>
      </c>
      <c r="F27">
        <f t="shared" si="2"/>
        <v>16</v>
      </c>
    </row>
    <row r="28" spans="1:6">
      <c r="A28" s="41">
        <v>27</v>
      </c>
      <c r="B28" s="41">
        <v>5670</v>
      </c>
      <c r="C28" s="41">
        <v>17</v>
      </c>
      <c r="D28" s="206">
        <f t="shared" si="1"/>
        <v>333.529411764706</v>
      </c>
      <c r="E28">
        <f t="shared" si="3"/>
        <v>16.6764705882353</v>
      </c>
      <c r="F28">
        <f t="shared" si="2"/>
        <v>17</v>
      </c>
    </row>
    <row r="29" spans="1:6">
      <c r="A29" s="41">
        <v>28</v>
      </c>
      <c r="B29" s="41">
        <v>6530</v>
      </c>
      <c r="C29" s="41">
        <v>18</v>
      </c>
      <c r="D29" s="206">
        <f t="shared" si="1"/>
        <v>362.777777777778</v>
      </c>
      <c r="E29">
        <f t="shared" si="3"/>
        <v>18.1388888888889</v>
      </c>
      <c r="F29">
        <f t="shared" si="2"/>
        <v>19</v>
      </c>
    </row>
    <row r="30" spans="1:6">
      <c r="A30" s="41">
        <v>29</v>
      </c>
      <c r="B30" s="41">
        <v>7500</v>
      </c>
      <c r="C30" s="41">
        <v>19</v>
      </c>
      <c r="D30" s="206">
        <f t="shared" si="1"/>
        <v>394.736842105263</v>
      </c>
      <c r="E30">
        <f t="shared" si="3"/>
        <v>19.7368421052632</v>
      </c>
      <c r="F30">
        <f t="shared" si="2"/>
        <v>20</v>
      </c>
    </row>
    <row r="31" spans="1:6">
      <c r="A31" s="41">
        <v>30</v>
      </c>
      <c r="B31" s="41">
        <v>8630</v>
      </c>
      <c r="C31" s="41">
        <v>20</v>
      </c>
      <c r="D31" s="206">
        <f t="shared" si="1"/>
        <v>431.5</v>
      </c>
      <c r="E31">
        <f t="shared" si="3"/>
        <v>21.575</v>
      </c>
      <c r="F31">
        <f t="shared" si="2"/>
        <v>22</v>
      </c>
    </row>
    <row r="32" spans="1:6">
      <c r="A32" s="41">
        <v>31</v>
      </c>
      <c r="B32" s="41">
        <v>9930</v>
      </c>
      <c r="C32" s="41">
        <v>22</v>
      </c>
      <c r="D32" s="206">
        <f t="shared" si="1"/>
        <v>451.363636363636</v>
      </c>
      <c r="E32">
        <f t="shared" si="3"/>
        <v>22.5681818181818</v>
      </c>
      <c r="F32">
        <f t="shared" si="2"/>
        <v>23</v>
      </c>
    </row>
    <row r="33" spans="1:6">
      <c r="A33" s="41">
        <v>32</v>
      </c>
      <c r="B33" s="41">
        <v>11420</v>
      </c>
      <c r="C33" s="41">
        <v>24</v>
      </c>
      <c r="D33" s="206">
        <f t="shared" si="1"/>
        <v>475.833333333333</v>
      </c>
      <c r="E33">
        <f t="shared" si="3"/>
        <v>23.7916666666667</v>
      </c>
      <c r="F33">
        <f t="shared" si="2"/>
        <v>24</v>
      </c>
    </row>
    <row r="34" spans="1:6">
      <c r="A34" s="41">
        <v>33</v>
      </c>
      <c r="B34" s="41">
        <v>13130</v>
      </c>
      <c r="C34" s="41">
        <v>26</v>
      </c>
      <c r="D34" s="206">
        <f t="shared" si="1"/>
        <v>505</v>
      </c>
      <c r="E34">
        <f t="shared" si="3"/>
        <v>25.25</v>
      </c>
      <c r="F34">
        <f t="shared" si="2"/>
        <v>26</v>
      </c>
    </row>
    <row r="35" spans="1:6">
      <c r="A35" s="41">
        <v>34</v>
      </c>
      <c r="B35" s="41">
        <v>15100</v>
      </c>
      <c r="C35" s="41">
        <v>28</v>
      </c>
      <c r="D35" s="206">
        <f t="shared" si="1"/>
        <v>539.285714285714</v>
      </c>
      <c r="E35">
        <f t="shared" si="3"/>
        <v>26.9642857142857</v>
      </c>
      <c r="F35">
        <f t="shared" si="2"/>
        <v>27</v>
      </c>
    </row>
    <row r="36" spans="1:6">
      <c r="A36" s="41">
        <v>35</v>
      </c>
      <c r="B36" s="41">
        <v>17370</v>
      </c>
      <c r="C36" s="41">
        <v>30</v>
      </c>
      <c r="D36" s="206">
        <f t="shared" si="1"/>
        <v>579</v>
      </c>
      <c r="E36">
        <f t="shared" si="3"/>
        <v>28.95</v>
      </c>
      <c r="F36">
        <f t="shared" si="2"/>
        <v>29</v>
      </c>
    </row>
    <row r="37" spans="1:6">
      <c r="A37" s="41">
        <v>36</v>
      </c>
      <c r="B37" s="41">
        <v>19970</v>
      </c>
      <c r="C37" s="41">
        <v>32</v>
      </c>
      <c r="D37" s="206">
        <f t="shared" si="1"/>
        <v>624.0625</v>
      </c>
      <c r="E37">
        <f t="shared" si="3"/>
        <v>31.203125</v>
      </c>
      <c r="F37">
        <f t="shared" si="2"/>
        <v>32</v>
      </c>
    </row>
    <row r="38" spans="1:6">
      <c r="A38" s="41">
        <v>37</v>
      </c>
      <c r="B38" s="41">
        <v>22970</v>
      </c>
      <c r="C38" s="41">
        <v>35</v>
      </c>
      <c r="D38" s="206">
        <f t="shared" si="1"/>
        <v>656.285714285714</v>
      </c>
      <c r="E38">
        <f t="shared" si="3"/>
        <v>32.8142857142857</v>
      </c>
      <c r="F38">
        <f t="shared" si="2"/>
        <v>33</v>
      </c>
    </row>
    <row r="39" spans="1:6">
      <c r="A39" s="41">
        <v>38</v>
      </c>
      <c r="B39" s="41">
        <v>26410</v>
      </c>
      <c r="C39" s="41">
        <v>38</v>
      </c>
      <c r="D39" s="206">
        <f t="shared" si="1"/>
        <v>695</v>
      </c>
      <c r="E39">
        <f t="shared" si="3"/>
        <v>34.75</v>
      </c>
      <c r="F39">
        <f t="shared" si="2"/>
        <v>35</v>
      </c>
    </row>
    <row r="40" spans="1:6">
      <c r="A40" s="41">
        <v>39</v>
      </c>
      <c r="B40" s="41">
        <v>30380</v>
      </c>
      <c r="C40" s="41">
        <v>41</v>
      </c>
      <c r="D40" s="206">
        <f t="shared" si="1"/>
        <v>740.975609756098</v>
      </c>
      <c r="E40">
        <f t="shared" si="3"/>
        <v>37.0487804878049</v>
      </c>
      <c r="F40">
        <f t="shared" si="2"/>
        <v>38</v>
      </c>
    </row>
    <row r="41" spans="1:6">
      <c r="A41" s="41">
        <v>40</v>
      </c>
      <c r="B41" s="41">
        <v>34930</v>
      </c>
      <c r="C41" s="41">
        <v>44</v>
      </c>
      <c r="D41" s="206">
        <f t="shared" si="1"/>
        <v>793.863636363636</v>
      </c>
      <c r="E41">
        <f t="shared" si="3"/>
        <v>39.6931818181818</v>
      </c>
      <c r="F41">
        <f t="shared" si="2"/>
        <v>40</v>
      </c>
    </row>
    <row r="42" spans="1:6">
      <c r="A42" s="41">
        <v>41</v>
      </c>
      <c r="B42" s="41">
        <v>40170</v>
      </c>
      <c r="C42" s="41">
        <v>47</v>
      </c>
      <c r="D42" s="206">
        <f t="shared" si="1"/>
        <v>854.68085106383</v>
      </c>
      <c r="E42">
        <f t="shared" si="3"/>
        <v>42.7340425531915</v>
      </c>
      <c r="F42">
        <f t="shared" si="2"/>
        <v>43</v>
      </c>
    </row>
    <row r="43" spans="1:6">
      <c r="A43" s="41">
        <v>42</v>
      </c>
      <c r="B43" s="41">
        <v>46200</v>
      </c>
      <c r="C43" s="41">
        <v>50</v>
      </c>
      <c r="D43" s="206">
        <f t="shared" si="1"/>
        <v>924</v>
      </c>
      <c r="E43">
        <f t="shared" si="3"/>
        <v>46.2</v>
      </c>
      <c r="F43">
        <f t="shared" si="2"/>
        <v>47</v>
      </c>
    </row>
    <row r="44" spans="1:6">
      <c r="A44" s="41">
        <v>43</v>
      </c>
      <c r="B44" s="41">
        <v>53130</v>
      </c>
      <c r="C44" s="41">
        <v>53</v>
      </c>
      <c r="D44" s="206">
        <f t="shared" si="1"/>
        <v>1002.45283018868</v>
      </c>
      <c r="E44">
        <f t="shared" si="3"/>
        <v>50.122641509434</v>
      </c>
      <c r="F44">
        <f t="shared" si="2"/>
        <v>51</v>
      </c>
    </row>
    <row r="45" spans="1:6">
      <c r="A45" s="41">
        <v>44</v>
      </c>
      <c r="B45" s="41">
        <v>61100</v>
      </c>
      <c r="C45" s="41">
        <v>56</v>
      </c>
      <c r="D45" s="206">
        <f t="shared" si="1"/>
        <v>1091.07142857143</v>
      </c>
      <c r="E45">
        <f t="shared" si="3"/>
        <v>54.5535714285714</v>
      </c>
      <c r="F45">
        <f t="shared" si="2"/>
        <v>55</v>
      </c>
    </row>
    <row r="46" spans="1:6">
      <c r="A46" s="41">
        <v>45</v>
      </c>
      <c r="B46" s="41">
        <v>70270</v>
      </c>
      <c r="C46" s="41">
        <v>59</v>
      </c>
      <c r="D46" s="206">
        <f t="shared" si="1"/>
        <v>1191.01694915254</v>
      </c>
      <c r="E46">
        <f t="shared" si="3"/>
        <v>59.5508474576271</v>
      </c>
      <c r="F46">
        <f t="shared" si="2"/>
        <v>60</v>
      </c>
    </row>
    <row r="47" spans="1:6">
      <c r="A47" s="41">
        <v>46</v>
      </c>
      <c r="B47" s="41">
        <v>80810</v>
      </c>
      <c r="C47" s="41">
        <v>62</v>
      </c>
      <c r="D47" s="206">
        <f t="shared" si="1"/>
        <v>1303.38709677419</v>
      </c>
      <c r="E47">
        <f t="shared" si="3"/>
        <v>65.1693548387097</v>
      </c>
      <c r="F47">
        <f t="shared" si="2"/>
        <v>66</v>
      </c>
    </row>
    <row r="48" spans="1:6">
      <c r="A48" s="41">
        <v>47</v>
      </c>
      <c r="B48" s="41">
        <v>92930</v>
      </c>
      <c r="C48" s="41">
        <v>66</v>
      </c>
      <c r="D48" s="206">
        <f t="shared" si="1"/>
        <v>1408.0303030303</v>
      </c>
      <c r="E48">
        <f t="shared" si="3"/>
        <v>70.4015151515152</v>
      </c>
      <c r="F48">
        <f t="shared" si="2"/>
        <v>71</v>
      </c>
    </row>
    <row r="49" spans="1:6">
      <c r="A49" s="41">
        <v>48</v>
      </c>
      <c r="B49" s="41">
        <v>106870</v>
      </c>
      <c r="C49" s="41">
        <v>70</v>
      </c>
      <c r="D49" s="206">
        <f t="shared" si="1"/>
        <v>1526.71428571429</v>
      </c>
      <c r="E49">
        <f t="shared" si="3"/>
        <v>76.3357142857143</v>
      </c>
      <c r="F49">
        <f t="shared" si="2"/>
        <v>77</v>
      </c>
    </row>
    <row r="50" spans="1:6">
      <c r="A50" s="41">
        <v>49</v>
      </c>
      <c r="B50" s="41">
        <v>122910</v>
      </c>
      <c r="C50" s="41">
        <v>74</v>
      </c>
      <c r="D50" s="206">
        <f t="shared" si="1"/>
        <v>1660.94594594595</v>
      </c>
      <c r="E50">
        <f t="shared" si="3"/>
        <v>83.0472972972973</v>
      </c>
      <c r="F50">
        <f t="shared" si="2"/>
        <v>84</v>
      </c>
    </row>
    <row r="51" spans="1:6">
      <c r="A51" s="41">
        <v>50</v>
      </c>
      <c r="B51" s="41">
        <v>141340</v>
      </c>
      <c r="C51" s="41">
        <v>78</v>
      </c>
      <c r="D51" s="206">
        <f t="shared" si="1"/>
        <v>1812.05128205128</v>
      </c>
      <c r="E51">
        <f t="shared" si="3"/>
        <v>90.6025641025641</v>
      </c>
      <c r="F51">
        <f t="shared" si="2"/>
        <v>91</v>
      </c>
    </row>
    <row r="52" spans="1:6">
      <c r="A52" s="41">
        <v>51</v>
      </c>
      <c r="B52" s="41">
        <v>162540</v>
      </c>
      <c r="C52" s="41">
        <v>82</v>
      </c>
      <c r="D52" s="206">
        <f t="shared" si="1"/>
        <v>1982.19512195122</v>
      </c>
      <c r="E52">
        <f t="shared" si="3"/>
        <v>99.109756097561</v>
      </c>
      <c r="F52">
        <f t="shared" si="2"/>
        <v>100</v>
      </c>
    </row>
    <row r="53" spans="1:6">
      <c r="A53" s="41">
        <v>52</v>
      </c>
      <c r="B53" s="41">
        <v>186930</v>
      </c>
      <c r="C53" s="41">
        <v>86</v>
      </c>
      <c r="D53" s="206">
        <f t="shared" si="1"/>
        <v>2173.60465116279</v>
      </c>
      <c r="E53">
        <f t="shared" si="3"/>
        <v>108.68023255814</v>
      </c>
      <c r="F53">
        <f t="shared" si="2"/>
        <v>109</v>
      </c>
    </row>
    <row r="54" spans="1:6">
      <c r="A54" s="41">
        <v>53</v>
      </c>
      <c r="B54" s="41">
        <v>214970</v>
      </c>
      <c r="C54" s="41">
        <v>90</v>
      </c>
      <c r="D54" s="206">
        <f t="shared" si="1"/>
        <v>2388.55555555556</v>
      </c>
      <c r="E54">
        <f t="shared" si="3"/>
        <v>119.427777777778</v>
      </c>
      <c r="F54">
        <f t="shared" si="2"/>
        <v>120</v>
      </c>
    </row>
    <row r="55" spans="1:6">
      <c r="A55" s="41">
        <v>54</v>
      </c>
      <c r="B55" s="41">
        <v>247210</v>
      </c>
      <c r="C55" s="41">
        <v>94</v>
      </c>
      <c r="D55" s="206">
        <f t="shared" si="1"/>
        <v>2629.89361702128</v>
      </c>
      <c r="E55">
        <f t="shared" si="3"/>
        <v>131.494680851064</v>
      </c>
      <c r="F55">
        <f t="shared" si="2"/>
        <v>132</v>
      </c>
    </row>
    <row r="56" spans="1:6">
      <c r="A56" s="41">
        <v>55</v>
      </c>
      <c r="B56" s="41">
        <v>284290</v>
      </c>
      <c r="C56" s="41">
        <v>98</v>
      </c>
      <c r="D56" s="206">
        <f t="shared" si="1"/>
        <v>2900.91836734694</v>
      </c>
      <c r="E56">
        <f t="shared" si="3"/>
        <v>145.045918367347</v>
      </c>
      <c r="F56">
        <f t="shared" si="2"/>
        <v>146</v>
      </c>
    </row>
    <row r="57" spans="1:6">
      <c r="A57" s="41">
        <v>56</v>
      </c>
      <c r="B57" s="41">
        <v>326940</v>
      </c>
      <c r="C57" s="41">
        <v>103</v>
      </c>
      <c r="D57" s="206">
        <f t="shared" si="1"/>
        <v>3174.17475728155</v>
      </c>
      <c r="E57">
        <f t="shared" si="3"/>
        <v>158.708737864078</v>
      </c>
      <c r="F57">
        <f t="shared" si="2"/>
        <v>159</v>
      </c>
    </row>
    <row r="58" spans="1:6">
      <c r="A58" s="41">
        <v>57</v>
      </c>
      <c r="B58" s="41">
        <v>375980</v>
      </c>
      <c r="C58" s="41">
        <v>108</v>
      </c>
      <c r="D58" s="206">
        <f t="shared" si="1"/>
        <v>3481.2962962963</v>
      </c>
      <c r="E58">
        <f t="shared" si="3"/>
        <v>174.064814814815</v>
      </c>
      <c r="F58">
        <f t="shared" si="2"/>
        <v>175</v>
      </c>
    </row>
    <row r="59" spans="1:6">
      <c r="A59" s="41">
        <v>58</v>
      </c>
      <c r="B59" s="41">
        <v>432380</v>
      </c>
      <c r="C59" s="41">
        <v>113</v>
      </c>
      <c r="D59" s="206">
        <f t="shared" si="1"/>
        <v>3826.37168141593</v>
      </c>
      <c r="E59">
        <f t="shared" si="3"/>
        <v>191.318584070796</v>
      </c>
      <c r="F59">
        <f t="shared" si="2"/>
        <v>192</v>
      </c>
    </row>
    <row r="60" spans="1:6">
      <c r="A60" s="41">
        <v>59</v>
      </c>
      <c r="B60" s="41">
        <v>497230</v>
      </c>
      <c r="C60" s="41">
        <v>118</v>
      </c>
      <c r="D60" s="206">
        <f t="shared" si="1"/>
        <v>4213.81355932203</v>
      </c>
      <c r="E60">
        <f t="shared" si="3"/>
        <v>210.690677966102</v>
      </c>
      <c r="F60">
        <f t="shared" si="2"/>
        <v>211</v>
      </c>
    </row>
    <row r="61" spans="1:6">
      <c r="A61" s="41">
        <v>60</v>
      </c>
      <c r="B61" s="41">
        <v>571820</v>
      </c>
      <c r="C61" s="41">
        <v>123</v>
      </c>
      <c r="D61" s="206">
        <f t="shared" si="1"/>
        <v>4648.94308943089</v>
      </c>
      <c r="E61">
        <f t="shared" si="3"/>
        <v>232.447154471545</v>
      </c>
      <c r="F61">
        <f t="shared" si="2"/>
        <v>233</v>
      </c>
    </row>
    <row r="62" spans="1:6">
      <c r="A62" s="41">
        <v>61</v>
      </c>
      <c r="B62" s="41">
        <v>576460</v>
      </c>
      <c r="C62" s="41">
        <v>128</v>
      </c>
      <c r="D62" s="206">
        <f t="shared" si="1"/>
        <v>4503.59375</v>
      </c>
      <c r="E62">
        <f t="shared" si="3"/>
        <v>225.1796875</v>
      </c>
      <c r="F62">
        <f t="shared" si="2"/>
        <v>226</v>
      </c>
    </row>
    <row r="63" spans="1:6">
      <c r="A63" s="41">
        <v>62</v>
      </c>
      <c r="B63" s="41">
        <v>639870</v>
      </c>
      <c r="C63" s="41">
        <v>133</v>
      </c>
      <c r="D63" s="206">
        <f t="shared" si="1"/>
        <v>4811.05263157895</v>
      </c>
      <c r="E63">
        <f t="shared" si="3"/>
        <v>240.552631578947</v>
      </c>
      <c r="F63">
        <f t="shared" si="2"/>
        <v>241</v>
      </c>
    </row>
    <row r="64" spans="1:6">
      <c r="A64" s="41">
        <v>63</v>
      </c>
      <c r="B64" s="41">
        <v>710260</v>
      </c>
      <c r="C64" s="41">
        <v>138</v>
      </c>
      <c r="D64" s="206">
        <f t="shared" si="1"/>
        <v>5146.8115942029</v>
      </c>
      <c r="E64">
        <f t="shared" si="3"/>
        <v>257.340579710145</v>
      </c>
      <c r="F64">
        <f t="shared" si="2"/>
        <v>258</v>
      </c>
    </row>
    <row r="65" spans="1:6">
      <c r="A65" s="41">
        <v>64</v>
      </c>
      <c r="B65" s="41">
        <v>788380</v>
      </c>
      <c r="C65" s="41">
        <v>144</v>
      </c>
      <c r="D65" s="206">
        <f t="shared" si="1"/>
        <v>5474.86111111111</v>
      </c>
      <c r="E65">
        <f t="shared" si="3"/>
        <v>273.743055555556</v>
      </c>
      <c r="F65">
        <f t="shared" si="2"/>
        <v>274</v>
      </c>
    </row>
    <row r="66" spans="1:6">
      <c r="A66" s="41">
        <v>65</v>
      </c>
      <c r="B66" s="41">
        <v>875110</v>
      </c>
      <c r="C66" s="41">
        <v>150</v>
      </c>
      <c r="D66" s="206">
        <f t="shared" si="1"/>
        <v>5834.06666666667</v>
      </c>
      <c r="E66">
        <f t="shared" si="3"/>
        <v>291.703333333333</v>
      </c>
      <c r="F66">
        <f t="shared" si="2"/>
        <v>292</v>
      </c>
    </row>
    <row r="67" spans="1:6">
      <c r="A67" s="41">
        <v>66</v>
      </c>
      <c r="B67" s="41">
        <v>971370</v>
      </c>
      <c r="C67" s="41">
        <v>156</v>
      </c>
      <c r="D67" s="206">
        <f t="shared" ref="D67:D100" si="4">B67/C67</f>
        <v>6226.73076923077</v>
      </c>
      <c r="E67">
        <f t="shared" si="3"/>
        <v>311.336538461538</v>
      </c>
      <c r="F67">
        <f t="shared" ref="F67:F100" si="5">ROUNDUP(E67,0)</f>
        <v>312</v>
      </c>
    </row>
    <row r="68" spans="1:6">
      <c r="A68" s="41">
        <v>67</v>
      </c>
      <c r="B68" s="41">
        <v>1078220</v>
      </c>
      <c r="C68" s="41">
        <v>162</v>
      </c>
      <c r="D68" s="206">
        <f t="shared" si="4"/>
        <v>6655.67901234568</v>
      </c>
      <c r="E68">
        <f t="shared" si="3"/>
        <v>332.783950617284</v>
      </c>
      <c r="F68">
        <f t="shared" si="5"/>
        <v>333</v>
      </c>
    </row>
    <row r="69" spans="1:6">
      <c r="A69" s="41">
        <v>68</v>
      </c>
      <c r="B69" s="41">
        <v>1196820</v>
      </c>
      <c r="C69" s="41">
        <v>168</v>
      </c>
      <c r="D69" s="206">
        <f t="shared" si="4"/>
        <v>7123.92857142857</v>
      </c>
      <c r="E69">
        <f t="shared" si="3"/>
        <v>356.196428571429</v>
      </c>
      <c r="F69">
        <f t="shared" si="5"/>
        <v>357</v>
      </c>
    </row>
    <row r="70" spans="1:6">
      <c r="A70" s="41">
        <v>69</v>
      </c>
      <c r="B70" s="41">
        <v>1328480</v>
      </c>
      <c r="C70" s="41">
        <v>174</v>
      </c>
      <c r="D70" s="206">
        <f t="shared" si="4"/>
        <v>7634.94252873563</v>
      </c>
      <c r="E70">
        <f t="shared" si="3"/>
        <v>381.747126436782</v>
      </c>
      <c r="F70">
        <f t="shared" si="5"/>
        <v>382</v>
      </c>
    </row>
    <row r="71" spans="1:6">
      <c r="A71" s="41">
        <v>70</v>
      </c>
      <c r="B71" s="41">
        <v>1474610</v>
      </c>
      <c r="C71" s="41">
        <v>180</v>
      </c>
      <c r="D71" s="206">
        <f t="shared" si="4"/>
        <v>8192.27777777778</v>
      </c>
      <c r="E71">
        <f t="shared" si="3"/>
        <v>409.613888888889</v>
      </c>
      <c r="F71">
        <f t="shared" si="5"/>
        <v>410</v>
      </c>
    </row>
    <row r="72" spans="1:6">
      <c r="A72" s="41">
        <v>71</v>
      </c>
      <c r="B72" s="41">
        <v>1538850</v>
      </c>
      <c r="C72" s="41">
        <v>187</v>
      </c>
      <c r="D72" s="206">
        <f t="shared" si="4"/>
        <v>8229.14438502674</v>
      </c>
      <c r="E72">
        <f t="shared" si="3"/>
        <v>411.457219251337</v>
      </c>
      <c r="F72">
        <f t="shared" si="5"/>
        <v>412</v>
      </c>
    </row>
    <row r="73" spans="1:6">
      <c r="A73" s="41">
        <v>72</v>
      </c>
      <c r="B73" s="41">
        <v>1650570</v>
      </c>
      <c r="C73" s="41">
        <v>194</v>
      </c>
      <c r="D73" s="206">
        <f t="shared" si="4"/>
        <v>8508.09278350516</v>
      </c>
      <c r="E73">
        <f t="shared" si="3"/>
        <v>425.404639175258</v>
      </c>
      <c r="F73">
        <f t="shared" si="5"/>
        <v>426</v>
      </c>
    </row>
    <row r="74" spans="1:6">
      <c r="A74" s="41">
        <v>73</v>
      </c>
      <c r="B74" s="41">
        <v>1891270</v>
      </c>
      <c r="C74" s="41">
        <v>201</v>
      </c>
      <c r="D74" s="206">
        <f t="shared" si="4"/>
        <v>9409.30348258707</v>
      </c>
      <c r="E74">
        <f t="shared" ref="E74:E100" si="6">D74/20</f>
        <v>470.465174129353</v>
      </c>
      <c r="F74">
        <f t="shared" si="5"/>
        <v>471</v>
      </c>
    </row>
    <row r="75" spans="1:6">
      <c r="A75" s="41">
        <v>74</v>
      </c>
      <c r="B75" s="41">
        <v>2184420</v>
      </c>
      <c r="C75" s="41">
        <v>208</v>
      </c>
      <c r="D75" s="206">
        <f t="shared" si="4"/>
        <v>10502.0192307692</v>
      </c>
      <c r="E75">
        <f t="shared" si="6"/>
        <v>525.100961538462</v>
      </c>
      <c r="F75">
        <f t="shared" si="5"/>
        <v>526</v>
      </c>
    </row>
    <row r="76" spans="1:6">
      <c r="A76" s="41">
        <v>75</v>
      </c>
      <c r="B76" s="41">
        <v>2523000</v>
      </c>
      <c r="C76" s="41">
        <v>215</v>
      </c>
      <c r="D76" s="206">
        <f t="shared" si="4"/>
        <v>11734.8837209302</v>
      </c>
      <c r="E76">
        <f t="shared" si="6"/>
        <v>586.744186046512</v>
      </c>
      <c r="F76">
        <f t="shared" si="5"/>
        <v>587</v>
      </c>
    </row>
    <row r="77" spans="1:6">
      <c r="A77" s="41">
        <v>76</v>
      </c>
      <c r="B77" s="41">
        <v>2914070</v>
      </c>
      <c r="C77" s="41">
        <v>222</v>
      </c>
      <c r="D77" s="206">
        <f t="shared" si="4"/>
        <v>13126.4414414414</v>
      </c>
      <c r="E77">
        <f t="shared" si="6"/>
        <v>656.322072072072</v>
      </c>
      <c r="F77">
        <f t="shared" si="5"/>
        <v>657</v>
      </c>
    </row>
    <row r="78" spans="1:6">
      <c r="A78" s="41">
        <v>77</v>
      </c>
      <c r="B78" s="41">
        <v>3365750</v>
      </c>
      <c r="C78" s="41">
        <v>230</v>
      </c>
      <c r="D78" s="206">
        <f t="shared" si="4"/>
        <v>14633.6956521739</v>
      </c>
      <c r="E78">
        <f t="shared" si="6"/>
        <v>731.684782608696</v>
      </c>
      <c r="F78">
        <f t="shared" si="5"/>
        <v>732</v>
      </c>
    </row>
    <row r="79" spans="1:6">
      <c r="A79" s="41">
        <v>78</v>
      </c>
      <c r="B79" s="41">
        <v>3887440</v>
      </c>
      <c r="C79" s="41">
        <v>238</v>
      </c>
      <c r="D79" s="206">
        <f t="shared" si="4"/>
        <v>16333.781512605</v>
      </c>
      <c r="E79">
        <f t="shared" si="6"/>
        <v>816.689075630252</v>
      </c>
      <c r="F79">
        <f t="shared" si="5"/>
        <v>817</v>
      </c>
    </row>
    <row r="80" spans="1:6">
      <c r="A80" s="41">
        <v>79</v>
      </c>
      <c r="B80" s="41">
        <v>4490000</v>
      </c>
      <c r="C80" s="41">
        <v>246</v>
      </c>
      <c r="D80" s="206">
        <f t="shared" si="4"/>
        <v>18252.0325203252</v>
      </c>
      <c r="E80">
        <f t="shared" si="6"/>
        <v>912.60162601626</v>
      </c>
      <c r="F80">
        <f t="shared" si="5"/>
        <v>913</v>
      </c>
    </row>
    <row r="81" spans="1:6">
      <c r="A81" s="41">
        <v>80</v>
      </c>
      <c r="B81" s="41">
        <v>5188950</v>
      </c>
      <c r="C81" s="41">
        <v>254</v>
      </c>
      <c r="D81" s="206">
        <f t="shared" si="4"/>
        <v>20428.937007874</v>
      </c>
      <c r="E81">
        <f t="shared" si="6"/>
        <v>1021.4468503937</v>
      </c>
      <c r="F81">
        <f t="shared" si="5"/>
        <v>1022</v>
      </c>
    </row>
    <row r="82" spans="1:6">
      <c r="A82" s="41">
        <v>81</v>
      </c>
      <c r="B82" s="41">
        <v>5989770</v>
      </c>
      <c r="C82" s="41">
        <v>263</v>
      </c>
      <c r="D82" s="206">
        <f t="shared" si="4"/>
        <v>22774.7908745247</v>
      </c>
      <c r="E82">
        <f t="shared" si="6"/>
        <v>1138.73954372624</v>
      </c>
      <c r="F82">
        <f t="shared" si="5"/>
        <v>1139</v>
      </c>
    </row>
    <row r="83" spans="1:6">
      <c r="A83" s="41">
        <v>82</v>
      </c>
      <c r="B83" s="41">
        <v>6918190</v>
      </c>
      <c r="C83" s="41">
        <v>272</v>
      </c>
      <c r="D83" s="206">
        <f t="shared" si="4"/>
        <v>25434.5220588235</v>
      </c>
      <c r="E83">
        <f t="shared" si="6"/>
        <v>1271.72610294118</v>
      </c>
      <c r="F83">
        <f t="shared" si="5"/>
        <v>1272</v>
      </c>
    </row>
    <row r="84" spans="1:6">
      <c r="A84" s="41">
        <v>83</v>
      </c>
      <c r="B84" s="41">
        <v>7990510</v>
      </c>
      <c r="C84" s="41">
        <v>282</v>
      </c>
      <c r="D84" s="206">
        <f t="shared" si="4"/>
        <v>28335.1418439716</v>
      </c>
      <c r="E84">
        <f t="shared" si="6"/>
        <v>1416.75709219858</v>
      </c>
      <c r="F84">
        <f t="shared" si="5"/>
        <v>1417</v>
      </c>
    </row>
    <row r="85" spans="1:6">
      <c r="A85" s="41">
        <v>84</v>
      </c>
      <c r="B85" s="41">
        <v>9229040</v>
      </c>
      <c r="C85" s="41">
        <v>293</v>
      </c>
      <c r="D85" s="206">
        <f t="shared" si="4"/>
        <v>31498.4300341297</v>
      </c>
      <c r="E85">
        <f t="shared" si="6"/>
        <v>1574.92150170648</v>
      </c>
      <c r="F85">
        <f t="shared" si="5"/>
        <v>1575</v>
      </c>
    </row>
    <row r="86" spans="1:6">
      <c r="A86" s="41">
        <v>85</v>
      </c>
      <c r="B86" s="41">
        <v>10659540</v>
      </c>
      <c r="C86" s="41">
        <v>305</v>
      </c>
      <c r="D86" s="206">
        <f t="shared" si="4"/>
        <v>34949.3114754098</v>
      </c>
      <c r="E86">
        <f t="shared" si="6"/>
        <v>1747.46557377049</v>
      </c>
      <c r="F86">
        <f t="shared" si="5"/>
        <v>1748</v>
      </c>
    </row>
    <row r="87" spans="1:6">
      <c r="A87" s="41">
        <v>86</v>
      </c>
      <c r="B87" s="41">
        <v>12311770</v>
      </c>
      <c r="C87" s="41">
        <v>318</v>
      </c>
      <c r="D87" s="206">
        <f t="shared" si="4"/>
        <v>38716.2578616352</v>
      </c>
      <c r="E87">
        <f t="shared" si="6"/>
        <v>1935.81289308176</v>
      </c>
      <c r="F87">
        <f t="shared" si="5"/>
        <v>1936</v>
      </c>
    </row>
    <row r="88" spans="1:6">
      <c r="A88" s="41">
        <v>87</v>
      </c>
      <c r="B88" s="41">
        <v>14220100</v>
      </c>
      <c r="C88" s="41">
        <v>333</v>
      </c>
      <c r="D88" s="206">
        <f t="shared" si="4"/>
        <v>42703.003003003</v>
      </c>
      <c r="E88">
        <f t="shared" si="6"/>
        <v>2135.15015015015</v>
      </c>
      <c r="F88">
        <f t="shared" si="5"/>
        <v>2136</v>
      </c>
    </row>
    <row r="89" spans="1:6">
      <c r="A89" s="41">
        <v>88</v>
      </c>
      <c r="B89" s="41">
        <v>16424210</v>
      </c>
      <c r="C89" s="41">
        <v>349</v>
      </c>
      <c r="D89" s="206">
        <f t="shared" si="4"/>
        <v>47060.7736389685</v>
      </c>
      <c r="E89">
        <f t="shared" si="6"/>
        <v>2353.03868194842</v>
      </c>
      <c r="F89">
        <f t="shared" si="5"/>
        <v>2354</v>
      </c>
    </row>
    <row r="90" spans="1:6">
      <c r="A90" s="41">
        <v>89</v>
      </c>
      <c r="B90" s="41">
        <v>18969960</v>
      </c>
      <c r="C90" s="41">
        <v>366</v>
      </c>
      <c r="D90" s="206">
        <f t="shared" si="4"/>
        <v>51830.4918032787</v>
      </c>
      <c r="E90">
        <f t="shared" si="6"/>
        <v>2591.52459016393</v>
      </c>
      <c r="F90">
        <f t="shared" si="5"/>
        <v>2592</v>
      </c>
    </row>
    <row r="91" spans="1:6">
      <c r="A91" s="41">
        <v>90</v>
      </c>
      <c r="B91" s="41">
        <v>21910310</v>
      </c>
      <c r="C91" s="41">
        <v>384</v>
      </c>
      <c r="D91" s="206">
        <f t="shared" si="4"/>
        <v>57058.0989583333</v>
      </c>
      <c r="E91">
        <f t="shared" si="6"/>
        <v>2852.90494791667</v>
      </c>
      <c r="F91">
        <f t="shared" si="5"/>
        <v>2853</v>
      </c>
    </row>
    <row r="92" spans="1:6">
      <c r="A92" s="41">
        <v>91</v>
      </c>
      <c r="B92" s="41">
        <v>25306410</v>
      </c>
      <c r="C92" s="41">
        <v>404</v>
      </c>
      <c r="D92" s="206">
        <f t="shared" si="4"/>
        <v>62639.6287128713</v>
      </c>
      <c r="E92">
        <f t="shared" si="6"/>
        <v>3131.98143564356</v>
      </c>
      <c r="F92">
        <f t="shared" si="5"/>
        <v>3132</v>
      </c>
    </row>
    <row r="93" spans="1:6">
      <c r="A93" s="41">
        <v>92</v>
      </c>
      <c r="B93" s="41">
        <v>29228900</v>
      </c>
      <c r="C93" s="41">
        <v>426</v>
      </c>
      <c r="D93" s="206">
        <f t="shared" si="4"/>
        <v>68612.441314554</v>
      </c>
      <c r="E93">
        <f t="shared" si="6"/>
        <v>3430.6220657277</v>
      </c>
      <c r="F93">
        <f t="shared" si="5"/>
        <v>3431</v>
      </c>
    </row>
    <row r="94" spans="1:6">
      <c r="A94" s="41">
        <v>93</v>
      </c>
      <c r="B94" s="41">
        <v>33759380</v>
      </c>
      <c r="C94" s="41">
        <v>450</v>
      </c>
      <c r="D94" s="206">
        <f t="shared" si="4"/>
        <v>75020.8444444444</v>
      </c>
      <c r="E94">
        <f t="shared" si="6"/>
        <v>3751.04222222222</v>
      </c>
      <c r="F94">
        <f t="shared" si="5"/>
        <v>3752</v>
      </c>
    </row>
    <row r="95" spans="1:6">
      <c r="A95" s="41">
        <v>94</v>
      </c>
      <c r="B95" s="41">
        <v>38992090</v>
      </c>
      <c r="C95" s="41">
        <v>476</v>
      </c>
      <c r="D95" s="206">
        <f t="shared" si="4"/>
        <v>81916.1554621849</v>
      </c>
      <c r="E95">
        <f t="shared" si="6"/>
        <v>4095.80777310924</v>
      </c>
      <c r="F95">
        <f t="shared" si="5"/>
        <v>4096</v>
      </c>
    </row>
    <row r="96" spans="1:6">
      <c r="A96" s="41">
        <v>95</v>
      </c>
      <c r="B96" s="41">
        <v>45035860</v>
      </c>
      <c r="C96" s="41">
        <v>504</v>
      </c>
      <c r="D96" s="206">
        <f t="shared" si="4"/>
        <v>89356.8650793651</v>
      </c>
      <c r="E96">
        <f t="shared" si="6"/>
        <v>4467.84325396825</v>
      </c>
      <c r="F96">
        <f t="shared" si="5"/>
        <v>4468</v>
      </c>
    </row>
    <row r="97" spans="1:9">
      <c r="A97" s="41">
        <v>96</v>
      </c>
      <c r="B97" s="41">
        <v>52016420</v>
      </c>
      <c r="C97" s="41">
        <v>534</v>
      </c>
      <c r="D97" s="206">
        <f t="shared" si="4"/>
        <v>97409.0262172285</v>
      </c>
      <c r="E97">
        <f t="shared" si="6"/>
        <v>4870.45131086142</v>
      </c>
      <c r="F97">
        <f t="shared" si="5"/>
        <v>4871</v>
      </c>
    </row>
    <row r="98" spans="1:9">
      <c r="A98" s="41">
        <v>97</v>
      </c>
      <c r="B98" s="41">
        <v>60078970</v>
      </c>
      <c r="C98" s="41">
        <v>566</v>
      </c>
      <c r="D98" s="206">
        <f t="shared" si="4"/>
        <v>106146.590106007</v>
      </c>
      <c r="E98">
        <f t="shared" si="6"/>
        <v>5307.32950530035</v>
      </c>
      <c r="F98">
        <f t="shared" si="5"/>
        <v>5308</v>
      </c>
    </row>
    <row r="99" spans="1:9">
      <c r="A99" s="41">
        <v>98</v>
      </c>
      <c r="B99" s="41">
        <v>69391210</v>
      </c>
      <c r="C99" s="41">
        <v>600</v>
      </c>
      <c r="D99" s="206">
        <f t="shared" si="4"/>
        <v>115652.016666667</v>
      </c>
      <c r="E99">
        <f t="shared" si="6"/>
        <v>5782.60083333333</v>
      </c>
      <c r="F99">
        <f t="shared" si="5"/>
        <v>5783</v>
      </c>
    </row>
    <row r="100" spans="1:9">
      <c r="A100" s="41">
        <v>99</v>
      </c>
      <c r="B100" s="41">
        <v>80146850</v>
      </c>
      <c r="C100" s="207">
        <v>636</v>
      </c>
      <c r="D100" s="206">
        <f t="shared" si="4"/>
        <v>126017.059748428</v>
      </c>
      <c r="E100">
        <f t="shared" si="6"/>
        <v>6300.85298742138</v>
      </c>
      <c r="F100">
        <f t="shared" si="5"/>
        <v>6301</v>
      </c>
      <c r="H100" s="208"/>
      <c r="I100" s="41"/>
    </row>
    <row r="101" spans="1:9">
      <c r="A101" s="41">
        <v>100</v>
      </c>
      <c r="B101" s="41"/>
      <c r="C101" s="41"/>
      <c r="D101" s="206"/>
    </row>
    <row r="102" spans="1:9">
      <c r="A102" s="41" t="s">
        <v>3252</v>
      </c>
      <c r="B102" s="41"/>
      <c r="C102" s="41"/>
      <c r="D102" s="206">
        <f>SUM(D2:D100)</f>
        <v>1450702.35317025</v>
      </c>
      <c r="E102" s="206">
        <f>SUM(E2:E100)</f>
        <v>72535.1176585126</v>
      </c>
      <c r="F102" s="206">
        <f>SUM(F2:F100)</f>
        <v>72583</v>
      </c>
      <c r="H102" s="209"/>
    </row>
    <row r="103" spans="1:9">
      <c r="A103" s="41"/>
      <c r="B103" s="41"/>
      <c r="C103" s="41"/>
      <c r="D103" s="41"/>
    </row>
    <row r="104" spans="1:9">
      <c r="A104" s="41" t="s">
        <v>3247</v>
      </c>
      <c r="B104" s="41" t="s">
        <v>3248</v>
      </c>
      <c r="C104" s="41" t="s">
        <v>3249</v>
      </c>
      <c r="D104" s="41" t="s">
        <v>3250</v>
      </c>
      <c r="E104" s="41" t="s">
        <v>3251</v>
      </c>
      <c r="F104" s="41" t="s">
        <v>3253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8"/>
  <sheetViews>
    <sheetView workbookViewId="0">
      <selection activeCell="H26" sqref="H26"/>
    </sheetView>
  </sheetViews>
  <sheetFormatPr defaultColWidth="9" defaultRowHeight="13.5"/>
  <cols>
    <col min="1" max="1" width="18.375" style="41" customWidth="1"/>
    <col min="2" max="5" width="14.125" style="41" customWidth="1"/>
    <col min="8" max="54" width="9" customWidth="1"/>
  </cols>
  <sheetData>
    <row r="1" spans="1:21">
      <c r="A1" s="203" t="s">
        <v>3254</v>
      </c>
      <c r="B1" s="203"/>
      <c r="C1" s="203"/>
      <c r="D1" s="203"/>
      <c r="E1" s="203"/>
      <c r="H1" s="203" t="s">
        <v>3255</v>
      </c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</row>
    <row r="2" spans="1:21">
      <c r="A2" s="203" t="s">
        <v>3256</v>
      </c>
      <c r="B2" s="203" t="s">
        <v>3257</v>
      </c>
      <c r="C2" s="203" t="s">
        <v>3258</v>
      </c>
      <c r="D2" s="203" t="s">
        <v>3259</v>
      </c>
      <c r="E2" s="203" t="s">
        <v>3260</v>
      </c>
      <c r="H2" s="203" t="s">
        <v>2480</v>
      </c>
      <c r="I2" s="203"/>
      <c r="J2" s="30"/>
      <c r="K2" s="203" t="s">
        <v>2500</v>
      </c>
      <c r="L2" s="203"/>
      <c r="M2" s="30"/>
      <c r="N2" s="203" t="s">
        <v>2506</v>
      </c>
      <c r="O2" s="203"/>
      <c r="P2" s="30"/>
      <c r="Q2" s="203" t="s">
        <v>2514</v>
      </c>
      <c r="R2" s="203"/>
      <c r="S2" s="30"/>
      <c r="T2" s="203" t="s">
        <v>2524</v>
      </c>
      <c r="U2" s="203"/>
    </row>
    <row r="3" spans="1:21">
      <c r="A3" s="203"/>
      <c r="B3" s="203"/>
      <c r="C3" s="203"/>
      <c r="D3" s="203"/>
      <c r="E3" s="203"/>
      <c r="H3" s="203" t="s">
        <v>3261</v>
      </c>
      <c r="I3" s="203">
        <v>174</v>
      </c>
      <c r="J3" s="30"/>
      <c r="K3" s="203" t="s">
        <v>3262</v>
      </c>
      <c r="L3" s="203">
        <v>174</v>
      </c>
      <c r="M3" s="30"/>
      <c r="N3" s="203" t="s">
        <v>3263</v>
      </c>
      <c r="O3" s="203">
        <v>174</v>
      </c>
      <c r="P3" s="30"/>
      <c r="Q3" s="203" t="s">
        <v>3264</v>
      </c>
      <c r="R3" s="203">
        <v>174</v>
      </c>
      <c r="S3" s="30"/>
      <c r="T3" s="203" t="s">
        <v>3261</v>
      </c>
      <c r="U3" s="203">
        <v>174</v>
      </c>
    </row>
    <row r="4" spans="1:21">
      <c r="A4" s="203" t="s">
        <v>3265</v>
      </c>
      <c r="B4" s="203" t="s">
        <v>3266</v>
      </c>
      <c r="C4" s="203" t="s">
        <v>3267</v>
      </c>
      <c r="D4" s="203" t="s">
        <v>3268</v>
      </c>
      <c r="E4" s="203" t="s">
        <v>3269</v>
      </c>
      <c r="H4" s="203" t="s">
        <v>3270</v>
      </c>
      <c r="I4" s="203">
        <v>173</v>
      </c>
      <c r="J4" s="30"/>
      <c r="K4" s="203" t="s">
        <v>3271</v>
      </c>
      <c r="L4" s="203">
        <v>173</v>
      </c>
      <c r="M4" s="30"/>
      <c r="N4" s="203" t="s">
        <v>3270</v>
      </c>
      <c r="O4" s="203">
        <v>173</v>
      </c>
      <c r="P4" s="30"/>
      <c r="Q4" s="203" t="s">
        <v>3272</v>
      </c>
      <c r="R4" s="203">
        <v>173</v>
      </c>
      <c r="S4" s="30"/>
      <c r="T4" s="203" t="s">
        <v>3273</v>
      </c>
      <c r="U4" s="203">
        <v>173</v>
      </c>
    </row>
    <row r="5" spans="1:21">
      <c r="A5" s="203" t="s">
        <v>3274</v>
      </c>
      <c r="B5" s="203" t="s">
        <v>3275</v>
      </c>
      <c r="C5" s="203" t="s">
        <v>3276</v>
      </c>
      <c r="D5" s="203" t="s">
        <v>3277</v>
      </c>
      <c r="E5" s="203" t="s">
        <v>3278</v>
      </c>
      <c r="H5" s="203" t="s">
        <v>3263</v>
      </c>
      <c r="I5" s="203">
        <v>172</v>
      </c>
      <c r="J5" s="30"/>
      <c r="K5" s="203" t="s">
        <v>3272</v>
      </c>
      <c r="L5" s="203">
        <v>172</v>
      </c>
      <c r="M5" s="30"/>
      <c r="N5" s="203" t="s">
        <v>3262</v>
      </c>
      <c r="O5" s="203">
        <v>172</v>
      </c>
      <c r="P5" s="30"/>
      <c r="Q5" s="203" t="s">
        <v>3273</v>
      </c>
      <c r="R5" s="203">
        <v>172</v>
      </c>
      <c r="S5" s="30"/>
      <c r="T5" s="203" t="s">
        <v>3264</v>
      </c>
      <c r="U5" s="203">
        <v>172</v>
      </c>
    </row>
    <row r="6" spans="1:21">
      <c r="A6" s="203"/>
      <c r="B6" s="203"/>
      <c r="C6" s="203"/>
      <c r="D6" s="203"/>
      <c r="E6" s="203"/>
      <c r="H6" s="203" t="s">
        <v>3262</v>
      </c>
      <c r="I6" s="203">
        <v>68</v>
      </c>
      <c r="J6" s="30"/>
      <c r="K6" s="203" t="s">
        <v>3273</v>
      </c>
      <c r="L6" s="203">
        <v>68</v>
      </c>
      <c r="M6" s="30"/>
      <c r="N6" s="203" t="s">
        <v>3271</v>
      </c>
      <c r="O6" s="203">
        <v>68</v>
      </c>
      <c r="P6" s="30"/>
      <c r="Q6" s="203" t="s">
        <v>3271</v>
      </c>
      <c r="R6" s="203">
        <v>68</v>
      </c>
      <c r="S6" s="30"/>
      <c r="T6" s="203" t="s">
        <v>3270</v>
      </c>
      <c r="U6" s="203">
        <v>68</v>
      </c>
    </row>
    <row r="7" spans="1:21">
      <c r="A7" s="203" t="s">
        <v>3279</v>
      </c>
      <c r="B7" s="203" t="s">
        <v>3280</v>
      </c>
      <c r="C7" s="203" t="s">
        <v>3281</v>
      </c>
      <c r="D7" s="203" t="s">
        <v>3281</v>
      </c>
      <c r="E7" s="203" t="s">
        <v>3282</v>
      </c>
      <c r="H7" s="203" t="s">
        <v>3271</v>
      </c>
      <c r="I7" s="203">
        <v>84</v>
      </c>
      <c r="J7" s="30"/>
      <c r="K7" s="203" t="s">
        <v>3264</v>
      </c>
      <c r="L7" s="203">
        <v>84</v>
      </c>
      <c r="M7" s="30"/>
      <c r="N7" s="203" t="s">
        <v>3272</v>
      </c>
      <c r="O7" s="203">
        <v>84</v>
      </c>
      <c r="P7" s="30"/>
      <c r="Q7" s="203" t="s">
        <v>3261</v>
      </c>
      <c r="R7" s="203">
        <v>84</v>
      </c>
      <c r="S7" s="30"/>
      <c r="T7" s="203" t="s">
        <v>3263</v>
      </c>
      <c r="U7" s="203">
        <v>84</v>
      </c>
    </row>
    <row r="8" spans="1:21">
      <c r="A8" s="203" t="s">
        <v>3283</v>
      </c>
      <c r="B8" s="203" t="s">
        <v>3284</v>
      </c>
      <c r="C8" s="203" t="s">
        <v>3285</v>
      </c>
      <c r="D8" s="203" t="s">
        <v>3284</v>
      </c>
      <c r="E8" s="203" t="s">
        <v>3286</v>
      </c>
      <c r="H8" s="203" t="s">
        <v>3287</v>
      </c>
      <c r="I8" s="203">
        <v>192</v>
      </c>
      <c r="J8" s="30"/>
      <c r="K8" s="203" t="s">
        <v>3288</v>
      </c>
      <c r="L8" s="203">
        <v>192</v>
      </c>
      <c r="M8" s="30"/>
      <c r="N8" s="203" t="s">
        <v>3289</v>
      </c>
      <c r="O8" s="203">
        <v>192</v>
      </c>
      <c r="P8" s="30"/>
      <c r="Q8" s="203" t="s">
        <v>3290</v>
      </c>
      <c r="R8" s="203">
        <v>192</v>
      </c>
      <c r="S8" s="30"/>
      <c r="T8" s="203" t="s">
        <v>3287</v>
      </c>
      <c r="U8" s="203">
        <v>192</v>
      </c>
    </row>
    <row r="9" spans="1:21">
      <c r="A9" s="203" t="s">
        <v>3291</v>
      </c>
      <c r="B9" s="203" t="s">
        <v>3292</v>
      </c>
      <c r="C9" s="203" t="s">
        <v>3293</v>
      </c>
      <c r="D9" s="203" t="s">
        <v>3294</v>
      </c>
      <c r="E9" s="203" t="s">
        <v>3295</v>
      </c>
      <c r="H9" s="203" t="s">
        <v>3296</v>
      </c>
      <c r="I9" s="203">
        <v>324</v>
      </c>
      <c r="J9" s="30"/>
      <c r="K9" s="203" t="s">
        <v>3297</v>
      </c>
      <c r="L9" s="203">
        <v>324</v>
      </c>
      <c r="M9" s="30"/>
      <c r="N9" s="203" t="s">
        <v>3296</v>
      </c>
      <c r="O9" s="203">
        <v>324</v>
      </c>
      <c r="P9" s="30"/>
      <c r="Q9" s="203" t="s">
        <v>3298</v>
      </c>
      <c r="R9" s="203">
        <v>324</v>
      </c>
      <c r="S9" s="30"/>
      <c r="T9" s="203" t="s">
        <v>3299</v>
      </c>
      <c r="U9" s="203">
        <v>324</v>
      </c>
    </row>
    <row r="10" spans="1:21">
      <c r="A10" s="203"/>
      <c r="B10" s="203"/>
      <c r="C10" s="203"/>
      <c r="D10" s="203"/>
      <c r="E10" s="203"/>
      <c r="H10" s="203" t="s">
        <v>3289</v>
      </c>
      <c r="I10" s="203">
        <v>257</v>
      </c>
      <c r="J10" s="30"/>
      <c r="K10" s="203" t="s">
        <v>3298</v>
      </c>
      <c r="L10" s="203">
        <v>257</v>
      </c>
      <c r="M10" s="30"/>
      <c r="N10" s="203" t="s">
        <v>3288</v>
      </c>
      <c r="O10" s="203">
        <v>257</v>
      </c>
      <c r="P10" s="30"/>
      <c r="Q10" s="203" t="s">
        <v>3299</v>
      </c>
      <c r="R10" s="203">
        <v>257</v>
      </c>
      <c r="S10" s="30"/>
      <c r="T10" s="203" t="s">
        <v>3290</v>
      </c>
      <c r="U10" s="203">
        <v>257</v>
      </c>
    </row>
    <row r="11" spans="1:21">
      <c r="A11" s="203" t="s">
        <v>3300</v>
      </c>
      <c r="B11" s="203" t="s">
        <v>3301</v>
      </c>
      <c r="C11" s="203" t="s">
        <v>3302</v>
      </c>
      <c r="D11" s="203" t="s">
        <v>3303</v>
      </c>
      <c r="E11" s="203" t="s">
        <v>3304</v>
      </c>
      <c r="H11" s="203" t="s">
        <v>3297</v>
      </c>
      <c r="I11" s="203">
        <v>88</v>
      </c>
      <c r="J11" s="30"/>
      <c r="K11" s="203" t="s">
        <v>3290</v>
      </c>
      <c r="L11" s="203">
        <v>88</v>
      </c>
      <c r="M11" s="30"/>
      <c r="N11" s="203" t="s">
        <v>3298</v>
      </c>
      <c r="O11" s="203">
        <v>88</v>
      </c>
      <c r="P11" s="30"/>
      <c r="Q11" s="203" t="s">
        <v>3287</v>
      </c>
      <c r="R11" s="203">
        <v>88</v>
      </c>
      <c r="S11" s="30"/>
      <c r="T11" s="203" t="s">
        <v>3289</v>
      </c>
      <c r="U11" s="203">
        <v>88</v>
      </c>
    </row>
    <row r="12" spans="1:21">
      <c r="A12" s="203" t="s">
        <v>3305</v>
      </c>
      <c r="B12" s="203" t="s">
        <v>3306</v>
      </c>
      <c r="C12" s="203" t="s">
        <v>3307</v>
      </c>
      <c r="D12" s="203" t="s">
        <v>3308</v>
      </c>
      <c r="E12" s="203" t="s">
        <v>3309</v>
      </c>
      <c r="H12" s="203" t="s">
        <v>3288</v>
      </c>
      <c r="I12" s="203">
        <v>100</v>
      </c>
      <c r="J12" s="30"/>
      <c r="K12" s="203" t="s">
        <v>3299</v>
      </c>
      <c r="L12" s="203">
        <v>100</v>
      </c>
      <c r="M12" s="30"/>
      <c r="N12" s="203" t="s">
        <v>3297</v>
      </c>
      <c r="O12" s="203">
        <v>100</v>
      </c>
      <c r="P12" s="30"/>
      <c r="Q12" s="203" t="s">
        <v>3297</v>
      </c>
      <c r="R12" s="203">
        <v>100</v>
      </c>
      <c r="S12" s="30"/>
      <c r="T12" s="203" t="s">
        <v>3296</v>
      </c>
      <c r="U12" s="203">
        <v>100</v>
      </c>
    </row>
    <row r="13" spans="1:21">
      <c r="A13" s="203" t="s">
        <v>3310</v>
      </c>
      <c r="B13" s="203" t="s">
        <v>3311</v>
      </c>
      <c r="C13" s="203" t="s">
        <v>3311</v>
      </c>
      <c r="D13" s="203" t="s">
        <v>3312</v>
      </c>
      <c r="E13" s="203" t="s">
        <v>3313</v>
      </c>
      <c r="H13" s="203" t="s">
        <v>3314</v>
      </c>
      <c r="I13" s="203">
        <v>323</v>
      </c>
      <c r="J13" s="30"/>
      <c r="K13" s="203" t="s">
        <v>3315</v>
      </c>
      <c r="L13" s="203">
        <v>323</v>
      </c>
      <c r="M13" s="30"/>
      <c r="N13" s="203" t="s">
        <v>3316</v>
      </c>
      <c r="O13" s="203">
        <v>323</v>
      </c>
      <c r="P13" s="30"/>
      <c r="Q13" s="203" t="s">
        <v>3317</v>
      </c>
      <c r="R13" s="203">
        <v>323</v>
      </c>
      <c r="S13" s="30"/>
      <c r="T13" s="203" t="s">
        <v>3314</v>
      </c>
      <c r="U13" s="203">
        <v>323</v>
      </c>
    </row>
    <row r="14" spans="1:21">
      <c r="A14" s="203" t="s">
        <v>3318</v>
      </c>
      <c r="B14" s="203" t="s">
        <v>3319</v>
      </c>
      <c r="C14" s="203" t="s">
        <v>3320</v>
      </c>
      <c r="D14" s="203" t="s">
        <v>3321</v>
      </c>
      <c r="E14" s="203" t="s">
        <v>3322</v>
      </c>
      <c r="H14" s="203" t="s">
        <v>3323</v>
      </c>
      <c r="I14" s="203">
        <v>314</v>
      </c>
      <c r="J14" s="30"/>
      <c r="K14" s="203" t="s">
        <v>3324</v>
      </c>
      <c r="L14" s="203">
        <v>314</v>
      </c>
      <c r="M14" s="30"/>
      <c r="N14" s="203" t="s">
        <v>3323</v>
      </c>
      <c r="O14" s="203">
        <v>314</v>
      </c>
      <c r="P14" s="30"/>
      <c r="Q14" s="203" t="s">
        <v>3325</v>
      </c>
      <c r="R14" s="203">
        <v>314</v>
      </c>
      <c r="S14" s="30"/>
      <c r="T14" s="203" t="s">
        <v>3326</v>
      </c>
      <c r="U14" s="203">
        <v>314</v>
      </c>
    </row>
    <row r="15" spans="1:21">
      <c r="A15" s="203"/>
      <c r="B15" s="203"/>
      <c r="C15" s="203"/>
      <c r="D15" s="203"/>
      <c r="E15" s="203"/>
      <c r="H15" s="203" t="s">
        <v>3316</v>
      </c>
      <c r="I15" s="203">
        <v>248</v>
      </c>
      <c r="J15" s="30"/>
      <c r="K15" s="203" t="s">
        <v>3325</v>
      </c>
      <c r="L15" s="203">
        <v>248</v>
      </c>
      <c r="M15" s="30"/>
      <c r="N15" s="203" t="s">
        <v>3315</v>
      </c>
      <c r="O15" s="203">
        <v>248</v>
      </c>
      <c r="P15" s="30"/>
      <c r="Q15" s="203" t="s">
        <v>3326</v>
      </c>
      <c r="R15" s="203">
        <v>248</v>
      </c>
      <c r="S15" s="30"/>
      <c r="T15" s="203" t="s">
        <v>3317</v>
      </c>
      <c r="U15" s="203">
        <v>248</v>
      </c>
    </row>
    <row r="16" spans="1:21">
      <c r="A16" s="203" t="s">
        <v>3327</v>
      </c>
      <c r="B16" s="203" t="s">
        <v>3328</v>
      </c>
      <c r="C16" s="203" t="s">
        <v>3328</v>
      </c>
      <c r="D16" s="203" t="s">
        <v>3329</v>
      </c>
      <c r="E16" s="203" t="s">
        <v>3330</v>
      </c>
      <c r="H16" s="203" t="s">
        <v>3324</v>
      </c>
      <c r="I16" s="203">
        <v>108</v>
      </c>
      <c r="J16" s="30"/>
      <c r="K16" s="203" t="s">
        <v>3317</v>
      </c>
      <c r="L16" s="203">
        <v>108</v>
      </c>
      <c r="M16" s="30"/>
      <c r="N16" s="203" t="s">
        <v>3325</v>
      </c>
      <c r="O16" s="203">
        <v>108</v>
      </c>
      <c r="P16" s="30"/>
      <c r="Q16" s="203" t="s">
        <v>3314</v>
      </c>
      <c r="R16" s="203">
        <v>108</v>
      </c>
      <c r="S16" s="30"/>
      <c r="T16" s="203" t="s">
        <v>3316</v>
      </c>
      <c r="U16" s="203">
        <v>108</v>
      </c>
    </row>
    <row r="17" spans="1:21">
      <c r="A17" s="203" t="s">
        <v>3331</v>
      </c>
      <c r="B17" s="203" t="s">
        <v>3332</v>
      </c>
      <c r="C17" s="203" t="s">
        <v>3333</v>
      </c>
      <c r="D17" s="203" t="s">
        <v>3334</v>
      </c>
      <c r="E17" s="203" t="s">
        <v>3335</v>
      </c>
      <c r="H17" s="203" t="s">
        <v>3315</v>
      </c>
      <c r="I17" s="203">
        <v>100</v>
      </c>
      <c r="J17" s="30"/>
      <c r="K17" s="203" t="s">
        <v>3326</v>
      </c>
      <c r="L17" s="203">
        <v>100</v>
      </c>
      <c r="M17" s="30"/>
      <c r="N17" s="203" t="s">
        <v>3324</v>
      </c>
      <c r="O17" s="203">
        <v>100</v>
      </c>
      <c r="P17" s="30"/>
      <c r="Q17" s="203" t="s">
        <v>3324</v>
      </c>
      <c r="R17" s="203">
        <v>100</v>
      </c>
      <c r="S17" s="30"/>
      <c r="T17" s="203" t="s">
        <v>3323</v>
      </c>
      <c r="U17" s="203">
        <v>100</v>
      </c>
    </row>
    <row r="18" spans="1:21">
      <c r="A18" s="203" t="s">
        <v>3336</v>
      </c>
      <c r="B18" s="203" t="s">
        <v>3337</v>
      </c>
      <c r="C18" s="203" t="s">
        <v>3338</v>
      </c>
      <c r="D18" s="203" t="s">
        <v>3339</v>
      </c>
      <c r="E18" s="203" t="s">
        <v>3340</v>
      </c>
      <c r="H18" s="203" t="s">
        <v>1098</v>
      </c>
      <c r="I18" s="203">
        <v>171</v>
      </c>
      <c r="J18" s="30"/>
      <c r="K18" s="203" t="s">
        <v>1098</v>
      </c>
      <c r="L18" s="203">
        <v>171</v>
      </c>
      <c r="M18" s="30"/>
      <c r="N18" s="203" t="s">
        <v>1098</v>
      </c>
      <c r="O18" s="203">
        <v>171</v>
      </c>
      <c r="P18" s="30"/>
      <c r="Q18" s="203" t="s">
        <v>1098</v>
      </c>
      <c r="R18" s="203">
        <v>171</v>
      </c>
      <c r="S18" s="30"/>
      <c r="T18" s="203" t="s">
        <v>1098</v>
      </c>
      <c r="U18" s="203">
        <v>171</v>
      </c>
    </row>
    <row r="19" spans="1:21">
      <c r="A19" s="203" t="s">
        <v>3341</v>
      </c>
      <c r="B19" s="203" t="s">
        <v>3342</v>
      </c>
      <c r="C19" s="203" t="s">
        <v>3343</v>
      </c>
      <c r="D19" s="203" t="s">
        <v>3344</v>
      </c>
      <c r="E19" s="203" t="s">
        <v>3345</v>
      </c>
      <c r="H19" s="203" t="s">
        <v>1081</v>
      </c>
      <c r="I19" s="203">
        <v>254</v>
      </c>
      <c r="J19" s="30"/>
      <c r="K19" s="203" t="s">
        <v>1081</v>
      </c>
      <c r="L19" s="203">
        <v>254</v>
      </c>
      <c r="M19" s="30"/>
      <c r="N19" s="203" t="s">
        <v>1081</v>
      </c>
      <c r="O19" s="203">
        <v>254</v>
      </c>
      <c r="P19" s="30"/>
      <c r="Q19" s="203" t="s">
        <v>1081</v>
      </c>
      <c r="R19" s="203">
        <v>254</v>
      </c>
      <c r="S19" s="30"/>
      <c r="T19" s="203" t="s">
        <v>1081</v>
      </c>
      <c r="U19" s="203">
        <v>254</v>
      </c>
    </row>
    <row r="20" spans="1:21">
      <c r="A20" s="203" t="s">
        <v>3346</v>
      </c>
      <c r="B20" s="203" t="s">
        <v>3347</v>
      </c>
      <c r="C20" s="203" t="s">
        <v>3348</v>
      </c>
      <c r="D20" s="203" t="s">
        <v>3349</v>
      </c>
      <c r="E20" s="203" t="s">
        <v>3350</v>
      </c>
      <c r="H20" s="203" t="s">
        <v>1090</v>
      </c>
      <c r="I20" s="203">
        <v>365</v>
      </c>
      <c r="J20" s="30"/>
      <c r="K20" s="203" t="s">
        <v>1090</v>
      </c>
      <c r="L20" s="203">
        <v>365</v>
      </c>
      <c r="M20" s="30"/>
      <c r="N20" s="203" t="s">
        <v>1090</v>
      </c>
      <c r="O20" s="203">
        <v>365</v>
      </c>
      <c r="P20" s="30"/>
      <c r="Q20" s="203" t="s">
        <v>1090</v>
      </c>
      <c r="R20" s="203">
        <v>365</v>
      </c>
      <c r="S20" s="30"/>
      <c r="T20" s="203" t="s">
        <v>1090</v>
      </c>
      <c r="U20" s="203">
        <v>365</v>
      </c>
    </row>
    <row r="21" spans="1:21">
      <c r="A21" s="13"/>
      <c r="B21" s="13"/>
      <c r="C21" s="13"/>
      <c r="D21" s="13"/>
      <c r="E21" s="13"/>
      <c r="H21" s="203" t="s">
        <v>3351</v>
      </c>
      <c r="I21" s="203">
        <v>70</v>
      </c>
      <c r="J21" s="30"/>
      <c r="K21" s="203" t="s">
        <v>3352</v>
      </c>
      <c r="L21" s="203">
        <v>70</v>
      </c>
      <c r="M21" s="30"/>
      <c r="N21" s="203" t="s">
        <v>3353</v>
      </c>
      <c r="O21" s="203">
        <v>70</v>
      </c>
      <c r="P21" s="30"/>
      <c r="Q21" s="203" t="s">
        <v>3354</v>
      </c>
      <c r="R21" s="203">
        <v>70</v>
      </c>
      <c r="S21" s="30"/>
      <c r="T21" s="203" t="s">
        <v>3355</v>
      </c>
      <c r="U21" s="203">
        <v>70</v>
      </c>
    </row>
    <row r="22" spans="1:21">
      <c r="A22" s="204" t="s">
        <v>3356</v>
      </c>
      <c r="B22" s="205" t="s">
        <v>3357</v>
      </c>
      <c r="C22" s="205" t="s">
        <v>3358</v>
      </c>
      <c r="D22" s="205" t="s">
        <v>3359</v>
      </c>
      <c r="E22" s="13" t="s">
        <v>3360</v>
      </c>
    </row>
    <row r="23" spans="1:21">
      <c r="A23" s="203" t="s">
        <v>3361</v>
      </c>
      <c r="B23" s="205" t="s">
        <v>3362</v>
      </c>
      <c r="C23" s="205" t="s">
        <v>3363</v>
      </c>
      <c r="D23" s="205" t="s">
        <v>3364</v>
      </c>
      <c r="E23" s="13" t="s">
        <v>3365</v>
      </c>
    </row>
    <row r="24" spans="1:21">
      <c r="A24" s="203" t="s">
        <v>3366</v>
      </c>
      <c r="B24" s="205" t="s">
        <v>3367</v>
      </c>
      <c r="C24" s="205" t="s">
        <v>3368</v>
      </c>
      <c r="D24" s="205" t="s">
        <v>3369</v>
      </c>
      <c r="E24" s="13" t="s">
        <v>3370</v>
      </c>
    </row>
    <row r="25" spans="1:21">
      <c r="A25" s="203" t="s">
        <v>3371</v>
      </c>
      <c r="B25" s="205" t="s">
        <v>3372</v>
      </c>
      <c r="C25" s="205" t="s">
        <v>3373</v>
      </c>
      <c r="D25" s="205" t="s">
        <v>3373</v>
      </c>
      <c r="E25" s="13" t="s">
        <v>3374</v>
      </c>
    </row>
    <row r="26" spans="1:21">
      <c r="A26" s="203" t="s">
        <v>3375</v>
      </c>
      <c r="B26" s="205" t="s">
        <v>3376</v>
      </c>
      <c r="C26" s="205" t="s">
        <v>3377</v>
      </c>
      <c r="D26" s="205" t="s">
        <v>3378</v>
      </c>
      <c r="E26" s="13" t="s">
        <v>3379</v>
      </c>
    </row>
    <row r="27" spans="1:21">
      <c r="A27" s="13" t="s">
        <v>3380</v>
      </c>
      <c r="B27" s="205" t="s">
        <v>3381</v>
      </c>
      <c r="C27" s="205" t="s">
        <v>3382</v>
      </c>
      <c r="D27" s="205" t="s">
        <v>3383</v>
      </c>
      <c r="E27" s="13" t="s">
        <v>3384</v>
      </c>
    </row>
    <row r="28" spans="1:21">
      <c r="A28" s="13"/>
      <c r="B28" s="13"/>
      <c r="C28" s="13"/>
      <c r="D28" s="13"/>
      <c r="E28" s="13"/>
    </row>
    <row r="29" spans="1:21">
      <c r="A29" s="204" t="s">
        <v>3385</v>
      </c>
      <c r="B29" s="205" t="s">
        <v>3386</v>
      </c>
      <c r="C29" s="205" t="s">
        <v>3387</v>
      </c>
      <c r="D29" s="205" t="s">
        <v>3388</v>
      </c>
      <c r="E29" s="13" t="s">
        <v>3389</v>
      </c>
    </row>
    <row r="30" spans="1:21">
      <c r="A30" s="203" t="s">
        <v>3390</v>
      </c>
      <c r="B30" s="205" t="s">
        <v>3391</v>
      </c>
      <c r="C30" s="205" t="s">
        <v>3392</v>
      </c>
      <c r="D30" s="205" t="s">
        <v>3393</v>
      </c>
      <c r="E30" s="13" t="s">
        <v>3394</v>
      </c>
    </row>
    <row r="31" spans="1:21">
      <c r="A31" s="203" t="s">
        <v>3395</v>
      </c>
      <c r="B31" s="205" t="s">
        <v>3396</v>
      </c>
      <c r="C31" s="205" t="s">
        <v>3397</v>
      </c>
      <c r="D31" s="205" t="s">
        <v>3398</v>
      </c>
      <c r="E31" s="13" t="s">
        <v>3399</v>
      </c>
    </row>
    <row r="32" spans="1:21">
      <c r="A32" s="203" t="s">
        <v>3400</v>
      </c>
      <c r="B32" s="205" t="s">
        <v>3401</v>
      </c>
      <c r="C32" s="205" t="s">
        <v>3402</v>
      </c>
      <c r="D32" s="205" t="s">
        <v>3403</v>
      </c>
      <c r="E32" s="13" t="s">
        <v>3404</v>
      </c>
    </row>
    <row r="33" spans="1:5">
      <c r="A33" s="203" t="s">
        <v>3405</v>
      </c>
      <c r="B33" s="205" t="s">
        <v>3406</v>
      </c>
      <c r="C33" s="205" t="s">
        <v>3407</v>
      </c>
      <c r="D33" s="205" t="s">
        <v>3408</v>
      </c>
      <c r="E33" s="13" t="s">
        <v>3409</v>
      </c>
    </row>
    <row r="34" spans="1:5">
      <c r="A34" s="13" t="s">
        <v>3410</v>
      </c>
      <c r="B34" s="205" t="s">
        <v>3411</v>
      </c>
      <c r="C34" s="205" t="s">
        <v>3412</v>
      </c>
      <c r="D34" s="205" t="s">
        <v>3413</v>
      </c>
      <c r="E34" s="13" t="s">
        <v>3414</v>
      </c>
    </row>
    <row r="35" spans="1:5">
      <c r="A35" s="13"/>
      <c r="B35" s="13"/>
      <c r="C35" s="13"/>
      <c r="D35" s="13"/>
      <c r="E35" s="13"/>
    </row>
    <row r="36" spans="1:5">
      <c r="A36" s="204" t="s">
        <v>3415</v>
      </c>
      <c r="B36" s="205" t="s">
        <v>3416</v>
      </c>
      <c r="C36" s="205" t="s">
        <v>3417</v>
      </c>
      <c r="D36" s="205" t="s">
        <v>3417</v>
      </c>
      <c r="E36" s="13" t="s">
        <v>3418</v>
      </c>
    </row>
    <row r="37" spans="1:5">
      <c r="A37" s="203" t="s">
        <v>3419</v>
      </c>
      <c r="B37" s="205" t="s">
        <v>3420</v>
      </c>
      <c r="C37" s="205" t="s">
        <v>3421</v>
      </c>
      <c r="D37" s="205" t="s">
        <v>3421</v>
      </c>
      <c r="E37" s="13" t="s">
        <v>3422</v>
      </c>
    </row>
    <row r="38" spans="1:5">
      <c r="A38" s="203" t="s">
        <v>3423</v>
      </c>
      <c r="B38" s="205" t="s">
        <v>3424</v>
      </c>
      <c r="C38" s="205" t="s">
        <v>3425</v>
      </c>
      <c r="D38" s="205" t="s">
        <v>3426</v>
      </c>
      <c r="E38" s="13" t="s">
        <v>3427</v>
      </c>
    </row>
    <row r="39" spans="1:5">
      <c r="A39" s="203" t="s">
        <v>3428</v>
      </c>
      <c r="B39" s="205" t="s">
        <v>3429</v>
      </c>
      <c r="C39" s="205" t="s">
        <v>3430</v>
      </c>
      <c r="D39" s="205" t="s">
        <v>3431</v>
      </c>
      <c r="E39" s="13" t="s">
        <v>3432</v>
      </c>
    </row>
    <row r="40" spans="1:5">
      <c r="A40" s="203" t="s">
        <v>3433</v>
      </c>
      <c r="B40" s="205" t="s">
        <v>3434</v>
      </c>
      <c r="C40" s="205" t="s">
        <v>3435</v>
      </c>
      <c r="D40" s="205" t="s">
        <v>3435</v>
      </c>
      <c r="E40" s="13" t="s">
        <v>3436</v>
      </c>
    </row>
    <row r="41" spans="1:5">
      <c r="A41" s="13" t="s">
        <v>3437</v>
      </c>
      <c r="B41" s="205" t="s">
        <v>3438</v>
      </c>
      <c r="C41" s="205" t="s">
        <v>3439</v>
      </c>
      <c r="D41" s="205" t="s">
        <v>3440</v>
      </c>
      <c r="E41" s="13" t="s">
        <v>3441</v>
      </c>
    </row>
    <row r="42" spans="1:5">
      <c r="A42" s="13"/>
      <c r="B42" s="13"/>
      <c r="C42" s="13"/>
      <c r="D42" s="13"/>
      <c r="E42" s="13"/>
    </row>
    <row r="43" spans="1:5">
      <c r="A43" s="204" t="s">
        <v>3442</v>
      </c>
      <c r="B43" s="205" t="s">
        <v>3443</v>
      </c>
      <c r="C43" s="205" t="s">
        <v>3443</v>
      </c>
      <c r="D43" s="205" t="s">
        <v>3444</v>
      </c>
      <c r="E43" s="13" t="s">
        <v>3445</v>
      </c>
    </row>
    <row r="44" spans="1:5">
      <c r="A44" s="203" t="s">
        <v>3446</v>
      </c>
      <c r="B44" s="205" t="s">
        <v>3447</v>
      </c>
      <c r="C44" s="205" t="s">
        <v>3448</v>
      </c>
      <c r="D44" s="205" t="s">
        <v>3449</v>
      </c>
      <c r="E44" s="13" t="s">
        <v>3450</v>
      </c>
    </row>
    <row r="45" spans="1:5">
      <c r="A45" s="203" t="s">
        <v>3451</v>
      </c>
      <c r="B45" s="205" t="s">
        <v>3452</v>
      </c>
      <c r="C45" s="205" t="s">
        <v>3453</v>
      </c>
      <c r="D45" s="205" t="s">
        <v>3454</v>
      </c>
      <c r="E45" s="13" t="s">
        <v>3455</v>
      </c>
    </row>
    <row r="46" spans="1:5">
      <c r="A46" s="203" t="s">
        <v>3456</v>
      </c>
      <c r="B46" s="205" t="s">
        <v>3457</v>
      </c>
      <c r="C46" s="205" t="s">
        <v>3457</v>
      </c>
      <c r="D46" s="205" t="s">
        <v>3458</v>
      </c>
      <c r="E46" s="13" t="s">
        <v>3459</v>
      </c>
    </row>
    <row r="47" spans="1:5">
      <c r="A47" s="203" t="s">
        <v>3460</v>
      </c>
      <c r="B47" s="205" t="s">
        <v>3461</v>
      </c>
      <c r="C47" s="205" t="s">
        <v>3461</v>
      </c>
      <c r="D47" s="205" t="s">
        <v>3462</v>
      </c>
      <c r="E47" s="13" t="s">
        <v>3463</v>
      </c>
    </row>
    <row r="48" spans="1:5">
      <c r="A48" s="13" t="s">
        <v>3464</v>
      </c>
      <c r="B48" s="205" t="s">
        <v>3465</v>
      </c>
      <c r="C48" s="205" t="s">
        <v>3465</v>
      </c>
      <c r="D48" s="205" t="s">
        <v>3466</v>
      </c>
      <c r="E48" s="13" t="s">
        <v>3467</v>
      </c>
    </row>
    <row r="51" spans="1:5">
      <c r="A51" s="203" t="s">
        <v>3468</v>
      </c>
      <c r="B51" s="203"/>
      <c r="C51" s="203"/>
      <c r="D51" s="203"/>
      <c r="E51" s="203"/>
    </row>
    <row r="52" spans="1:5">
      <c r="A52" s="203" t="s">
        <v>3256</v>
      </c>
      <c r="B52" s="203" t="s">
        <v>3469</v>
      </c>
      <c r="C52" s="203" t="s">
        <v>3260</v>
      </c>
      <c r="D52" s="203" t="s">
        <v>3470</v>
      </c>
      <c r="E52" s="203" t="s">
        <v>3471</v>
      </c>
    </row>
    <row r="53" spans="1:5">
      <c r="A53" s="203"/>
      <c r="B53" s="203"/>
      <c r="C53" s="203"/>
      <c r="D53" s="203"/>
      <c r="E53" s="203"/>
    </row>
    <row r="54" spans="1:5">
      <c r="A54" s="203" t="s">
        <v>3265</v>
      </c>
      <c r="B54" s="203" t="s">
        <v>3269</v>
      </c>
      <c r="C54" s="203" t="s">
        <v>3472</v>
      </c>
      <c r="D54" s="203" t="s">
        <v>3267</v>
      </c>
      <c r="E54" s="203" t="s">
        <v>3473</v>
      </c>
    </row>
    <row r="55" spans="1:5">
      <c r="A55" s="203" t="s">
        <v>3274</v>
      </c>
      <c r="B55" s="203" t="s">
        <v>3474</v>
      </c>
      <c r="C55" s="203" t="s">
        <v>3475</v>
      </c>
      <c r="D55" s="203" t="s">
        <v>3476</v>
      </c>
      <c r="E55" s="203" t="s">
        <v>3278</v>
      </c>
    </row>
    <row r="56" spans="1:5">
      <c r="A56" s="203"/>
      <c r="B56" s="203"/>
      <c r="C56" s="203"/>
      <c r="D56" s="203"/>
      <c r="E56" s="203"/>
    </row>
    <row r="57" spans="1:5">
      <c r="A57" s="203" t="s">
        <v>3279</v>
      </c>
      <c r="B57" s="203" t="s">
        <v>3477</v>
      </c>
      <c r="C57" s="203" t="s">
        <v>3478</v>
      </c>
      <c r="D57" s="203" t="s">
        <v>3478</v>
      </c>
      <c r="E57" s="203" t="s">
        <v>3282</v>
      </c>
    </row>
    <row r="58" spans="1:5">
      <c r="A58" s="203" t="s">
        <v>3283</v>
      </c>
      <c r="B58" s="203" t="s">
        <v>3479</v>
      </c>
      <c r="C58" s="203" t="s">
        <v>3480</v>
      </c>
      <c r="D58" s="203" t="s">
        <v>3479</v>
      </c>
      <c r="E58" s="203" t="s">
        <v>3286</v>
      </c>
    </row>
    <row r="59" spans="1:5">
      <c r="A59" s="203" t="s">
        <v>3291</v>
      </c>
      <c r="B59" s="203" t="s">
        <v>3481</v>
      </c>
      <c r="C59" s="203" t="s">
        <v>3482</v>
      </c>
      <c r="D59" s="203" t="s">
        <v>3483</v>
      </c>
      <c r="E59" s="203" t="s">
        <v>3295</v>
      </c>
    </row>
    <row r="60" spans="1:5">
      <c r="A60" s="203"/>
      <c r="B60" s="203"/>
      <c r="C60" s="203"/>
      <c r="D60" s="203"/>
      <c r="E60" s="203"/>
    </row>
    <row r="61" spans="1:5">
      <c r="A61" s="203" t="s">
        <v>3300</v>
      </c>
      <c r="B61" s="203" t="s">
        <v>3484</v>
      </c>
      <c r="C61" s="203" t="s">
        <v>3485</v>
      </c>
      <c r="D61" s="203" t="s">
        <v>3486</v>
      </c>
      <c r="E61" s="203" t="s">
        <v>3304</v>
      </c>
    </row>
    <row r="62" spans="1:5">
      <c r="A62" s="203" t="s">
        <v>3305</v>
      </c>
      <c r="B62" s="203" t="s">
        <v>3487</v>
      </c>
      <c r="C62" s="203" t="s">
        <v>3488</v>
      </c>
      <c r="D62" s="203" t="s">
        <v>3489</v>
      </c>
      <c r="E62" s="203" t="s">
        <v>3309</v>
      </c>
    </row>
    <row r="63" spans="1:5">
      <c r="A63" s="203" t="s">
        <v>3310</v>
      </c>
      <c r="B63" s="203" t="s">
        <v>3490</v>
      </c>
      <c r="C63" s="203" t="s">
        <v>3490</v>
      </c>
      <c r="D63" s="203" t="s">
        <v>3491</v>
      </c>
      <c r="E63" s="203" t="s">
        <v>3313</v>
      </c>
    </row>
    <row r="64" spans="1:5">
      <c r="A64" s="203" t="s">
        <v>3318</v>
      </c>
      <c r="B64" s="203" t="s">
        <v>3492</v>
      </c>
      <c r="C64" s="203" t="s">
        <v>3493</v>
      </c>
      <c r="D64" s="203" t="s">
        <v>3494</v>
      </c>
      <c r="E64" s="203" t="s">
        <v>3322</v>
      </c>
    </row>
    <row r="65" spans="1:5">
      <c r="A65" s="203"/>
      <c r="B65" s="203"/>
      <c r="C65" s="203"/>
      <c r="D65" s="203"/>
      <c r="E65" s="203"/>
    </row>
    <row r="66" spans="1:5">
      <c r="A66" s="203" t="s">
        <v>3327</v>
      </c>
      <c r="B66" s="203" t="s">
        <v>3495</v>
      </c>
      <c r="C66" s="203" t="s">
        <v>3495</v>
      </c>
      <c r="D66" s="203" t="s">
        <v>3496</v>
      </c>
      <c r="E66" s="203" t="s">
        <v>3330</v>
      </c>
    </row>
    <row r="67" spans="1:5">
      <c r="A67" s="203" t="s">
        <v>3331</v>
      </c>
      <c r="B67" s="203" t="s">
        <v>3497</v>
      </c>
      <c r="C67" s="203" t="s">
        <v>3498</v>
      </c>
      <c r="D67" s="203" t="s">
        <v>3499</v>
      </c>
      <c r="E67" s="203" t="s">
        <v>3335</v>
      </c>
    </row>
    <row r="68" spans="1:5">
      <c r="A68" s="203" t="s">
        <v>3336</v>
      </c>
      <c r="B68" s="203" t="s">
        <v>3500</v>
      </c>
      <c r="C68" s="203" t="s">
        <v>3501</v>
      </c>
      <c r="D68" s="203" t="s">
        <v>3502</v>
      </c>
      <c r="E68" s="203" t="s">
        <v>3340</v>
      </c>
    </row>
    <row r="69" spans="1:5">
      <c r="A69" s="203" t="s">
        <v>3341</v>
      </c>
      <c r="B69" s="203" t="s">
        <v>3503</v>
      </c>
      <c r="C69" s="203" t="s">
        <v>3504</v>
      </c>
      <c r="D69" s="203" t="s">
        <v>3505</v>
      </c>
      <c r="E69" s="203" t="s">
        <v>3345</v>
      </c>
    </row>
    <row r="70" spans="1:5">
      <c r="A70" s="203" t="s">
        <v>3346</v>
      </c>
      <c r="B70" s="203" t="s">
        <v>3506</v>
      </c>
      <c r="C70" s="203" t="s">
        <v>3507</v>
      </c>
      <c r="D70" s="203" t="s">
        <v>3508</v>
      </c>
      <c r="E70" s="203" t="s">
        <v>3350</v>
      </c>
    </row>
    <row r="71" spans="1:5">
      <c r="A71" s="13"/>
      <c r="B71" s="13"/>
      <c r="C71" s="13"/>
      <c r="D71" s="13"/>
      <c r="E71" s="13"/>
    </row>
    <row r="72" spans="1:5">
      <c r="A72" s="204" t="s">
        <v>3356</v>
      </c>
      <c r="B72" s="205" t="s">
        <v>3509</v>
      </c>
      <c r="C72" s="205" t="s">
        <v>3510</v>
      </c>
      <c r="D72" s="205" t="s">
        <v>3511</v>
      </c>
      <c r="E72" s="13" t="s">
        <v>3360</v>
      </c>
    </row>
    <row r="73" spans="1:5">
      <c r="A73" s="203" t="s">
        <v>3361</v>
      </c>
      <c r="B73" s="205" t="s">
        <v>3512</v>
      </c>
      <c r="C73" s="205" t="s">
        <v>3513</v>
      </c>
      <c r="D73" s="205" t="s">
        <v>3514</v>
      </c>
      <c r="E73" s="13" t="s">
        <v>3365</v>
      </c>
    </row>
    <row r="74" spans="1:5">
      <c r="A74" s="203" t="s">
        <v>3366</v>
      </c>
      <c r="B74" s="205" t="s">
        <v>3515</v>
      </c>
      <c r="C74" s="205" t="s">
        <v>3516</v>
      </c>
      <c r="D74" s="205" t="s">
        <v>3517</v>
      </c>
      <c r="E74" s="13" t="s">
        <v>3370</v>
      </c>
    </row>
    <row r="75" spans="1:5">
      <c r="A75" s="203" t="s">
        <v>3371</v>
      </c>
      <c r="B75" s="205" t="s">
        <v>3518</v>
      </c>
      <c r="C75" s="205" t="s">
        <v>3519</v>
      </c>
      <c r="D75" s="205" t="s">
        <v>3519</v>
      </c>
      <c r="E75" s="13" t="s">
        <v>3374</v>
      </c>
    </row>
    <row r="76" spans="1:5">
      <c r="A76" s="203" t="s">
        <v>3375</v>
      </c>
      <c r="B76" s="205" t="s">
        <v>3520</v>
      </c>
      <c r="C76" s="205" t="s">
        <v>3521</v>
      </c>
      <c r="D76" s="205" t="s">
        <v>3522</v>
      </c>
      <c r="E76" s="13" t="s">
        <v>3379</v>
      </c>
    </row>
    <row r="77" spans="1:5">
      <c r="A77" s="13" t="s">
        <v>3380</v>
      </c>
      <c r="B77" s="205" t="s">
        <v>3523</v>
      </c>
      <c r="C77" s="205" t="s">
        <v>3524</v>
      </c>
      <c r="D77" s="205" t="s">
        <v>3525</v>
      </c>
      <c r="E77" s="13" t="s">
        <v>3384</v>
      </c>
    </row>
    <row r="78" spans="1:5">
      <c r="A78" s="13"/>
      <c r="B78" s="13"/>
      <c r="C78" s="13"/>
      <c r="D78" s="13"/>
      <c r="E78" s="13"/>
    </row>
    <row r="79" spans="1:5">
      <c r="A79" s="204" t="s">
        <v>3385</v>
      </c>
      <c r="B79" s="205" t="s">
        <v>3526</v>
      </c>
      <c r="C79" s="205" t="s">
        <v>3527</v>
      </c>
      <c r="D79" s="205" t="s">
        <v>3528</v>
      </c>
      <c r="E79" s="13" t="s">
        <v>3389</v>
      </c>
    </row>
    <row r="80" spans="1:5">
      <c r="A80" s="203" t="s">
        <v>3390</v>
      </c>
      <c r="B80" s="205" t="s">
        <v>3529</v>
      </c>
      <c r="C80" s="205" t="s">
        <v>3530</v>
      </c>
      <c r="D80" s="205" t="s">
        <v>3531</v>
      </c>
      <c r="E80" s="13" t="s">
        <v>3394</v>
      </c>
    </row>
    <row r="81" spans="1:5">
      <c r="A81" s="203" t="s">
        <v>3395</v>
      </c>
      <c r="B81" s="205" t="s">
        <v>3532</v>
      </c>
      <c r="C81" s="205" t="s">
        <v>3533</v>
      </c>
      <c r="D81" s="205" t="s">
        <v>3534</v>
      </c>
      <c r="E81" s="13" t="s">
        <v>3399</v>
      </c>
    </row>
    <row r="82" spans="1:5">
      <c r="A82" s="203" t="s">
        <v>3400</v>
      </c>
      <c r="B82" s="205" t="s">
        <v>3535</v>
      </c>
      <c r="C82" s="205" t="s">
        <v>3536</v>
      </c>
      <c r="D82" s="205" t="s">
        <v>3537</v>
      </c>
      <c r="E82" s="13" t="s">
        <v>3404</v>
      </c>
    </row>
    <row r="83" spans="1:5">
      <c r="A83" s="203" t="s">
        <v>3405</v>
      </c>
      <c r="B83" s="205" t="s">
        <v>3538</v>
      </c>
      <c r="C83" s="205" t="s">
        <v>3539</v>
      </c>
      <c r="D83" s="205" t="s">
        <v>3540</v>
      </c>
      <c r="E83" s="13" t="s">
        <v>3409</v>
      </c>
    </row>
    <row r="84" spans="1:5">
      <c r="A84" s="13" t="s">
        <v>3410</v>
      </c>
      <c r="B84" s="205" t="s">
        <v>3541</v>
      </c>
      <c r="C84" s="205" t="s">
        <v>3542</v>
      </c>
      <c r="D84" s="205" t="s">
        <v>3543</v>
      </c>
      <c r="E84" s="13" t="s">
        <v>3414</v>
      </c>
    </row>
    <row r="85" spans="1:5">
      <c r="A85" s="13"/>
      <c r="B85" s="13"/>
      <c r="C85" s="13"/>
      <c r="D85" s="13"/>
      <c r="E85" s="13"/>
    </row>
    <row r="86" spans="1:5">
      <c r="A86" s="204" t="s">
        <v>3415</v>
      </c>
      <c r="B86" s="205" t="s">
        <v>3544</v>
      </c>
      <c r="C86" s="205" t="s">
        <v>3545</v>
      </c>
      <c r="D86" s="205" t="s">
        <v>3545</v>
      </c>
      <c r="E86" s="13" t="s">
        <v>3418</v>
      </c>
    </row>
    <row r="87" spans="1:5">
      <c r="A87" s="203" t="s">
        <v>3419</v>
      </c>
      <c r="B87" s="205" t="s">
        <v>3546</v>
      </c>
      <c r="C87" s="205" t="s">
        <v>3547</v>
      </c>
      <c r="D87" s="205" t="s">
        <v>3547</v>
      </c>
      <c r="E87" s="13" t="s">
        <v>3422</v>
      </c>
    </row>
    <row r="88" spans="1:5">
      <c r="A88" s="203" t="s">
        <v>3423</v>
      </c>
      <c r="B88" s="205" t="s">
        <v>3548</v>
      </c>
      <c r="C88" s="205" t="s">
        <v>3549</v>
      </c>
      <c r="D88" s="205" t="s">
        <v>3550</v>
      </c>
      <c r="E88" s="13" t="s">
        <v>3427</v>
      </c>
    </row>
    <row r="89" spans="1:5">
      <c r="A89" s="203" t="s">
        <v>3428</v>
      </c>
      <c r="B89" s="205" t="s">
        <v>3551</v>
      </c>
      <c r="C89" s="205" t="s">
        <v>3552</v>
      </c>
      <c r="D89" s="205" t="s">
        <v>3553</v>
      </c>
      <c r="E89" s="13" t="s">
        <v>3432</v>
      </c>
    </row>
    <row r="90" spans="1:5">
      <c r="A90" s="203" t="s">
        <v>3433</v>
      </c>
      <c r="B90" s="205" t="s">
        <v>3554</v>
      </c>
      <c r="C90" s="205" t="s">
        <v>3555</v>
      </c>
      <c r="D90" s="205" t="s">
        <v>3555</v>
      </c>
      <c r="E90" s="13" t="s">
        <v>3436</v>
      </c>
    </row>
    <row r="91" spans="1:5">
      <c r="A91" s="13" t="s">
        <v>3437</v>
      </c>
      <c r="B91" s="205" t="s">
        <v>3556</v>
      </c>
      <c r="C91" s="205" t="s">
        <v>3557</v>
      </c>
      <c r="D91" s="205" t="s">
        <v>3558</v>
      </c>
      <c r="E91" s="13" t="s">
        <v>3441</v>
      </c>
    </row>
    <row r="92" spans="1:5">
      <c r="A92" s="13"/>
      <c r="B92" s="13"/>
      <c r="C92" s="13"/>
      <c r="D92" s="13"/>
      <c r="E92" s="13"/>
    </row>
    <row r="93" spans="1:5">
      <c r="A93" s="204" t="s">
        <v>3442</v>
      </c>
      <c r="B93" s="205" t="s">
        <v>3559</v>
      </c>
      <c r="C93" s="205" t="s">
        <v>3560</v>
      </c>
      <c r="D93" s="205" t="s">
        <v>3561</v>
      </c>
      <c r="E93" s="13" t="s">
        <v>3445</v>
      </c>
    </row>
    <row r="94" spans="1:5">
      <c r="A94" s="203" t="s">
        <v>3446</v>
      </c>
      <c r="B94" s="205" t="s">
        <v>3562</v>
      </c>
      <c r="C94" s="205" t="s">
        <v>3449</v>
      </c>
      <c r="D94" s="205" t="s">
        <v>3563</v>
      </c>
      <c r="E94" s="13" t="s">
        <v>3450</v>
      </c>
    </row>
    <row r="95" spans="1:5">
      <c r="A95" s="203" t="s">
        <v>3451</v>
      </c>
      <c r="B95" s="205" t="s">
        <v>3564</v>
      </c>
      <c r="C95" s="205" t="s">
        <v>3565</v>
      </c>
      <c r="D95" s="205" t="s">
        <v>3566</v>
      </c>
      <c r="E95" s="13" t="s">
        <v>3455</v>
      </c>
    </row>
    <row r="96" spans="1:5">
      <c r="A96" s="203" t="s">
        <v>3456</v>
      </c>
      <c r="B96" s="205" t="s">
        <v>3567</v>
      </c>
      <c r="C96" s="205" t="s">
        <v>3567</v>
      </c>
      <c r="D96" s="205" t="s">
        <v>3568</v>
      </c>
      <c r="E96" s="13" t="s">
        <v>3459</v>
      </c>
    </row>
    <row r="97" spans="1:5">
      <c r="A97" s="203" t="s">
        <v>3460</v>
      </c>
      <c r="B97" s="205" t="s">
        <v>3569</v>
      </c>
      <c r="C97" s="205" t="s">
        <v>3569</v>
      </c>
      <c r="D97" s="205" t="s">
        <v>3570</v>
      </c>
      <c r="E97" s="13" t="s">
        <v>3463</v>
      </c>
    </row>
    <row r="98" spans="1:5">
      <c r="A98" s="13" t="s">
        <v>3464</v>
      </c>
      <c r="B98" s="205" t="s">
        <v>3571</v>
      </c>
      <c r="C98" s="205" t="s">
        <v>3571</v>
      </c>
      <c r="D98" s="205" t="s">
        <v>3572</v>
      </c>
      <c r="E98" s="13" t="s">
        <v>3467</v>
      </c>
    </row>
    <row r="101" spans="1:5">
      <c r="A101" s="203" t="s">
        <v>3573</v>
      </c>
      <c r="B101" s="203"/>
      <c r="C101" s="203"/>
      <c r="D101" s="203"/>
      <c r="E101" s="203"/>
    </row>
    <row r="102" spans="1:5">
      <c r="A102" s="203" t="s">
        <v>3256</v>
      </c>
      <c r="B102" s="203" t="s">
        <v>3259</v>
      </c>
      <c r="C102" s="203" t="s">
        <v>3258</v>
      </c>
      <c r="D102" s="203" t="s">
        <v>3469</v>
      </c>
      <c r="E102" s="203" t="s">
        <v>3260</v>
      </c>
    </row>
    <row r="103" spans="1:5">
      <c r="A103" s="203"/>
      <c r="B103" s="203"/>
      <c r="C103" s="203"/>
      <c r="D103" s="203"/>
      <c r="E103" s="203"/>
    </row>
    <row r="104" spans="1:5">
      <c r="A104" s="203" t="s">
        <v>3265</v>
      </c>
      <c r="B104" s="203" t="s">
        <v>3266</v>
      </c>
      <c r="C104" s="203" t="s">
        <v>3267</v>
      </c>
      <c r="D104" s="203" t="s">
        <v>3268</v>
      </c>
      <c r="E104" s="203" t="s">
        <v>3472</v>
      </c>
    </row>
    <row r="105" spans="1:5">
      <c r="A105" s="203" t="s">
        <v>3274</v>
      </c>
      <c r="B105" s="203" t="s">
        <v>3475</v>
      </c>
      <c r="C105" s="203" t="s">
        <v>3275</v>
      </c>
      <c r="D105" s="203" t="s">
        <v>3277</v>
      </c>
      <c r="E105" s="203" t="s">
        <v>3278</v>
      </c>
    </row>
    <row r="106" spans="1:5">
      <c r="A106" s="203"/>
      <c r="B106" s="203"/>
      <c r="C106" s="203"/>
      <c r="D106" s="203"/>
      <c r="E106" s="203"/>
    </row>
    <row r="107" spans="1:5">
      <c r="A107" s="203" t="s">
        <v>3279</v>
      </c>
      <c r="B107" s="203" t="s">
        <v>3478</v>
      </c>
      <c r="C107" s="203" t="s">
        <v>3281</v>
      </c>
      <c r="D107" s="203" t="s">
        <v>3281</v>
      </c>
      <c r="E107" s="203" t="s">
        <v>3282</v>
      </c>
    </row>
    <row r="108" spans="1:5">
      <c r="A108" s="203" t="s">
        <v>3283</v>
      </c>
      <c r="B108" s="203" t="s">
        <v>3285</v>
      </c>
      <c r="C108" s="203" t="s">
        <v>3479</v>
      </c>
      <c r="D108" s="203" t="s">
        <v>3285</v>
      </c>
      <c r="E108" s="203" t="s">
        <v>3286</v>
      </c>
    </row>
    <row r="109" spans="1:5">
      <c r="A109" s="203" t="s">
        <v>3291</v>
      </c>
      <c r="B109" s="203" t="s">
        <v>3574</v>
      </c>
      <c r="C109" s="203" t="s">
        <v>3481</v>
      </c>
      <c r="D109" s="203" t="s">
        <v>3293</v>
      </c>
      <c r="E109" s="203" t="s">
        <v>3295</v>
      </c>
    </row>
    <row r="110" spans="1:5">
      <c r="A110" s="203"/>
      <c r="B110" s="203"/>
      <c r="C110" s="203"/>
      <c r="D110" s="203"/>
      <c r="E110" s="203"/>
    </row>
    <row r="111" spans="1:5">
      <c r="A111" s="203" t="s">
        <v>3300</v>
      </c>
      <c r="B111" s="203" t="s">
        <v>3485</v>
      </c>
      <c r="C111" s="203" t="s">
        <v>3301</v>
      </c>
      <c r="D111" s="203" t="s">
        <v>3575</v>
      </c>
      <c r="E111" s="203" t="s">
        <v>3304</v>
      </c>
    </row>
    <row r="112" spans="1:5">
      <c r="A112" s="203" t="s">
        <v>3305</v>
      </c>
      <c r="B112" s="203" t="s">
        <v>3576</v>
      </c>
      <c r="C112" s="203" t="s">
        <v>3577</v>
      </c>
      <c r="D112" s="203" t="s">
        <v>3308</v>
      </c>
      <c r="E112" s="203" t="s">
        <v>3309</v>
      </c>
    </row>
    <row r="113" spans="1:5">
      <c r="A113" s="203" t="s">
        <v>3310</v>
      </c>
      <c r="B113" s="203" t="s">
        <v>3578</v>
      </c>
      <c r="C113" s="203" t="s">
        <v>3578</v>
      </c>
      <c r="D113" s="203" t="s">
        <v>3579</v>
      </c>
      <c r="E113" s="203" t="s">
        <v>3313</v>
      </c>
    </row>
    <row r="114" spans="1:5">
      <c r="A114" s="203" t="s">
        <v>3318</v>
      </c>
      <c r="B114" s="203" t="s">
        <v>3320</v>
      </c>
      <c r="C114" s="203" t="s">
        <v>3492</v>
      </c>
      <c r="D114" s="203" t="s">
        <v>3580</v>
      </c>
      <c r="E114" s="203" t="s">
        <v>3322</v>
      </c>
    </row>
    <row r="115" spans="1:5">
      <c r="A115" s="203"/>
      <c r="B115" s="203"/>
      <c r="C115" s="203"/>
      <c r="D115" s="203"/>
      <c r="E115" s="203"/>
    </row>
    <row r="116" spans="1:5">
      <c r="A116" s="203" t="s">
        <v>3327</v>
      </c>
      <c r="B116" s="203" t="s">
        <v>3328</v>
      </c>
      <c r="C116" s="203" t="s">
        <v>3328</v>
      </c>
      <c r="D116" s="203" t="s">
        <v>3581</v>
      </c>
      <c r="E116" s="203" t="s">
        <v>3330</v>
      </c>
    </row>
    <row r="117" spans="1:5">
      <c r="A117" s="203" t="s">
        <v>3331</v>
      </c>
      <c r="B117" s="203" t="s">
        <v>3498</v>
      </c>
      <c r="C117" s="203" t="s">
        <v>3332</v>
      </c>
      <c r="D117" s="203" t="s">
        <v>3334</v>
      </c>
      <c r="E117" s="203" t="s">
        <v>3335</v>
      </c>
    </row>
    <row r="118" spans="1:5">
      <c r="A118" s="203" t="s">
        <v>3336</v>
      </c>
      <c r="B118" s="203" t="s">
        <v>3582</v>
      </c>
      <c r="C118" s="203" t="s">
        <v>3337</v>
      </c>
      <c r="D118" s="203" t="s">
        <v>3583</v>
      </c>
      <c r="E118" s="203" t="s">
        <v>3340</v>
      </c>
    </row>
    <row r="119" spans="1:5">
      <c r="A119" s="203" t="s">
        <v>3341</v>
      </c>
      <c r="B119" s="203" t="s">
        <v>3504</v>
      </c>
      <c r="C119" s="203" t="s">
        <v>3343</v>
      </c>
      <c r="D119" s="203" t="s">
        <v>3584</v>
      </c>
      <c r="E119" s="203" t="s">
        <v>3345</v>
      </c>
    </row>
    <row r="120" spans="1:5">
      <c r="A120" s="203" t="s">
        <v>3346</v>
      </c>
      <c r="B120" s="203" t="s">
        <v>3585</v>
      </c>
      <c r="C120" s="203" t="s">
        <v>3586</v>
      </c>
      <c r="D120" s="203" t="s">
        <v>3349</v>
      </c>
      <c r="E120" s="203" t="s">
        <v>3350</v>
      </c>
    </row>
    <row r="121" spans="1:5">
      <c r="A121" s="13"/>
      <c r="B121" s="13"/>
      <c r="C121" s="13"/>
      <c r="D121" s="13"/>
      <c r="E121" s="13"/>
    </row>
    <row r="122" spans="1:5">
      <c r="A122" s="204" t="s">
        <v>3356</v>
      </c>
      <c r="B122" s="205" t="s">
        <v>3357</v>
      </c>
      <c r="C122" s="205" t="s">
        <v>3511</v>
      </c>
      <c r="D122" s="205" t="s">
        <v>3358</v>
      </c>
      <c r="E122" s="13" t="s">
        <v>3360</v>
      </c>
    </row>
    <row r="123" spans="1:5">
      <c r="A123" s="203" t="s">
        <v>3361</v>
      </c>
      <c r="B123" s="205" t="s">
        <v>3587</v>
      </c>
      <c r="C123" s="205" t="s">
        <v>3363</v>
      </c>
      <c r="D123" s="13" t="s">
        <v>3588</v>
      </c>
      <c r="E123" s="13" t="s">
        <v>3365</v>
      </c>
    </row>
    <row r="124" spans="1:5">
      <c r="A124" s="203" t="s">
        <v>3366</v>
      </c>
      <c r="B124" s="205" t="s">
        <v>3589</v>
      </c>
      <c r="C124" s="205" t="s">
        <v>3517</v>
      </c>
      <c r="D124" s="205" t="s">
        <v>3590</v>
      </c>
      <c r="E124" s="13" t="s">
        <v>3370</v>
      </c>
    </row>
    <row r="125" spans="1:5">
      <c r="A125" s="203" t="s">
        <v>3371</v>
      </c>
      <c r="B125" s="205" t="s">
        <v>3591</v>
      </c>
      <c r="C125" s="205" t="s">
        <v>3373</v>
      </c>
      <c r="D125" s="205" t="s">
        <v>3373</v>
      </c>
      <c r="E125" s="13" t="s">
        <v>3374</v>
      </c>
    </row>
    <row r="126" spans="1:5">
      <c r="A126" s="203" t="s">
        <v>3375</v>
      </c>
      <c r="B126" s="205" t="s">
        <v>3376</v>
      </c>
      <c r="C126" s="205" t="s">
        <v>3522</v>
      </c>
      <c r="D126" s="205" t="s">
        <v>3377</v>
      </c>
      <c r="E126" s="13" t="s">
        <v>3379</v>
      </c>
    </row>
    <row r="127" spans="1:5">
      <c r="A127" s="13" t="s">
        <v>3380</v>
      </c>
      <c r="B127" s="205" t="s">
        <v>3592</v>
      </c>
      <c r="C127" s="205" t="s">
        <v>3593</v>
      </c>
      <c r="D127" s="205" t="s">
        <v>3594</v>
      </c>
      <c r="E127" s="13" t="s">
        <v>3384</v>
      </c>
    </row>
    <row r="128" spans="1:5">
      <c r="A128" s="13"/>
      <c r="B128" s="13"/>
      <c r="C128" s="13"/>
      <c r="D128" s="13"/>
      <c r="E128" s="13"/>
    </row>
    <row r="129" spans="1:5">
      <c r="A129" s="204" t="s">
        <v>3385</v>
      </c>
      <c r="B129" s="205" t="s">
        <v>3595</v>
      </c>
      <c r="C129" s="205" t="s">
        <v>3387</v>
      </c>
      <c r="D129" s="205" t="s">
        <v>3596</v>
      </c>
      <c r="E129" s="13" t="s">
        <v>3389</v>
      </c>
    </row>
    <row r="130" spans="1:5">
      <c r="A130" s="203" t="s">
        <v>3390</v>
      </c>
      <c r="B130" s="205" t="s">
        <v>3391</v>
      </c>
      <c r="C130" s="13" t="s">
        <v>3597</v>
      </c>
      <c r="D130" s="205" t="s">
        <v>3393</v>
      </c>
      <c r="E130" s="13" t="s">
        <v>3394</v>
      </c>
    </row>
    <row r="131" spans="1:5">
      <c r="A131" s="203" t="s">
        <v>3395</v>
      </c>
      <c r="B131" s="205" t="s">
        <v>3598</v>
      </c>
      <c r="C131" s="205" t="s">
        <v>3397</v>
      </c>
      <c r="D131" s="205" t="s">
        <v>3599</v>
      </c>
      <c r="E131" s="13" t="s">
        <v>3399</v>
      </c>
    </row>
    <row r="132" spans="1:5">
      <c r="A132" s="203" t="s">
        <v>3400</v>
      </c>
      <c r="B132" s="13" t="s">
        <v>3600</v>
      </c>
      <c r="C132" s="205" t="s">
        <v>3401</v>
      </c>
      <c r="D132" s="205" t="s">
        <v>3601</v>
      </c>
      <c r="E132" s="13" t="s">
        <v>3404</v>
      </c>
    </row>
    <row r="133" spans="1:5">
      <c r="A133" s="203" t="s">
        <v>3405</v>
      </c>
      <c r="B133" s="205" t="s">
        <v>3406</v>
      </c>
      <c r="C133" s="205" t="s">
        <v>3602</v>
      </c>
      <c r="D133" s="205" t="s">
        <v>3603</v>
      </c>
      <c r="E133" s="13" t="s">
        <v>3409</v>
      </c>
    </row>
    <row r="134" spans="1:5">
      <c r="A134" s="13" t="s">
        <v>3410</v>
      </c>
      <c r="B134" s="205" t="s">
        <v>3604</v>
      </c>
      <c r="C134" s="205" t="s">
        <v>3605</v>
      </c>
      <c r="D134" s="205" t="s">
        <v>3606</v>
      </c>
      <c r="E134" s="13" t="s">
        <v>3414</v>
      </c>
    </row>
    <row r="135" spans="1:5">
      <c r="A135" s="13"/>
      <c r="B135" s="13"/>
      <c r="C135" s="13"/>
      <c r="D135" s="13"/>
      <c r="E135" s="13"/>
    </row>
    <row r="136" spans="1:5">
      <c r="A136" s="204" t="s">
        <v>3415</v>
      </c>
      <c r="B136" s="205" t="s">
        <v>3416</v>
      </c>
      <c r="C136" s="205" t="s">
        <v>3417</v>
      </c>
      <c r="D136" s="205" t="s">
        <v>3417</v>
      </c>
      <c r="E136" s="13" t="s">
        <v>3418</v>
      </c>
    </row>
    <row r="137" spans="1:5">
      <c r="A137" s="203" t="s">
        <v>3419</v>
      </c>
      <c r="B137" s="205" t="s">
        <v>3607</v>
      </c>
      <c r="C137" s="205" t="s">
        <v>3608</v>
      </c>
      <c r="D137" s="205" t="s">
        <v>3609</v>
      </c>
      <c r="E137" s="13" t="s">
        <v>3422</v>
      </c>
    </row>
    <row r="138" spans="1:5">
      <c r="A138" s="203" t="s">
        <v>3423</v>
      </c>
      <c r="B138" s="205" t="s">
        <v>3610</v>
      </c>
      <c r="C138" s="205" t="s">
        <v>3611</v>
      </c>
      <c r="D138" s="13" t="s">
        <v>3612</v>
      </c>
      <c r="E138" s="13" t="s">
        <v>3427</v>
      </c>
    </row>
    <row r="139" spans="1:5">
      <c r="A139" s="203" t="s">
        <v>3428</v>
      </c>
      <c r="B139" s="205" t="s">
        <v>3429</v>
      </c>
      <c r="C139" s="205" t="s">
        <v>3613</v>
      </c>
      <c r="D139" s="205" t="s">
        <v>3614</v>
      </c>
      <c r="E139" s="13" t="s">
        <v>3432</v>
      </c>
    </row>
    <row r="140" spans="1:5">
      <c r="A140" s="203" t="s">
        <v>3433</v>
      </c>
      <c r="B140" s="205" t="s">
        <v>3615</v>
      </c>
      <c r="C140" s="205" t="s">
        <v>3435</v>
      </c>
      <c r="D140" s="205" t="s">
        <v>3435</v>
      </c>
      <c r="E140" s="13" t="s">
        <v>3436</v>
      </c>
    </row>
    <row r="141" spans="1:5">
      <c r="A141" s="13" t="s">
        <v>3437</v>
      </c>
      <c r="B141" s="205" t="s">
        <v>3439</v>
      </c>
      <c r="C141" s="205" t="s">
        <v>3556</v>
      </c>
      <c r="D141" s="205" t="s">
        <v>3616</v>
      </c>
      <c r="E141" s="13" t="s">
        <v>3441</v>
      </c>
    </row>
    <row r="142" spans="1:5">
      <c r="A142" s="13"/>
      <c r="B142" s="13"/>
      <c r="C142" s="13"/>
      <c r="D142" s="13"/>
      <c r="E142" s="13"/>
    </row>
    <row r="143" spans="1:5">
      <c r="A143" s="204" t="s">
        <v>3442</v>
      </c>
      <c r="B143" s="205" t="s">
        <v>3443</v>
      </c>
      <c r="C143" s="205" t="s">
        <v>3443</v>
      </c>
      <c r="D143" s="205" t="s">
        <v>3617</v>
      </c>
      <c r="E143" s="13" t="s">
        <v>3445</v>
      </c>
    </row>
    <row r="144" spans="1:5">
      <c r="A144" s="203" t="s">
        <v>3446</v>
      </c>
      <c r="B144" s="205" t="s">
        <v>3449</v>
      </c>
      <c r="C144" s="205" t="s">
        <v>3447</v>
      </c>
      <c r="D144" s="13" t="s">
        <v>3618</v>
      </c>
      <c r="E144" s="13" t="s">
        <v>3450</v>
      </c>
    </row>
    <row r="145" spans="1:5">
      <c r="A145" s="203" t="s">
        <v>3451</v>
      </c>
      <c r="B145" s="13" t="s">
        <v>3619</v>
      </c>
      <c r="C145" s="205" t="s">
        <v>3566</v>
      </c>
      <c r="D145" s="205" t="s">
        <v>3452</v>
      </c>
      <c r="E145" s="13" t="s">
        <v>3455</v>
      </c>
    </row>
    <row r="146" spans="1:5">
      <c r="A146" s="203" t="s">
        <v>3456</v>
      </c>
      <c r="B146" s="205" t="s">
        <v>3620</v>
      </c>
      <c r="C146" s="205" t="s">
        <v>3620</v>
      </c>
      <c r="D146" s="205" t="s">
        <v>3458</v>
      </c>
      <c r="E146" s="13" t="s">
        <v>3459</v>
      </c>
    </row>
    <row r="147" spans="1:5">
      <c r="A147" s="203" t="s">
        <v>3460</v>
      </c>
      <c r="B147" s="205" t="s">
        <v>3621</v>
      </c>
      <c r="C147" s="205" t="s">
        <v>3461</v>
      </c>
      <c r="D147" s="205" t="s">
        <v>3622</v>
      </c>
      <c r="E147" s="13" t="s">
        <v>3463</v>
      </c>
    </row>
    <row r="148" spans="1:5">
      <c r="A148" s="13" t="s">
        <v>3464</v>
      </c>
      <c r="B148" s="205" t="s">
        <v>3623</v>
      </c>
      <c r="C148" s="205" t="s">
        <v>3623</v>
      </c>
      <c r="D148" s="205" t="s">
        <v>3624</v>
      </c>
      <c r="E148" s="13" t="s">
        <v>3467</v>
      </c>
    </row>
    <row r="151" spans="1:5">
      <c r="A151" s="203" t="s">
        <v>3625</v>
      </c>
      <c r="B151" s="203"/>
      <c r="C151" s="203"/>
      <c r="D151" s="203"/>
      <c r="E151" s="203"/>
    </row>
    <row r="152" spans="1:5">
      <c r="A152" s="203" t="s">
        <v>3256</v>
      </c>
      <c r="B152" s="203" t="s">
        <v>3626</v>
      </c>
      <c r="C152" s="203" t="s">
        <v>3470</v>
      </c>
      <c r="D152" s="203" t="s">
        <v>3273</v>
      </c>
      <c r="E152" s="203" t="s">
        <v>3260</v>
      </c>
    </row>
    <row r="153" spans="1:5">
      <c r="A153" s="203"/>
      <c r="B153" s="203"/>
      <c r="C153" s="203"/>
      <c r="D153" s="203"/>
      <c r="E153" s="203"/>
    </row>
    <row r="154" spans="1:5">
      <c r="A154" s="203" t="s">
        <v>3265</v>
      </c>
      <c r="B154" s="203" t="s">
        <v>3472</v>
      </c>
      <c r="C154" s="203" t="s">
        <v>3627</v>
      </c>
      <c r="D154" s="203" t="s">
        <v>3473</v>
      </c>
      <c r="E154" s="203" t="s">
        <v>3628</v>
      </c>
    </row>
    <row r="155" spans="1:5">
      <c r="A155" s="203" t="s">
        <v>3274</v>
      </c>
      <c r="B155" s="203" t="s">
        <v>3629</v>
      </c>
      <c r="C155" s="203" t="s">
        <v>3630</v>
      </c>
      <c r="D155" s="203" t="s">
        <v>3474</v>
      </c>
      <c r="E155" s="203" t="s">
        <v>3278</v>
      </c>
    </row>
    <row r="156" spans="1:5">
      <c r="A156" s="203"/>
      <c r="B156" s="203"/>
      <c r="C156" s="203"/>
      <c r="D156" s="203"/>
      <c r="E156" s="203"/>
    </row>
    <row r="157" spans="1:5">
      <c r="A157" s="203" t="s">
        <v>3279</v>
      </c>
      <c r="B157" s="203" t="s">
        <v>3478</v>
      </c>
      <c r="C157" s="203" t="s">
        <v>3631</v>
      </c>
      <c r="D157" s="203" t="s">
        <v>3631</v>
      </c>
      <c r="E157" s="203" t="s">
        <v>3282</v>
      </c>
    </row>
    <row r="158" spans="1:5">
      <c r="A158" s="203" t="s">
        <v>3283</v>
      </c>
      <c r="B158" s="203" t="s">
        <v>3632</v>
      </c>
      <c r="C158" s="203" t="s">
        <v>3633</v>
      </c>
      <c r="D158" s="203" t="s">
        <v>3632</v>
      </c>
      <c r="E158" s="203" t="s">
        <v>3286</v>
      </c>
    </row>
    <row r="159" spans="1:5">
      <c r="A159" s="203" t="s">
        <v>3291</v>
      </c>
      <c r="B159" s="203" t="s">
        <v>3634</v>
      </c>
      <c r="C159" s="203" t="s">
        <v>3481</v>
      </c>
      <c r="D159" s="203" t="s">
        <v>3482</v>
      </c>
      <c r="E159" s="203" t="s">
        <v>3295</v>
      </c>
    </row>
    <row r="160" spans="1:5">
      <c r="A160" s="203"/>
      <c r="B160" s="203"/>
      <c r="C160" s="203"/>
      <c r="D160" s="203"/>
      <c r="E160" s="203"/>
    </row>
    <row r="161" spans="1:5">
      <c r="A161" s="203" t="s">
        <v>3300</v>
      </c>
      <c r="B161" s="203" t="s">
        <v>3635</v>
      </c>
      <c r="C161" s="203" t="s">
        <v>3636</v>
      </c>
      <c r="D161" s="203" t="s">
        <v>3637</v>
      </c>
      <c r="E161" s="203" t="s">
        <v>3304</v>
      </c>
    </row>
    <row r="162" spans="1:5">
      <c r="A162" s="203" t="s">
        <v>3305</v>
      </c>
      <c r="B162" s="203" t="s">
        <v>3307</v>
      </c>
      <c r="C162" s="203" t="s">
        <v>3487</v>
      </c>
      <c r="D162" s="203" t="s">
        <v>3638</v>
      </c>
      <c r="E162" s="203" t="s">
        <v>3309</v>
      </c>
    </row>
    <row r="163" spans="1:5">
      <c r="A163" s="203" t="s">
        <v>3310</v>
      </c>
      <c r="B163" s="203" t="s">
        <v>3639</v>
      </c>
      <c r="C163" s="203" t="s">
        <v>3639</v>
      </c>
      <c r="D163" s="203" t="s">
        <v>3640</v>
      </c>
      <c r="E163" s="203" t="s">
        <v>3313</v>
      </c>
    </row>
    <row r="164" spans="1:5">
      <c r="A164" s="203" t="s">
        <v>3318</v>
      </c>
      <c r="B164" s="203" t="s">
        <v>3641</v>
      </c>
      <c r="C164" s="203" t="s">
        <v>3642</v>
      </c>
      <c r="D164" s="203" t="s">
        <v>3643</v>
      </c>
      <c r="E164" s="203" t="s">
        <v>3322</v>
      </c>
    </row>
    <row r="165" spans="1:5">
      <c r="A165" s="203"/>
      <c r="B165" s="203"/>
      <c r="C165" s="203"/>
      <c r="D165" s="203"/>
      <c r="E165" s="203"/>
    </row>
    <row r="166" spans="1:5">
      <c r="A166" s="203" t="s">
        <v>3327</v>
      </c>
      <c r="B166" s="203" t="s">
        <v>3644</v>
      </c>
      <c r="C166" s="203" t="s">
        <v>3644</v>
      </c>
      <c r="D166" s="203" t="s">
        <v>3645</v>
      </c>
      <c r="E166" s="203" t="s">
        <v>3330</v>
      </c>
    </row>
    <row r="167" spans="1:5">
      <c r="A167" s="203" t="s">
        <v>3331</v>
      </c>
      <c r="B167" s="203" t="s">
        <v>3646</v>
      </c>
      <c r="C167" s="203" t="s">
        <v>3647</v>
      </c>
      <c r="D167" s="203" t="s">
        <v>3648</v>
      </c>
      <c r="E167" s="203" t="s">
        <v>3335</v>
      </c>
    </row>
    <row r="168" spans="1:5">
      <c r="A168" s="203" t="s">
        <v>3336</v>
      </c>
      <c r="B168" s="203" t="s">
        <v>3582</v>
      </c>
      <c r="C168" s="203" t="s">
        <v>3500</v>
      </c>
      <c r="D168" s="203" t="s">
        <v>3583</v>
      </c>
      <c r="E168" s="203" t="s">
        <v>3340</v>
      </c>
    </row>
    <row r="169" spans="1:5">
      <c r="A169" s="203" t="s">
        <v>3341</v>
      </c>
      <c r="B169" s="203" t="s">
        <v>3504</v>
      </c>
      <c r="C169" s="203" t="s">
        <v>3649</v>
      </c>
      <c r="D169" s="203" t="s">
        <v>3650</v>
      </c>
      <c r="E169" s="203" t="s">
        <v>3345</v>
      </c>
    </row>
    <row r="170" spans="1:5">
      <c r="A170" s="203" t="s">
        <v>3346</v>
      </c>
      <c r="B170" s="203" t="s">
        <v>3651</v>
      </c>
      <c r="C170" s="203" t="s">
        <v>3652</v>
      </c>
      <c r="D170" s="203" t="s">
        <v>3653</v>
      </c>
      <c r="E170" s="203" t="s">
        <v>3350</v>
      </c>
    </row>
    <row r="171" spans="1:5">
      <c r="A171" s="13"/>
      <c r="B171" s="13"/>
      <c r="C171" s="13"/>
      <c r="D171" s="13"/>
      <c r="E171" s="13"/>
    </row>
    <row r="172" spans="1:5">
      <c r="A172" s="204" t="s">
        <v>3356</v>
      </c>
      <c r="B172" s="13" t="s">
        <v>3654</v>
      </c>
      <c r="C172" s="13" t="s">
        <v>3655</v>
      </c>
      <c r="D172" s="13" t="s">
        <v>3656</v>
      </c>
      <c r="E172" s="13" t="s">
        <v>3360</v>
      </c>
    </row>
    <row r="173" spans="1:5">
      <c r="A173" s="203" t="s">
        <v>3361</v>
      </c>
      <c r="B173" s="13" t="s">
        <v>3657</v>
      </c>
      <c r="C173" s="13" t="s">
        <v>3658</v>
      </c>
      <c r="D173" s="13" t="s">
        <v>3588</v>
      </c>
      <c r="E173" s="13" t="s">
        <v>3365</v>
      </c>
    </row>
    <row r="174" spans="1:5">
      <c r="A174" s="203" t="s">
        <v>3366</v>
      </c>
      <c r="B174" s="13" t="s">
        <v>3659</v>
      </c>
      <c r="C174" s="13" t="s">
        <v>3660</v>
      </c>
      <c r="D174" s="13" t="s">
        <v>3661</v>
      </c>
      <c r="E174" s="13" t="s">
        <v>3370</v>
      </c>
    </row>
    <row r="175" spans="1:5">
      <c r="A175" s="203" t="s">
        <v>3371</v>
      </c>
      <c r="B175" s="13" t="s">
        <v>3662</v>
      </c>
      <c r="C175" s="13" t="s">
        <v>3663</v>
      </c>
      <c r="D175" s="13" t="s">
        <v>3663</v>
      </c>
      <c r="E175" s="13" t="s">
        <v>3374</v>
      </c>
    </row>
    <row r="176" spans="1:5">
      <c r="A176" s="203" t="s">
        <v>3375</v>
      </c>
      <c r="B176" s="13" t="s">
        <v>3664</v>
      </c>
      <c r="C176" s="13" t="s">
        <v>3665</v>
      </c>
      <c r="D176" s="13" t="s">
        <v>3666</v>
      </c>
      <c r="E176" s="13" t="s">
        <v>3379</v>
      </c>
    </row>
    <row r="177" spans="1:5">
      <c r="A177" s="13" t="s">
        <v>3380</v>
      </c>
      <c r="B177" s="13" t="s">
        <v>3667</v>
      </c>
      <c r="C177" s="13" t="s">
        <v>3668</v>
      </c>
      <c r="D177" s="13" t="s">
        <v>3669</v>
      </c>
      <c r="E177" s="13" t="s">
        <v>3384</v>
      </c>
    </row>
    <row r="178" spans="1:5">
      <c r="A178" s="13"/>
      <c r="B178" s="13"/>
      <c r="C178" s="13"/>
      <c r="D178" s="13"/>
      <c r="E178" s="13"/>
    </row>
    <row r="179" spans="1:5">
      <c r="A179" s="204" t="s">
        <v>3385</v>
      </c>
      <c r="B179" s="13" t="s">
        <v>3670</v>
      </c>
      <c r="C179" s="13" t="s">
        <v>3671</v>
      </c>
      <c r="D179" s="13" t="s">
        <v>3672</v>
      </c>
      <c r="E179" s="13" t="s">
        <v>3389</v>
      </c>
    </row>
    <row r="180" spans="1:5">
      <c r="A180" s="203" t="s">
        <v>3390</v>
      </c>
      <c r="B180" s="13" t="s">
        <v>3673</v>
      </c>
      <c r="C180" s="13" t="s">
        <v>3597</v>
      </c>
      <c r="D180" s="13" t="s">
        <v>3674</v>
      </c>
      <c r="E180" s="13" t="s">
        <v>3394</v>
      </c>
    </row>
    <row r="181" spans="1:5">
      <c r="A181" s="203" t="s">
        <v>3395</v>
      </c>
      <c r="B181" s="13" t="s">
        <v>3675</v>
      </c>
      <c r="C181" s="13" t="s">
        <v>3676</v>
      </c>
      <c r="D181" s="13" t="s">
        <v>3677</v>
      </c>
      <c r="E181" s="13" t="s">
        <v>3399</v>
      </c>
    </row>
    <row r="182" spans="1:5">
      <c r="A182" s="203" t="s">
        <v>3400</v>
      </c>
      <c r="B182" s="13" t="s">
        <v>3600</v>
      </c>
      <c r="C182" s="13" t="s">
        <v>3678</v>
      </c>
      <c r="D182" s="13" t="s">
        <v>3679</v>
      </c>
      <c r="E182" s="13" t="s">
        <v>3404</v>
      </c>
    </row>
    <row r="183" spans="1:5">
      <c r="A183" s="203" t="s">
        <v>3405</v>
      </c>
      <c r="B183" s="13" t="s">
        <v>3680</v>
      </c>
      <c r="C183" s="13" t="s">
        <v>3681</v>
      </c>
      <c r="D183" s="13" t="s">
        <v>3682</v>
      </c>
      <c r="E183" s="13" t="s">
        <v>3409</v>
      </c>
    </row>
    <row r="184" spans="1:5">
      <c r="A184" s="13" t="s">
        <v>3410</v>
      </c>
      <c r="B184" s="13" t="s">
        <v>3683</v>
      </c>
      <c r="C184" s="13" t="s">
        <v>3684</v>
      </c>
      <c r="D184" s="13" t="s">
        <v>3685</v>
      </c>
      <c r="E184" s="13" t="s">
        <v>3414</v>
      </c>
    </row>
    <row r="185" spans="1:5">
      <c r="A185" s="13"/>
      <c r="B185" s="13"/>
      <c r="C185" s="13"/>
      <c r="D185" s="13"/>
      <c r="E185" s="13"/>
    </row>
    <row r="186" spans="1:5">
      <c r="A186" s="204" t="s">
        <v>3415</v>
      </c>
      <c r="B186" s="13" t="s">
        <v>3686</v>
      </c>
      <c r="C186" s="13" t="s">
        <v>3687</v>
      </c>
      <c r="D186" s="13" t="s">
        <v>3687</v>
      </c>
      <c r="E186" s="13" t="s">
        <v>3418</v>
      </c>
    </row>
    <row r="187" spans="1:5">
      <c r="A187" s="203" t="s">
        <v>3419</v>
      </c>
      <c r="B187" s="13" t="s">
        <v>3688</v>
      </c>
      <c r="C187" s="13" t="s">
        <v>3689</v>
      </c>
      <c r="D187" s="13" t="s">
        <v>3689</v>
      </c>
      <c r="E187" s="13" t="s">
        <v>3422</v>
      </c>
    </row>
    <row r="188" spans="1:5">
      <c r="A188" s="203" t="s">
        <v>3423</v>
      </c>
      <c r="B188" s="13" t="s">
        <v>3690</v>
      </c>
      <c r="C188" s="13" t="s">
        <v>3691</v>
      </c>
      <c r="D188" s="13" t="s">
        <v>3612</v>
      </c>
      <c r="E188" s="13" t="s">
        <v>3427</v>
      </c>
    </row>
    <row r="189" spans="1:5">
      <c r="A189" s="203" t="s">
        <v>3428</v>
      </c>
      <c r="B189" s="13" t="s">
        <v>3692</v>
      </c>
      <c r="C189" s="13" t="s">
        <v>3693</v>
      </c>
      <c r="D189" s="13" t="s">
        <v>3694</v>
      </c>
      <c r="E189" s="13" t="s">
        <v>3432</v>
      </c>
    </row>
    <row r="190" spans="1:5">
      <c r="A190" s="203" t="s">
        <v>3433</v>
      </c>
      <c r="B190" s="13" t="s">
        <v>3695</v>
      </c>
      <c r="C190" s="13" t="s">
        <v>3696</v>
      </c>
      <c r="D190" s="13" t="s">
        <v>3696</v>
      </c>
      <c r="E190" s="13" t="s">
        <v>3436</v>
      </c>
    </row>
    <row r="191" spans="1:5">
      <c r="A191" s="13" t="s">
        <v>3437</v>
      </c>
      <c r="B191" s="13" t="s">
        <v>3697</v>
      </c>
      <c r="C191" s="13" t="s">
        <v>3698</v>
      </c>
      <c r="D191" s="13" t="s">
        <v>3699</v>
      </c>
      <c r="E191" s="13" t="s">
        <v>3441</v>
      </c>
    </row>
    <row r="192" spans="1:5">
      <c r="A192" s="13"/>
      <c r="B192" s="13"/>
      <c r="C192" s="13"/>
      <c r="D192" s="13"/>
      <c r="E192" s="13"/>
    </row>
    <row r="193" spans="1:5">
      <c r="A193" s="204" t="s">
        <v>3442</v>
      </c>
      <c r="B193" s="13" t="s">
        <v>3700</v>
      </c>
      <c r="C193" s="13" t="s">
        <v>3700</v>
      </c>
      <c r="D193" s="13" t="s">
        <v>3701</v>
      </c>
      <c r="E193" s="13" t="s">
        <v>3445</v>
      </c>
    </row>
    <row r="194" spans="1:5">
      <c r="A194" s="203" t="s">
        <v>3446</v>
      </c>
      <c r="B194" s="13" t="s">
        <v>3702</v>
      </c>
      <c r="C194" s="13" t="s">
        <v>3703</v>
      </c>
      <c r="D194" s="13" t="s">
        <v>3618</v>
      </c>
      <c r="E194" s="13" t="s">
        <v>3450</v>
      </c>
    </row>
    <row r="195" spans="1:5">
      <c r="A195" s="203" t="s">
        <v>3451</v>
      </c>
      <c r="B195" s="13" t="s">
        <v>3619</v>
      </c>
      <c r="C195" s="13" t="s">
        <v>3704</v>
      </c>
      <c r="D195" s="13" t="s">
        <v>3705</v>
      </c>
      <c r="E195" s="13" t="s">
        <v>3455</v>
      </c>
    </row>
    <row r="196" spans="1:5">
      <c r="A196" s="203" t="s">
        <v>3456</v>
      </c>
      <c r="B196" s="13" t="s">
        <v>3706</v>
      </c>
      <c r="C196" s="13" t="s">
        <v>3706</v>
      </c>
      <c r="D196" s="13" t="s">
        <v>3707</v>
      </c>
      <c r="E196" s="13" t="s">
        <v>3459</v>
      </c>
    </row>
    <row r="197" spans="1:5">
      <c r="A197" s="203" t="s">
        <v>3460</v>
      </c>
      <c r="B197" s="13" t="s">
        <v>3708</v>
      </c>
      <c r="C197" s="13" t="s">
        <v>3708</v>
      </c>
      <c r="D197" s="13" t="s">
        <v>3709</v>
      </c>
      <c r="E197" s="13" t="s">
        <v>3463</v>
      </c>
    </row>
    <row r="198" spans="1:5">
      <c r="A198" s="13" t="s">
        <v>3464</v>
      </c>
      <c r="B198" s="13" t="s">
        <v>3710</v>
      </c>
      <c r="C198" s="13" t="s">
        <v>3710</v>
      </c>
      <c r="D198" s="13" t="s">
        <v>3711</v>
      </c>
      <c r="E198" s="13" t="s">
        <v>3467</v>
      </c>
    </row>
    <row r="201" spans="1:5">
      <c r="A201" s="203" t="s">
        <v>3712</v>
      </c>
      <c r="B201" s="203"/>
      <c r="C201" s="203"/>
      <c r="D201" s="203"/>
      <c r="E201" s="203"/>
    </row>
    <row r="202" spans="1:5">
      <c r="A202" s="203" t="s">
        <v>3256</v>
      </c>
      <c r="B202" s="203" t="s">
        <v>3257</v>
      </c>
      <c r="C202" s="203" t="s">
        <v>3471</v>
      </c>
      <c r="D202" s="203" t="s">
        <v>3626</v>
      </c>
      <c r="E202" s="203" t="s">
        <v>3258</v>
      </c>
    </row>
    <row r="203" spans="1:5">
      <c r="A203" s="203"/>
      <c r="B203" s="203"/>
      <c r="C203" s="203"/>
      <c r="D203" s="203"/>
      <c r="E203" s="203"/>
    </row>
    <row r="204" spans="1:5">
      <c r="A204" s="203" t="s">
        <v>3265</v>
      </c>
      <c r="B204" s="203" t="s">
        <v>3627</v>
      </c>
      <c r="C204" s="203" t="s">
        <v>3473</v>
      </c>
      <c r="D204" s="203" t="s">
        <v>3628</v>
      </c>
      <c r="E204" s="203" t="s">
        <v>3268</v>
      </c>
    </row>
    <row r="205" spans="1:5">
      <c r="A205" s="203" t="s">
        <v>3274</v>
      </c>
      <c r="B205" s="203" t="s">
        <v>3630</v>
      </c>
      <c r="C205" s="203" t="s">
        <v>3276</v>
      </c>
      <c r="D205" s="203" t="s">
        <v>3629</v>
      </c>
      <c r="E205" s="203" t="s">
        <v>3278</v>
      </c>
    </row>
    <row r="206" spans="1:5">
      <c r="A206" s="203"/>
      <c r="B206" s="203"/>
      <c r="C206" s="203"/>
      <c r="D206" s="203"/>
      <c r="E206" s="203"/>
    </row>
    <row r="207" spans="1:5">
      <c r="A207" s="203" t="s">
        <v>3279</v>
      </c>
      <c r="B207" s="203" t="s">
        <v>3281</v>
      </c>
      <c r="C207" s="203" t="s">
        <v>3477</v>
      </c>
      <c r="D207" s="203" t="s">
        <v>3477</v>
      </c>
      <c r="E207" s="203" t="s">
        <v>3282</v>
      </c>
    </row>
    <row r="208" spans="1:5">
      <c r="A208" s="203" t="s">
        <v>3283</v>
      </c>
      <c r="B208" s="203" t="s">
        <v>3284</v>
      </c>
      <c r="C208" s="203" t="s">
        <v>3632</v>
      </c>
      <c r="D208" s="203" t="s">
        <v>3284</v>
      </c>
      <c r="E208" s="203" t="s">
        <v>3286</v>
      </c>
    </row>
    <row r="209" spans="1:5">
      <c r="A209" s="203" t="s">
        <v>3291</v>
      </c>
      <c r="B209" s="203" t="s">
        <v>3482</v>
      </c>
      <c r="C209" s="203" t="s">
        <v>3574</v>
      </c>
      <c r="D209" s="203" t="s">
        <v>3713</v>
      </c>
      <c r="E209" s="203" t="s">
        <v>3295</v>
      </c>
    </row>
    <row r="210" spans="1:5">
      <c r="A210" s="203"/>
      <c r="B210" s="203"/>
      <c r="C210" s="203"/>
      <c r="D210" s="203"/>
      <c r="E210" s="203"/>
    </row>
    <row r="211" spans="1:5">
      <c r="A211" s="203" t="s">
        <v>3300</v>
      </c>
      <c r="B211" s="203" t="s">
        <v>3636</v>
      </c>
      <c r="C211" s="203" t="s">
        <v>3302</v>
      </c>
      <c r="D211" s="203" t="s">
        <v>3303</v>
      </c>
      <c r="E211" s="203" t="s">
        <v>3304</v>
      </c>
    </row>
    <row r="212" spans="1:5">
      <c r="A212" s="203" t="s">
        <v>3305</v>
      </c>
      <c r="B212" s="203" t="s">
        <v>3577</v>
      </c>
      <c r="C212" s="203" t="s">
        <v>3307</v>
      </c>
      <c r="D212" s="203" t="s">
        <v>3714</v>
      </c>
      <c r="E212" s="203" t="s">
        <v>3309</v>
      </c>
    </row>
    <row r="213" spans="1:5">
      <c r="A213" s="203" t="s">
        <v>3310</v>
      </c>
      <c r="B213" s="203" t="s">
        <v>3715</v>
      </c>
      <c r="C213" s="203" t="s">
        <v>3715</v>
      </c>
      <c r="D213" s="203" t="s">
        <v>3716</v>
      </c>
      <c r="E213" s="203" t="s">
        <v>3313</v>
      </c>
    </row>
    <row r="214" spans="1:5">
      <c r="A214" s="203" t="s">
        <v>3318</v>
      </c>
      <c r="B214" s="203" t="s">
        <v>3641</v>
      </c>
      <c r="C214" s="203" t="s">
        <v>3319</v>
      </c>
      <c r="D214" s="203" t="s">
        <v>3717</v>
      </c>
      <c r="E214" s="203" t="s">
        <v>3322</v>
      </c>
    </row>
    <row r="215" spans="1:5">
      <c r="A215" s="203"/>
      <c r="B215" s="203"/>
      <c r="C215" s="203"/>
      <c r="D215" s="203"/>
      <c r="E215" s="203"/>
    </row>
    <row r="216" spans="1:5">
      <c r="A216" s="203" t="s">
        <v>3327</v>
      </c>
      <c r="B216" s="203" t="s">
        <v>3718</v>
      </c>
      <c r="C216" s="203" t="s">
        <v>3718</v>
      </c>
      <c r="D216" s="203" t="s">
        <v>3329</v>
      </c>
      <c r="E216" s="203" t="s">
        <v>3330</v>
      </c>
    </row>
    <row r="217" spans="1:5">
      <c r="A217" s="203" t="s">
        <v>3331</v>
      </c>
      <c r="B217" s="203" t="s">
        <v>3647</v>
      </c>
      <c r="C217" s="203" t="s">
        <v>3333</v>
      </c>
      <c r="D217" s="203" t="s">
        <v>3719</v>
      </c>
      <c r="E217" s="203" t="s">
        <v>3335</v>
      </c>
    </row>
    <row r="218" spans="1:5">
      <c r="A218" s="203" t="s">
        <v>3336</v>
      </c>
      <c r="B218" s="203" t="s">
        <v>3720</v>
      </c>
      <c r="C218" s="203" t="s">
        <v>3721</v>
      </c>
      <c r="D218" s="203" t="s">
        <v>3722</v>
      </c>
      <c r="E218" s="203" t="s">
        <v>3340</v>
      </c>
    </row>
    <row r="219" spans="1:5">
      <c r="A219" s="203" t="s">
        <v>3341</v>
      </c>
      <c r="B219" s="203" t="s">
        <v>3343</v>
      </c>
      <c r="C219" s="203" t="s">
        <v>3503</v>
      </c>
      <c r="D219" s="203" t="s">
        <v>3723</v>
      </c>
      <c r="E219" s="203" t="s">
        <v>3345</v>
      </c>
    </row>
    <row r="220" spans="1:5">
      <c r="A220" s="203" t="s">
        <v>3346</v>
      </c>
      <c r="B220" s="203" t="s">
        <v>3724</v>
      </c>
      <c r="C220" s="203" t="s">
        <v>3348</v>
      </c>
      <c r="D220" s="203" t="s">
        <v>3725</v>
      </c>
      <c r="E220" s="203" t="s">
        <v>3350</v>
      </c>
    </row>
    <row r="221" spans="1:5">
      <c r="A221" s="13"/>
      <c r="B221" s="13"/>
      <c r="C221" s="13"/>
      <c r="D221" s="13"/>
      <c r="E221" s="13"/>
    </row>
    <row r="222" spans="1:5">
      <c r="A222" s="204" t="s">
        <v>3356</v>
      </c>
      <c r="B222" s="13" t="s">
        <v>3726</v>
      </c>
      <c r="C222" s="13" t="s">
        <v>3656</v>
      </c>
      <c r="D222" s="13" t="s">
        <v>3727</v>
      </c>
      <c r="E222" s="13" t="s">
        <v>3360</v>
      </c>
    </row>
    <row r="223" spans="1:5">
      <c r="A223" s="203" t="s">
        <v>3361</v>
      </c>
      <c r="B223" s="13" t="s">
        <v>3728</v>
      </c>
      <c r="C223" s="13" t="s">
        <v>3729</v>
      </c>
      <c r="D223" s="13" t="s">
        <v>3730</v>
      </c>
      <c r="E223" s="13" t="s">
        <v>3365</v>
      </c>
    </row>
    <row r="224" spans="1:5">
      <c r="A224" s="203" t="s">
        <v>3366</v>
      </c>
      <c r="B224" s="13" t="s">
        <v>3731</v>
      </c>
      <c r="C224" s="13" t="s">
        <v>3732</v>
      </c>
      <c r="D224" s="13" t="s">
        <v>3733</v>
      </c>
      <c r="E224" s="13" t="s">
        <v>3370</v>
      </c>
    </row>
    <row r="225" spans="1:5">
      <c r="A225" s="203" t="s">
        <v>3371</v>
      </c>
      <c r="B225" s="13" t="s">
        <v>3734</v>
      </c>
      <c r="C225" s="13" t="s">
        <v>3735</v>
      </c>
      <c r="D225" s="13" t="s">
        <v>3735</v>
      </c>
      <c r="E225" s="13" t="s">
        <v>3374</v>
      </c>
    </row>
    <row r="226" spans="1:5">
      <c r="A226" s="203" t="s">
        <v>3375</v>
      </c>
      <c r="B226" s="13" t="s">
        <v>3736</v>
      </c>
      <c r="C226" s="13" t="s">
        <v>3666</v>
      </c>
      <c r="D226" s="13" t="s">
        <v>3737</v>
      </c>
      <c r="E226" s="13" t="s">
        <v>3379</v>
      </c>
    </row>
    <row r="227" spans="1:5">
      <c r="A227" s="13" t="s">
        <v>3380</v>
      </c>
      <c r="B227" s="13" t="s">
        <v>3738</v>
      </c>
      <c r="C227" s="13" t="s">
        <v>3739</v>
      </c>
      <c r="D227" s="13" t="s">
        <v>3740</v>
      </c>
      <c r="E227" s="13" t="s">
        <v>3384</v>
      </c>
    </row>
    <row r="228" spans="1:5">
      <c r="A228" s="13"/>
      <c r="B228" s="13"/>
      <c r="C228" s="13"/>
      <c r="D228" s="13"/>
      <c r="E228" s="13"/>
    </row>
    <row r="229" spans="1:5">
      <c r="A229" s="204" t="s">
        <v>3385</v>
      </c>
      <c r="B229" s="13" t="s">
        <v>3741</v>
      </c>
      <c r="C229" s="13" t="s">
        <v>3742</v>
      </c>
      <c r="D229" s="13" t="s">
        <v>3743</v>
      </c>
      <c r="E229" s="13" t="s">
        <v>3389</v>
      </c>
    </row>
    <row r="230" spans="1:5">
      <c r="A230" s="203" t="s">
        <v>3390</v>
      </c>
      <c r="B230" s="13" t="s">
        <v>3744</v>
      </c>
      <c r="C230" s="13" t="s">
        <v>3745</v>
      </c>
      <c r="D230" s="13" t="s">
        <v>3746</v>
      </c>
      <c r="E230" s="13" t="s">
        <v>3394</v>
      </c>
    </row>
    <row r="231" spans="1:5">
      <c r="A231" s="203" t="s">
        <v>3395</v>
      </c>
      <c r="B231" s="13" t="s">
        <v>3747</v>
      </c>
      <c r="C231" s="13" t="s">
        <v>3675</v>
      </c>
      <c r="D231" s="13" t="s">
        <v>3748</v>
      </c>
      <c r="E231" s="13" t="s">
        <v>3399</v>
      </c>
    </row>
    <row r="232" spans="1:5">
      <c r="A232" s="203" t="s">
        <v>3400</v>
      </c>
      <c r="B232" s="13" t="s">
        <v>3749</v>
      </c>
      <c r="C232" s="13" t="s">
        <v>3750</v>
      </c>
      <c r="D232" s="13" t="s">
        <v>3751</v>
      </c>
      <c r="E232" s="13" t="s">
        <v>3404</v>
      </c>
    </row>
    <row r="233" spans="1:5">
      <c r="A233" s="203" t="s">
        <v>3405</v>
      </c>
      <c r="B233" s="13" t="s">
        <v>3752</v>
      </c>
      <c r="C233" s="13" t="s">
        <v>3753</v>
      </c>
      <c r="D233" s="13" t="s">
        <v>3754</v>
      </c>
      <c r="E233" s="13" t="s">
        <v>3409</v>
      </c>
    </row>
    <row r="234" spans="1:5">
      <c r="A234" s="13" t="s">
        <v>3410</v>
      </c>
      <c r="B234" s="13" t="s">
        <v>3755</v>
      </c>
      <c r="C234" s="13" t="s">
        <v>3756</v>
      </c>
      <c r="D234" s="13" t="s">
        <v>3757</v>
      </c>
      <c r="E234" s="13" t="s">
        <v>3414</v>
      </c>
    </row>
    <row r="235" spans="1:5">
      <c r="A235" s="13"/>
      <c r="B235" s="13"/>
      <c r="C235" s="13"/>
      <c r="D235" s="13"/>
      <c r="E235" s="13"/>
    </row>
    <row r="236" spans="1:5">
      <c r="A236" s="204" t="s">
        <v>3415</v>
      </c>
      <c r="B236" s="13" t="s">
        <v>3758</v>
      </c>
      <c r="C236" s="13" t="s">
        <v>3759</v>
      </c>
      <c r="D236" s="13" t="s">
        <v>3759</v>
      </c>
      <c r="E236" s="13" t="s">
        <v>3418</v>
      </c>
    </row>
    <row r="237" spans="1:5">
      <c r="A237" s="203" t="s">
        <v>3419</v>
      </c>
      <c r="B237" s="13" t="s">
        <v>3760</v>
      </c>
      <c r="C237" s="13" t="s">
        <v>3761</v>
      </c>
      <c r="D237" s="13" t="s">
        <v>3761</v>
      </c>
      <c r="E237" s="13" t="s">
        <v>3422</v>
      </c>
    </row>
    <row r="238" spans="1:5">
      <c r="A238" s="203" t="s">
        <v>3423</v>
      </c>
      <c r="B238" s="13" t="s">
        <v>3762</v>
      </c>
      <c r="C238" s="13" t="s">
        <v>3763</v>
      </c>
      <c r="D238" s="13" t="s">
        <v>3764</v>
      </c>
      <c r="E238" s="13" t="s">
        <v>3427</v>
      </c>
    </row>
    <row r="239" spans="1:5">
      <c r="A239" s="203" t="s">
        <v>3428</v>
      </c>
      <c r="B239" s="13" t="s">
        <v>3765</v>
      </c>
      <c r="C239" s="13" t="s">
        <v>3694</v>
      </c>
      <c r="D239" s="13" t="s">
        <v>3766</v>
      </c>
      <c r="E239" s="13" t="s">
        <v>3432</v>
      </c>
    </row>
    <row r="240" spans="1:5">
      <c r="A240" s="203" t="s">
        <v>3433</v>
      </c>
      <c r="B240" s="13" t="s">
        <v>3767</v>
      </c>
      <c r="C240" s="13" t="s">
        <v>3768</v>
      </c>
      <c r="D240" s="13" t="s">
        <v>3768</v>
      </c>
      <c r="E240" s="13" t="s">
        <v>3436</v>
      </c>
    </row>
    <row r="241" spans="1:5">
      <c r="A241" s="13" t="s">
        <v>3437</v>
      </c>
      <c r="B241" s="13" t="s">
        <v>3769</v>
      </c>
      <c r="C241" s="13" t="s">
        <v>3769</v>
      </c>
      <c r="D241" s="13" t="s">
        <v>3770</v>
      </c>
      <c r="E241" s="13" t="s">
        <v>3441</v>
      </c>
    </row>
    <row r="242" spans="1:5">
      <c r="A242" s="13"/>
      <c r="B242" s="13"/>
      <c r="C242" s="13"/>
      <c r="D242" s="13"/>
      <c r="E242" s="13"/>
    </row>
    <row r="243" spans="1:5">
      <c r="A243" s="204" t="s">
        <v>3442</v>
      </c>
      <c r="B243" s="13" t="s">
        <v>3771</v>
      </c>
      <c r="C243" s="13" t="s">
        <v>3771</v>
      </c>
      <c r="D243" s="13" t="s">
        <v>3772</v>
      </c>
      <c r="E243" s="13" t="s">
        <v>3445</v>
      </c>
    </row>
    <row r="244" spans="1:5">
      <c r="A244" s="203" t="s">
        <v>3446</v>
      </c>
      <c r="B244" s="13" t="s">
        <v>3703</v>
      </c>
      <c r="C244" s="13" t="s">
        <v>3773</v>
      </c>
      <c r="D244" s="13" t="s">
        <v>3774</v>
      </c>
      <c r="E244" s="13" t="s">
        <v>3450</v>
      </c>
    </row>
    <row r="245" spans="1:5">
      <c r="A245" s="203" t="s">
        <v>3451</v>
      </c>
      <c r="B245" s="13" t="s">
        <v>3775</v>
      </c>
      <c r="C245" s="13" t="s">
        <v>3776</v>
      </c>
      <c r="D245" s="13" t="s">
        <v>3777</v>
      </c>
      <c r="E245" s="13" t="s">
        <v>3455</v>
      </c>
    </row>
    <row r="246" spans="1:5">
      <c r="A246" s="203" t="s">
        <v>3456</v>
      </c>
      <c r="B246" s="13" t="s">
        <v>3778</v>
      </c>
      <c r="C246" s="13" t="s">
        <v>3778</v>
      </c>
      <c r="D246" s="13" t="s">
        <v>3706</v>
      </c>
      <c r="E246" s="13" t="s">
        <v>3459</v>
      </c>
    </row>
    <row r="247" spans="1:5">
      <c r="A247" s="203" t="s">
        <v>3460</v>
      </c>
      <c r="B247" s="13" t="s">
        <v>3779</v>
      </c>
      <c r="C247" s="13" t="s">
        <v>3779</v>
      </c>
      <c r="D247" s="13" t="s">
        <v>3780</v>
      </c>
      <c r="E247" s="13" t="s">
        <v>3463</v>
      </c>
    </row>
    <row r="248" spans="1:5">
      <c r="A248" s="13" t="s">
        <v>3464</v>
      </c>
      <c r="B248" s="13" t="s">
        <v>3781</v>
      </c>
      <c r="C248" s="13" t="s">
        <v>3781</v>
      </c>
      <c r="D248" s="13" t="s">
        <v>3782</v>
      </c>
      <c r="E248" s="13" t="s">
        <v>3467</v>
      </c>
    </row>
  </sheetData>
  <mergeCells count="11">
    <mergeCell ref="A1:E1"/>
    <mergeCell ref="H1:U1"/>
    <mergeCell ref="H2:I2"/>
    <mergeCell ref="K2:L2"/>
    <mergeCell ref="N2:O2"/>
    <mergeCell ref="Q2:R2"/>
    <mergeCell ref="T2:U2"/>
    <mergeCell ref="A51:E51"/>
    <mergeCell ref="A101:E101"/>
    <mergeCell ref="A151:E151"/>
    <mergeCell ref="A201:E20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T60"/>
  <sheetViews>
    <sheetView workbookViewId="0">
      <selection activeCell="B2" sqref="B2:S15"/>
    </sheetView>
  </sheetViews>
  <sheetFormatPr defaultColWidth="9" defaultRowHeight="13.5"/>
  <cols>
    <col min="1" max="1" width="2.625" customWidth="1"/>
    <col min="2" max="6" width="9" style="198" customWidth="1"/>
    <col min="7" max="7" width="9.625" style="198" customWidth="1"/>
    <col min="8" max="10" width="9" style="198" customWidth="1"/>
    <col min="11" max="11" width="10" style="198" customWidth="1"/>
    <col min="12" max="12" width="12.5" style="198" customWidth="1"/>
    <col min="13" max="13" width="12.25" style="198" customWidth="1"/>
    <col min="14" max="254" width="9" style="198" customWidth="1"/>
  </cols>
  <sheetData>
    <row r="2" spans="2:254">
      <c r="B2" s="199" t="s">
        <v>175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2:254">
      <c r="B3" s="199" t="s">
        <v>177</v>
      </c>
      <c r="C3" s="199" t="s">
        <v>178</v>
      </c>
      <c r="D3" s="199"/>
      <c r="E3" s="199"/>
      <c r="F3" s="199"/>
      <c r="G3" s="199" t="s">
        <v>179</v>
      </c>
      <c r="H3" s="199" t="s">
        <v>180</v>
      </c>
      <c r="I3" s="199"/>
      <c r="J3" s="199" t="s">
        <v>181</v>
      </c>
      <c r="K3" s="199" t="s">
        <v>185</v>
      </c>
      <c r="L3" s="199"/>
      <c r="M3" s="199"/>
      <c r="N3" s="200" t="s">
        <v>186</v>
      </c>
      <c r="O3" s="200" t="s">
        <v>187</v>
      </c>
      <c r="P3" s="199" t="s">
        <v>3783</v>
      </c>
      <c r="Q3" s="199"/>
      <c r="R3" s="200" t="s">
        <v>183</v>
      </c>
      <c r="S3" s="200" t="s">
        <v>184</v>
      </c>
      <c r="IS3"/>
      <c r="IT3"/>
    </row>
    <row r="4" spans="2:254">
      <c r="B4" s="199"/>
      <c r="C4" s="199" t="s">
        <v>189</v>
      </c>
      <c r="D4" s="199" t="s">
        <v>190</v>
      </c>
      <c r="E4" s="199" t="s">
        <v>191</v>
      </c>
      <c r="F4" s="199" t="s">
        <v>192</v>
      </c>
      <c r="G4" s="199"/>
      <c r="H4" s="199" t="s">
        <v>193</v>
      </c>
      <c r="I4" s="199" t="s">
        <v>194</v>
      </c>
      <c r="J4" s="199"/>
      <c r="K4" s="199" t="s">
        <v>195</v>
      </c>
      <c r="L4" s="199" t="s">
        <v>196</v>
      </c>
      <c r="M4" s="199" t="s">
        <v>197</v>
      </c>
      <c r="N4" s="199"/>
      <c r="O4" s="199"/>
      <c r="P4" s="199"/>
      <c r="Q4" s="199"/>
      <c r="R4" s="199"/>
      <c r="S4" s="199"/>
      <c r="IS4"/>
      <c r="IT4"/>
    </row>
    <row r="5" spans="2:254">
      <c r="B5" s="199">
        <v>0</v>
      </c>
      <c r="C5" s="199">
        <v>240</v>
      </c>
      <c r="D5" s="199"/>
      <c r="E5" s="199"/>
      <c r="F5" s="199"/>
      <c r="G5" s="199" t="s">
        <v>205</v>
      </c>
      <c r="H5" s="199"/>
      <c r="I5" s="199"/>
      <c r="J5" s="199">
        <v>2.5</v>
      </c>
      <c r="K5" s="199">
        <v>1</v>
      </c>
      <c r="L5" s="199">
        <v>1</v>
      </c>
      <c r="M5" s="199">
        <v>1</v>
      </c>
      <c r="N5" s="199">
        <v>40</v>
      </c>
      <c r="O5" s="199">
        <v>40</v>
      </c>
      <c r="P5" s="199">
        <v>2</v>
      </c>
      <c r="Q5" s="199"/>
      <c r="R5" s="199">
        <v>100</v>
      </c>
      <c r="S5" s="199">
        <v>100</v>
      </c>
      <c r="IS5"/>
      <c r="IT5"/>
    </row>
    <row r="6" spans="2:254">
      <c r="B6" s="199">
        <v>1</v>
      </c>
      <c r="C6" s="199">
        <v>320</v>
      </c>
      <c r="D6" s="199"/>
      <c r="E6" s="199"/>
      <c r="F6" s="199"/>
      <c r="G6" s="199" t="s">
        <v>208</v>
      </c>
      <c r="H6" s="199">
        <v>20</v>
      </c>
      <c r="I6" s="199">
        <v>100</v>
      </c>
      <c r="J6" s="199">
        <v>3.6</v>
      </c>
      <c r="K6" s="199">
        <v>2</v>
      </c>
      <c r="L6" s="199">
        <v>2</v>
      </c>
      <c r="M6" s="199">
        <v>2</v>
      </c>
      <c r="N6" s="199">
        <v>50</v>
      </c>
      <c r="O6" s="199">
        <v>90</v>
      </c>
      <c r="P6" s="199">
        <v>3</v>
      </c>
      <c r="Q6" s="199"/>
      <c r="R6" s="199">
        <v>150</v>
      </c>
      <c r="S6" s="199">
        <v>250</v>
      </c>
      <c r="IS6"/>
      <c r="IT6"/>
    </row>
    <row r="7" spans="2:254">
      <c r="B7" s="199">
        <v>2</v>
      </c>
      <c r="C7" s="199">
        <v>480</v>
      </c>
      <c r="D7" s="199">
        <v>90</v>
      </c>
      <c r="E7" s="199"/>
      <c r="F7" s="199"/>
      <c r="G7" s="199" t="s">
        <v>210</v>
      </c>
      <c r="H7" s="199">
        <v>30</v>
      </c>
      <c r="I7" s="199">
        <v>200</v>
      </c>
      <c r="J7" s="199">
        <v>4.8</v>
      </c>
      <c r="K7" s="199">
        <v>3</v>
      </c>
      <c r="L7" s="199">
        <v>3</v>
      </c>
      <c r="M7" s="199">
        <v>3</v>
      </c>
      <c r="N7" s="199">
        <v>60</v>
      </c>
      <c r="O7" s="199">
        <v>150</v>
      </c>
      <c r="P7" s="199">
        <v>5</v>
      </c>
      <c r="Q7" s="199"/>
      <c r="R7" s="199">
        <v>550</v>
      </c>
      <c r="S7" s="199">
        <v>800</v>
      </c>
      <c r="IS7"/>
      <c r="IT7"/>
    </row>
    <row r="8" spans="2:254">
      <c r="B8" s="199">
        <v>3</v>
      </c>
      <c r="C8" s="199">
        <v>720</v>
      </c>
      <c r="D8" s="199">
        <v>135</v>
      </c>
      <c r="E8" s="199"/>
      <c r="F8" s="199"/>
      <c r="G8" s="199" t="s">
        <v>212</v>
      </c>
      <c r="H8" s="199">
        <v>40</v>
      </c>
      <c r="I8" s="199">
        <v>300</v>
      </c>
      <c r="J8" s="199">
        <v>6.1</v>
      </c>
      <c r="K8" s="199">
        <v>4</v>
      </c>
      <c r="L8" s="199">
        <v>4</v>
      </c>
      <c r="M8" s="199">
        <v>4</v>
      </c>
      <c r="N8" s="199">
        <v>70</v>
      </c>
      <c r="O8" s="199">
        <v>220</v>
      </c>
      <c r="P8" s="199">
        <v>6</v>
      </c>
      <c r="Q8" s="199"/>
      <c r="R8" s="199">
        <v>750</v>
      </c>
      <c r="S8" s="199">
        <v>1550</v>
      </c>
      <c r="IS8"/>
      <c r="IT8"/>
    </row>
    <row r="9" spans="2:254">
      <c r="B9" s="199">
        <v>4</v>
      </c>
      <c r="C9" s="199">
        <v>1040</v>
      </c>
      <c r="D9" s="199">
        <v>195</v>
      </c>
      <c r="E9" s="199"/>
      <c r="F9" s="199"/>
      <c r="G9" s="199" t="s">
        <v>214</v>
      </c>
      <c r="H9" s="199">
        <v>60</v>
      </c>
      <c r="I9" s="199">
        <v>400</v>
      </c>
      <c r="J9" s="199">
        <v>7.5</v>
      </c>
      <c r="K9" s="199">
        <v>5</v>
      </c>
      <c r="L9" s="199">
        <v>5</v>
      </c>
      <c r="M9" s="199">
        <v>5</v>
      </c>
      <c r="N9" s="199">
        <v>80</v>
      </c>
      <c r="O9" s="199">
        <v>300</v>
      </c>
      <c r="P9" s="199">
        <v>7</v>
      </c>
      <c r="Q9" s="199"/>
      <c r="R9" s="199">
        <v>950</v>
      </c>
      <c r="S9" s="199">
        <v>2500</v>
      </c>
      <c r="IS9"/>
      <c r="IT9"/>
    </row>
    <row r="10" spans="2:254">
      <c r="B10" s="199">
        <v>5</v>
      </c>
      <c r="C10" s="199">
        <v>1440</v>
      </c>
      <c r="D10" s="199">
        <v>270</v>
      </c>
      <c r="E10" s="199">
        <v>180</v>
      </c>
      <c r="F10" s="199"/>
      <c r="G10" s="199" t="s">
        <v>216</v>
      </c>
      <c r="H10" s="199">
        <v>100</v>
      </c>
      <c r="I10" s="199">
        <v>700</v>
      </c>
      <c r="J10" s="199">
        <v>9</v>
      </c>
      <c r="K10" s="199">
        <v>6</v>
      </c>
      <c r="L10" s="199">
        <v>6</v>
      </c>
      <c r="M10" s="199">
        <v>6</v>
      </c>
      <c r="N10" s="199">
        <v>90</v>
      </c>
      <c r="O10" s="199">
        <v>390</v>
      </c>
      <c r="P10" s="199">
        <v>10</v>
      </c>
      <c r="Q10" s="199"/>
      <c r="R10" s="199">
        <v>1800</v>
      </c>
      <c r="S10" s="199">
        <v>4300</v>
      </c>
      <c r="IS10"/>
      <c r="IT10"/>
    </row>
    <row r="11" spans="2:254">
      <c r="B11" s="199">
        <v>6</v>
      </c>
      <c r="C11" s="199">
        <v>1920</v>
      </c>
      <c r="D11" s="199">
        <v>360</v>
      </c>
      <c r="E11" s="199">
        <v>240</v>
      </c>
      <c r="F11" s="199"/>
      <c r="G11" s="199" t="s">
        <v>218</v>
      </c>
      <c r="H11" s="199">
        <v>150</v>
      </c>
      <c r="I11" s="199">
        <v>1100</v>
      </c>
      <c r="J11" s="199">
        <v>10.6</v>
      </c>
      <c r="K11" s="199">
        <v>7</v>
      </c>
      <c r="L11" s="199">
        <v>7</v>
      </c>
      <c r="M11" s="199">
        <v>7</v>
      </c>
      <c r="N11" s="199">
        <v>100</v>
      </c>
      <c r="O11" s="199">
        <v>490</v>
      </c>
      <c r="P11" s="199">
        <v>11</v>
      </c>
      <c r="Q11" s="199"/>
      <c r="R11" s="199">
        <v>2100</v>
      </c>
      <c r="S11" s="199">
        <v>6400</v>
      </c>
      <c r="IS11"/>
      <c r="IT11"/>
    </row>
    <row r="12" spans="2:254">
      <c r="B12" s="199">
        <v>7</v>
      </c>
      <c r="C12" s="199">
        <v>2480</v>
      </c>
      <c r="D12" s="199">
        <v>465</v>
      </c>
      <c r="E12" s="199">
        <v>310</v>
      </c>
      <c r="F12" s="199"/>
      <c r="G12" s="199" t="s">
        <v>220</v>
      </c>
      <c r="H12" s="199">
        <v>220</v>
      </c>
      <c r="I12" s="199">
        <v>1600</v>
      </c>
      <c r="J12" s="199">
        <v>12.3</v>
      </c>
      <c r="K12" s="199">
        <v>8</v>
      </c>
      <c r="L12" s="199">
        <v>8</v>
      </c>
      <c r="M12" s="199">
        <v>8</v>
      </c>
      <c r="N12" s="199">
        <v>115</v>
      </c>
      <c r="O12" s="199">
        <v>605</v>
      </c>
      <c r="P12" s="199">
        <v>12</v>
      </c>
      <c r="Q12" s="199"/>
      <c r="R12" s="199">
        <v>2400</v>
      </c>
      <c r="S12" s="199">
        <v>8800</v>
      </c>
      <c r="IS12"/>
      <c r="IT12"/>
    </row>
    <row r="13" spans="2:254">
      <c r="B13" s="199">
        <v>8</v>
      </c>
      <c r="C13" s="199">
        <v>3120</v>
      </c>
      <c r="D13" s="199">
        <v>585</v>
      </c>
      <c r="E13" s="199">
        <v>390</v>
      </c>
      <c r="F13" s="199">
        <v>390</v>
      </c>
      <c r="G13" s="199" t="s">
        <v>222</v>
      </c>
      <c r="H13" s="199">
        <v>400</v>
      </c>
      <c r="I13" s="199">
        <v>2800</v>
      </c>
      <c r="J13" s="199">
        <v>14.1</v>
      </c>
      <c r="K13" s="199">
        <v>9</v>
      </c>
      <c r="L13" s="199">
        <v>9</v>
      </c>
      <c r="M13" s="199">
        <v>9</v>
      </c>
      <c r="N13" s="199">
        <v>130</v>
      </c>
      <c r="O13" s="199">
        <v>735</v>
      </c>
      <c r="P13" s="199">
        <v>18</v>
      </c>
      <c r="Q13" s="199"/>
      <c r="R13" s="199">
        <v>4500</v>
      </c>
      <c r="S13" s="199">
        <v>13300</v>
      </c>
      <c r="IS13"/>
      <c r="IT13"/>
    </row>
    <row r="14" spans="2:254">
      <c r="B14" s="199">
        <v>9</v>
      </c>
      <c r="C14" s="199">
        <v>3840</v>
      </c>
      <c r="D14" s="199">
        <v>720</v>
      </c>
      <c r="E14" s="199">
        <v>480</v>
      </c>
      <c r="F14" s="199">
        <v>480</v>
      </c>
      <c r="G14" s="199" t="s">
        <v>224</v>
      </c>
      <c r="H14" s="199">
        <v>700</v>
      </c>
      <c r="I14" s="199">
        <v>4800</v>
      </c>
      <c r="J14" s="199">
        <v>16</v>
      </c>
      <c r="K14" s="199">
        <v>10</v>
      </c>
      <c r="L14" s="199">
        <v>10</v>
      </c>
      <c r="M14" s="199">
        <v>10</v>
      </c>
      <c r="N14" s="199">
        <v>150</v>
      </c>
      <c r="O14" s="199">
        <v>885</v>
      </c>
      <c r="P14" s="199">
        <v>20</v>
      </c>
      <c r="Q14" s="199"/>
      <c r="R14" s="199">
        <v>5500</v>
      </c>
      <c r="S14" s="199">
        <v>18800</v>
      </c>
      <c r="IS14"/>
      <c r="IT14"/>
    </row>
    <row r="15" spans="2:254">
      <c r="B15" s="199" t="s">
        <v>226</v>
      </c>
      <c r="C15" s="199"/>
      <c r="D15" s="199"/>
      <c r="E15" s="199"/>
      <c r="F15" s="199"/>
      <c r="G15" s="199"/>
      <c r="H15" s="199">
        <v>1720</v>
      </c>
      <c r="I15" s="199">
        <v>12000</v>
      </c>
      <c r="J15" s="199"/>
      <c r="K15" s="199"/>
      <c r="L15" s="199"/>
      <c r="M15" s="199"/>
      <c r="N15" s="199">
        <v>885</v>
      </c>
      <c r="O15" s="201"/>
      <c r="P15" s="201"/>
      <c r="Q15" s="202"/>
      <c r="R15" s="199">
        <v>18800</v>
      </c>
      <c r="S15" s="199"/>
      <c r="IS15"/>
      <c r="IT15"/>
    </row>
    <row r="16" spans="2:254">
      <c r="IS16"/>
      <c r="IT16"/>
    </row>
    <row r="17" spans="2:254">
      <c r="B17" s="199" t="s">
        <v>243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IS17"/>
      <c r="IT17"/>
    </row>
    <row r="18" spans="2:254">
      <c r="B18" s="199" t="s">
        <v>177</v>
      </c>
      <c r="C18" s="199" t="s">
        <v>178</v>
      </c>
      <c r="D18" s="199"/>
      <c r="E18" s="199"/>
      <c r="F18" s="199"/>
      <c r="G18" s="199" t="s">
        <v>179</v>
      </c>
      <c r="H18" s="199" t="s">
        <v>180</v>
      </c>
      <c r="I18" s="199"/>
      <c r="J18" s="199" t="s">
        <v>181</v>
      </c>
      <c r="K18" s="199" t="s">
        <v>185</v>
      </c>
      <c r="L18" s="199"/>
      <c r="M18" s="199"/>
      <c r="N18" s="200" t="s">
        <v>186</v>
      </c>
      <c r="O18" s="200" t="s">
        <v>187</v>
      </c>
      <c r="P18" s="199" t="s">
        <v>3783</v>
      </c>
      <c r="Q18" s="199"/>
      <c r="R18" s="200" t="s">
        <v>183</v>
      </c>
      <c r="S18" s="200" t="s">
        <v>184</v>
      </c>
      <c r="IS18"/>
      <c r="IT18"/>
    </row>
    <row r="19" spans="2:254">
      <c r="B19" s="199"/>
      <c r="C19" s="199" t="s">
        <v>190</v>
      </c>
      <c r="D19" s="199" t="s">
        <v>192</v>
      </c>
      <c r="E19" s="199" t="s">
        <v>198</v>
      </c>
      <c r="F19" s="199" t="s">
        <v>189</v>
      </c>
      <c r="G19" s="199"/>
      <c r="H19" s="199" t="s">
        <v>245</v>
      </c>
      <c r="I19" s="199" t="s">
        <v>194</v>
      </c>
      <c r="J19" s="199"/>
      <c r="K19" s="199" t="s">
        <v>246</v>
      </c>
      <c r="L19" s="199" t="s">
        <v>3784</v>
      </c>
      <c r="M19" s="199" t="s">
        <v>197</v>
      </c>
      <c r="N19" s="199"/>
      <c r="O19" s="199"/>
      <c r="P19" s="199"/>
      <c r="Q19" s="199"/>
      <c r="R19" s="199"/>
      <c r="S19" s="199"/>
      <c r="IS19"/>
      <c r="IT19"/>
    </row>
    <row r="20" spans="2:254">
      <c r="B20" s="199">
        <v>0</v>
      </c>
      <c r="C20" s="199">
        <v>45</v>
      </c>
      <c r="D20" s="199"/>
      <c r="E20" s="199"/>
      <c r="F20" s="199"/>
      <c r="G20" s="199" t="s">
        <v>205</v>
      </c>
      <c r="H20" s="199"/>
      <c r="I20" s="199"/>
      <c r="J20" s="199">
        <v>2.5</v>
      </c>
      <c r="K20" s="199">
        <v>0.5</v>
      </c>
      <c r="L20" s="199">
        <v>0.5</v>
      </c>
      <c r="M20" s="199">
        <v>1</v>
      </c>
      <c r="N20" s="199">
        <v>40</v>
      </c>
      <c r="O20" s="199">
        <v>40</v>
      </c>
      <c r="P20" s="199">
        <v>2</v>
      </c>
      <c r="Q20" s="199"/>
      <c r="R20" s="199">
        <v>100</v>
      </c>
      <c r="S20" s="199">
        <v>100</v>
      </c>
      <c r="IS20"/>
      <c r="IT20"/>
    </row>
    <row r="21" spans="2:254">
      <c r="B21" s="199">
        <v>1</v>
      </c>
      <c r="C21" s="199">
        <v>60</v>
      </c>
      <c r="D21" s="199"/>
      <c r="E21" s="199"/>
      <c r="F21" s="199"/>
      <c r="G21" s="199" t="s">
        <v>208</v>
      </c>
      <c r="H21" s="199">
        <v>20</v>
      </c>
      <c r="I21" s="199">
        <v>100</v>
      </c>
      <c r="J21" s="199">
        <v>3.6</v>
      </c>
      <c r="K21" s="199">
        <v>1</v>
      </c>
      <c r="L21" s="199">
        <v>1</v>
      </c>
      <c r="M21" s="199">
        <v>2</v>
      </c>
      <c r="N21" s="199">
        <v>50</v>
      </c>
      <c r="O21" s="199">
        <v>90</v>
      </c>
      <c r="P21" s="199">
        <v>3</v>
      </c>
      <c r="Q21" s="199"/>
      <c r="R21" s="199">
        <v>150</v>
      </c>
      <c r="S21" s="199">
        <v>250</v>
      </c>
      <c r="IS21"/>
      <c r="IT21"/>
    </row>
    <row r="22" spans="2:254">
      <c r="B22" s="199">
        <v>2</v>
      </c>
      <c r="C22" s="199">
        <v>90</v>
      </c>
      <c r="D22" s="199">
        <v>60</v>
      </c>
      <c r="E22" s="199"/>
      <c r="F22" s="199"/>
      <c r="G22" s="199" t="s">
        <v>210</v>
      </c>
      <c r="H22" s="199">
        <v>30</v>
      </c>
      <c r="I22" s="199">
        <v>200</v>
      </c>
      <c r="J22" s="199">
        <v>4.8</v>
      </c>
      <c r="K22" s="199">
        <v>1.5</v>
      </c>
      <c r="L22" s="199">
        <v>1.5</v>
      </c>
      <c r="M22" s="199">
        <v>3</v>
      </c>
      <c r="N22" s="199">
        <v>60</v>
      </c>
      <c r="O22" s="199">
        <v>150</v>
      </c>
      <c r="P22" s="199">
        <v>5</v>
      </c>
      <c r="Q22" s="199"/>
      <c r="R22" s="199">
        <v>550</v>
      </c>
      <c r="S22" s="199">
        <v>800</v>
      </c>
      <c r="IS22"/>
      <c r="IT22"/>
    </row>
    <row r="23" spans="2:254">
      <c r="B23" s="199">
        <v>3</v>
      </c>
      <c r="C23" s="199">
        <v>135</v>
      </c>
      <c r="D23" s="199">
        <v>90</v>
      </c>
      <c r="E23" s="199"/>
      <c r="F23" s="199"/>
      <c r="G23" s="199" t="s">
        <v>212</v>
      </c>
      <c r="H23" s="199">
        <v>40</v>
      </c>
      <c r="I23" s="199">
        <v>300</v>
      </c>
      <c r="J23" s="199">
        <v>6.1</v>
      </c>
      <c r="K23" s="199">
        <v>2</v>
      </c>
      <c r="L23" s="199">
        <v>2</v>
      </c>
      <c r="M23" s="199">
        <v>4</v>
      </c>
      <c r="N23" s="199">
        <v>70</v>
      </c>
      <c r="O23" s="199">
        <v>220</v>
      </c>
      <c r="P23" s="199">
        <v>6</v>
      </c>
      <c r="Q23" s="199"/>
      <c r="R23" s="199">
        <v>750</v>
      </c>
      <c r="S23" s="199">
        <v>1550</v>
      </c>
      <c r="IS23"/>
      <c r="IT23"/>
    </row>
    <row r="24" spans="2:254">
      <c r="B24" s="199">
        <v>4</v>
      </c>
      <c r="C24" s="199">
        <v>195</v>
      </c>
      <c r="D24" s="199">
        <v>130</v>
      </c>
      <c r="E24" s="199"/>
      <c r="F24" s="199"/>
      <c r="G24" s="199" t="s">
        <v>214</v>
      </c>
      <c r="H24" s="199">
        <v>60</v>
      </c>
      <c r="I24" s="199">
        <v>400</v>
      </c>
      <c r="J24" s="199">
        <v>7.5</v>
      </c>
      <c r="K24" s="199">
        <v>2.5</v>
      </c>
      <c r="L24" s="199">
        <v>2.5</v>
      </c>
      <c r="M24" s="199">
        <v>5</v>
      </c>
      <c r="N24" s="199">
        <v>80</v>
      </c>
      <c r="O24" s="199">
        <v>300</v>
      </c>
      <c r="P24" s="199">
        <v>7</v>
      </c>
      <c r="Q24" s="199"/>
      <c r="R24" s="199">
        <v>950</v>
      </c>
      <c r="S24" s="199">
        <v>2500</v>
      </c>
      <c r="IS24"/>
      <c r="IT24"/>
    </row>
    <row r="25" spans="2:254">
      <c r="B25" s="199">
        <v>5</v>
      </c>
      <c r="C25" s="199">
        <v>270</v>
      </c>
      <c r="D25" s="199">
        <v>180</v>
      </c>
      <c r="E25" s="199">
        <v>270</v>
      </c>
      <c r="F25" s="199"/>
      <c r="G25" s="199" t="s">
        <v>216</v>
      </c>
      <c r="H25" s="199">
        <v>100</v>
      </c>
      <c r="I25" s="199">
        <v>700</v>
      </c>
      <c r="J25" s="199">
        <v>9</v>
      </c>
      <c r="K25" s="199">
        <v>3</v>
      </c>
      <c r="L25" s="199">
        <v>3</v>
      </c>
      <c r="M25" s="199">
        <v>6</v>
      </c>
      <c r="N25" s="199">
        <v>90</v>
      </c>
      <c r="O25" s="199">
        <v>390</v>
      </c>
      <c r="P25" s="199">
        <v>10</v>
      </c>
      <c r="Q25" s="199"/>
      <c r="R25" s="199">
        <v>1800</v>
      </c>
      <c r="S25" s="199">
        <v>4300</v>
      </c>
      <c r="IS25"/>
      <c r="IT25"/>
    </row>
    <row r="26" spans="2:254">
      <c r="B26" s="199">
        <v>6</v>
      </c>
      <c r="C26" s="199">
        <v>360</v>
      </c>
      <c r="D26" s="199">
        <v>240</v>
      </c>
      <c r="E26" s="199">
        <v>360</v>
      </c>
      <c r="F26" s="199"/>
      <c r="G26" s="199" t="s">
        <v>218</v>
      </c>
      <c r="H26" s="199">
        <v>150</v>
      </c>
      <c r="I26" s="199">
        <v>1100</v>
      </c>
      <c r="J26" s="199">
        <v>10.6</v>
      </c>
      <c r="K26" s="199">
        <v>3.5</v>
      </c>
      <c r="L26" s="199">
        <v>3.5</v>
      </c>
      <c r="M26" s="199">
        <v>7</v>
      </c>
      <c r="N26" s="199">
        <v>100</v>
      </c>
      <c r="O26" s="199">
        <v>490</v>
      </c>
      <c r="P26" s="199">
        <v>11</v>
      </c>
      <c r="Q26" s="199"/>
      <c r="R26" s="199">
        <v>2100</v>
      </c>
      <c r="S26" s="199">
        <v>6400</v>
      </c>
      <c r="IS26"/>
      <c r="IT26"/>
    </row>
    <row r="27" spans="2:254">
      <c r="B27" s="199">
        <v>7</v>
      </c>
      <c r="C27" s="199">
        <v>465</v>
      </c>
      <c r="D27" s="199">
        <v>310</v>
      </c>
      <c r="E27" s="199">
        <v>465</v>
      </c>
      <c r="F27" s="199"/>
      <c r="G27" s="199" t="s">
        <v>220</v>
      </c>
      <c r="H27" s="199">
        <v>220</v>
      </c>
      <c r="I27" s="199">
        <v>1600</v>
      </c>
      <c r="J27" s="199">
        <v>12.3</v>
      </c>
      <c r="K27" s="199">
        <v>4</v>
      </c>
      <c r="L27" s="199">
        <v>4</v>
      </c>
      <c r="M27" s="199">
        <v>8</v>
      </c>
      <c r="N27" s="199">
        <v>115</v>
      </c>
      <c r="O27" s="199">
        <v>605</v>
      </c>
      <c r="P27" s="199">
        <v>12</v>
      </c>
      <c r="Q27" s="199"/>
      <c r="R27" s="199">
        <v>2400</v>
      </c>
      <c r="S27" s="199">
        <v>8800</v>
      </c>
      <c r="IS27"/>
      <c r="IT27"/>
    </row>
    <row r="28" spans="2:254">
      <c r="B28" s="199">
        <v>8</v>
      </c>
      <c r="C28" s="199">
        <v>585</v>
      </c>
      <c r="D28" s="199">
        <v>390</v>
      </c>
      <c r="E28" s="199">
        <v>585</v>
      </c>
      <c r="F28" s="199">
        <v>3120</v>
      </c>
      <c r="G28" s="199" t="s">
        <v>222</v>
      </c>
      <c r="H28" s="199">
        <v>400</v>
      </c>
      <c r="I28" s="199">
        <v>2800</v>
      </c>
      <c r="J28" s="199">
        <v>14.1</v>
      </c>
      <c r="K28" s="199">
        <v>4.5</v>
      </c>
      <c r="L28" s="199">
        <v>4.5</v>
      </c>
      <c r="M28" s="199">
        <v>9</v>
      </c>
      <c r="N28" s="199">
        <v>130</v>
      </c>
      <c r="O28" s="199">
        <v>735</v>
      </c>
      <c r="P28" s="199">
        <v>18</v>
      </c>
      <c r="Q28" s="199"/>
      <c r="R28" s="199">
        <v>4500</v>
      </c>
      <c r="S28" s="199">
        <v>13300</v>
      </c>
      <c r="IS28"/>
      <c r="IT28"/>
    </row>
    <row r="29" spans="2:254">
      <c r="B29" s="199">
        <v>9</v>
      </c>
      <c r="C29" s="199">
        <v>720</v>
      </c>
      <c r="D29" s="199">
        <v>480</v>
      </c>
      <c r="E29" s="199">
        <v>720</v>
      </c>
      <c r="F29" s="199">
        <v>3840</v>
      </c>
      <c r="G29" s="199" t="s">
        <v>224</v>
      </c>
      <c r="H29" s="199">
        <v>700</v>
      </c>
      <c r="I29" s="199">
        <v>4800</v>
      </c>
      <c r="J29" s="199">
        <v>16</v>
      </c>
      <c r="K29" s="199">
        <v>5</v>
      </c>
      <c r="L29" s="199">
        <v>5</v>
      </c>
      <c r="M29" s="199">
        <v>10</v>
      </c>
      <c r="N29" s="199">
        <v>150</v>
      </c>
      <c r="O29" s="199">
        <v>885</v>
      </c>
      <c r="P29" s="199">
        <v>20</v>
      </c>
      <c r="Q29" s="199"/>
      <c r="R29" s="199">
        <v>5500</v>
      </c>
      <c r="S29" s="199">
        <v>18800</v>
      </c>
      <c r="IS29"/>
      <c r="IT29"/>
    </row>
    <row r="30" spans="2:254">
      <c r="B30" s="199" t="s">
        <v>226</v>
      </c>
      <c r="C30" s="199"/>
      <c r="D30" s="199"/>
      <c r="E30" s="199"/>
      <c r="F30" s="199"/>
      <c r="G30" s="199"/>
      <c r="H30" s="199">
        <v>1720</v>
      </c>
      <c r="I30" s="199">
        <v>12000</v>
      </c>
      <c r="J30" s="199"/>
      <c r="K30" s="199"/>
      <c r="L30" s="199"/>
      <c r="M30" s="199"/>
      <c r="N30" s="199">
        <v>885</v>
      </c>
      <c r="O30" s="201"/>
      <c r="P30" s="201"/>
      <c r="Q30" s="202"/>
      <c r="R30" s="199">
        <v>18800</v>
      </c>
      <c r="S30" s="199"/>
      <c r="IS30"/>
      <c r="IT30"/>
    </row>
    <row r="31" spans="2:254">
      <c r="IS31"/>
      <c r="IT31"/>
    </row>
    <row r="32" spans="2:254">
      <c r="B32" s="199" t="s">
        <v>253</v>
      </c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IS32"/>
      <c r="IT32"/>
    </row>
    <row r="33" spans="2:254">
      <c r="B33" s="199" t="s">
        <v>177</v>
      </c>
      <c r="C33" s="199" t="s">
        <v>178</v>
      </c>
      <c r="D33" s="199"/>
      <c r="E33" s="199"/>
      <c r="F33" s="199"/>
      <c r="G33" s="199" t="s">
        <v>179</v>
      </c>
      <c r="H33" s="199" t="s">
        <v>180</v>
      </c>
      <c r="I33" s="199"/>
      <c r="J33" s="199" t="s">
        <v>181</v>
      </c>
      <c r="K33" s="199" t="s">
        <v>185</v>
      </c>
      <c r="L33" s="199"/>
      <c r="M33" s="199"/>
      <c r="N33" s="200" t="s">
        <v>186</v>
      </c>
      <c r="O33" s="200" t="s">
        <v>187</v>
      </c>
      <c r="P33" s="199" t="s">
        <v>3783</v>
      </c>
      <c r="Q33" s="199"/>
      <c r="R33" s="200" t="s">
        <v>183</v>
      </c>
      <c r="S33" s="200" t="s">
        <v>184</v>
      </c>
      <c r="IS33"/>
      <c r="IT33"/>
    </row>
    <row r="34" spans="2:254">
      <c r="B34" s="199"/>
      <c r="C34" s="199" t="s">
        <v>190</v>
      </c>
      <c r="D34" s="199" t="s">
        <v>191</v>
      </c>
      <c r="E34" s="199" t="s">
        <v>192</v>
      </c>
      <c r="F34" s="199" t="s">
        <v>198</v>
      </c>
      <c r="G34" s="199"/>
      <c r="H34" s="199" t="s">
        <v>254</v>
      </c>
      <c r="I34" s="199" t="s">
        <v>194</v>
      </c>
      <c r="J34" s="199"/>
      <c r="K34" s="199" t="s">
        <v>255</v>
      </c>
      <c r="L34" s="199" t="s">
        <v>256</v>
      </c>
      <c r="M34" s="199" t="s">
        <v>197</v>
      </c>
      <c r="N34" s="199"/>
      <c r="O34" s="199"/>
      <c r="P34" s="199"/>
      <c r="Q34" s="199"/>
      <c r="R34" s="199"/>
      <c r="S34" s="199"/>
      <c r="IS34"/>
      <c r="IT34"/>
    </row>
    <row r="35" spans="2:254">
      <c r="B35" s="199">
        <v>0</v>
      </c>
      <c r="C35" s="199">
        <v>45</v>
      </c>
      <c r="D35" s="199"/>
      <c r="E35" s="199"/>
      <c r="F35" s="199"/>
      <c r="G35" s="199" t="s">
        <v>205</v>
      </c>
      <c r="H35" s="199"/>
      <c r="I35" s="199"/>
      <c r="J35" s="199">
        <v>2.5</v>
      </c>
      <c r="K35" s="199">
        <v>1</v>
      </c>
      <c r="L35" s="199">
        <v>1</v>
      </c>
      <c r="M35" s="199">
        <v>1</v>
      </c>
      <c r="N35" s="199">
        <v>40</v>
      </c>
      <c r="O35" s="199">
        <v>40</v>
      </c>
      <c r="P35" s="199">
        <v>2</v>
      </c>
      <c r="Q35" s="199"/>
      <c r="R35" s="199">
        <v>100</v>
      </c>
      <c r="S35" s="199">
        <v>100</v>
      </c>
      <c r="IS35"/>
      <c r="IT35"/>
    </row>
    <row r="36" spans="2:254">
      <c r="B36" s="199">
        <v>1</v>
      </c>
      <c r="C36" s="199">
        <v>60</v>
      </c>
      <c r="D36" s="199"/>
      <c r="E36" s="199"/>
      <c r="F36" s="199"/>
      <c r="G36" s="199" t="s">
        <v>208</v>
      </c>
      <c r="H36" s="199">
        <v>20</v>
      </c>
      <c r="I36" s="199">
        <v>100</v>
      </c>
      <c r="J36" s="199">
        <v>3.6</v>
      </c>
      <c r="K36" s="199">
        <v>2</v>
      </c>
      <c r="L36" s="199">
        <v>2</v>
      </c>
      <c r="M36" s="199">
        <v>2</v>
      </c>
      <c r="N36" s="199">
        <v>50</v>
      </c>
      <c r="O36" s="199">
        <v>90</v>
      </c>
      <c r="P36" s="199">
        <v>3</v>
      </c>
      <c r="Q36" s="199"/>
      <c r="R36" s="199">
        <v>150</v>
      </c>
      <c r="S36" s="199">
        <v>250</v>
      </c>
      <c r="IS36"/>
      <c r="IT36"/>
    </row>
    <row r="37" spans="2:254">
      <c r="B37" s="199">
        <v>2</v>
      </c>
      <c r="C37" s="199">
        <v>90</v>
      </c>
      <c r="D37" s="199">
        <v>60</v>
      </c>
      <c r="E37" s="199"/>
      <c r="F37" s="199"/>
      <c r="G37" s="199" t="s">
        <v>210</v>
      </c>
      <c r="H37" s="199">
        <v>30</v>
      </c>
      <c r="I37" s="199">
        <v>200</v>
      </c>
      <c r="J37" s="199">
        <v>4.8</v>
      </c>
      <c r="K37" s="199">
        <v>3</v>
      </c>
      <c r="L37" s="199">
        <v>3</v>
      </c>
      <c r="M37" s="199">
        <v>3</v>
      </c>
      <c r="N37" s="199">
        <v>60</v>
      </c>
      <c r="O37" s="199">
        <v>150</v>
      </c>
      <c r="P37" s="199">
        <v>5</v>
      </c>
      <c r="Q37" s="199"/>
      <c r="R37" s="199">
        <v>550</v>
      </c>
      <c r="S37" s="199">
        <v>800</v>
      </c>
      <c r="IS37"/>
      <c r="IT37"/>
    </row>
    <row r="38" spans="2:254">
      <c r="B38" s="199">
        <v>3</v>
      </c>
      <c r="C38" s="199">
        <v>135</v>
      </c>
      <c r="D38" s="199">
        <v>90</v>
      </c>
      <c r="E38" s="199"/>
      <c r="F38" s="199"/>
      <c r="G38" s="199" t="s">
        <v>212</v>
      </c>
      <c r="H38" s="199">
        <v>40</v>
      </c>
      <c r="I38" s="199">
        <v>300</v>
      </c>
      <c r="J38" s="199">
        <v>6.1</v>
      </c>
      <c r="K38" s="199">
        <v>4</v>
      </c>
      <c r="L38" s="199">
        <v>4</v>
      </c>
      <c r="M38" s="199">
        <v>4</v>
      </c>
      <c r="N38" s="199">
        <v>70</v>
      </c>
      <c r="O38" s="199">
        <v>220</v>
      </c>
      <c r="P38" s="199">
        <v>6</v>
      </c>
      <c r="Q38" s="199"/>
      <c r="R38" s="199">
        <v>750</v>
      </c>
      <c r="S38" s="199">
        <v>1550</v>
      </c>
      <c r="IS38"/>
      <c r="IT38"/>
    </row>
    <row r="39" spans="2:254">
      <c r="B39" s="199">
        <v>4</v>
      </c>
      <c r="C39" s="199">
        <v>195</v>
      </c>
      <c r="D39" s="199">
        <v>130</v>
      </c>
      <c r="E39" s="199"/>
      <c r="F39" s="199"/>
      <c r="G39" s="199" t="s">
        <v>214</v>
      </c>
      <c r="H39" s="199">
        <v>60</v>
      </c>
      <c r="I39" s="199">
        <v>400</v>
      </c>
      <c r="J39" s="199">
        <v>7.5</v>
      </c>
      <c r="K39" s="199">
        <v>5</v>
      </c>
      <c r="L39" s="199">
        <v>5</v>
      </c>
      <c r="M39" s="199">
        <v>5</v>
      </c>
      <c r="N39" s="199">
        <v>80</v>
      </c>
      <c r="O39" s="199">
        <v>300</v>
      </c>
      <c r="P39" s="199">
        <v>7</v>
      </c>
      <c r="Q39" s="199"/>
      <c r="R39" s="199">
        <v>950</v>
      </c>
      <c r="S39" s="199">
        <v>2500</v>
      </c>
      <c r="IS39"/>
      <c r="IT39"/>
    </row>
    <row r="40" spans="2:254">
      <c r="B40" s="199">
        <v>5</v>
      </c>
      <c r="C40" s="199">
        <v>270</v>
      </c>
      <c r="D40" s="199">
        <v>180</v>
      </c>
      <c r="E40" s="199">
        <v>180</v>
      </c>
      <c r="F40" s="199"/>
      <c r="G40" s="199" t="s">
        <v>216</v>
      </c>
      <c r="H40" s="199">
        <v>100</v>
      </c>
      <c r="I40" s="199">
        <v>700</v>
      </c>
      <c r="J40" s="199">
        <v>9</v>
      </c>
      <c r="K40" s="199">
        <v>6</v>
      </c>
      <c r="L40" s="199">
        <v>6</v>
      </c>
      <c r="M40" s="199">
        <v>6</v>
      </c>
      <c r="N40" s="199">
        <v>90</v>
      </c>
      <c r="O40" s="199">
        <v>390</v>
      </c>
      <c r="P40" s="199">
        <v>10</v>
      </c>
      <c r="Q40" s="199"/>
      <c r="R40" s="199">
        <v>1800</v>
      </c>
      <c r="S40" s="199">
        <v>4300</v>
      </c>
      <c r="IS40"/>
      <c r="IT40"/>
    </row>
    <row r="41" spans="2:254">
      <c r="B41" s="199">
        <v>6</v>
      </c>
      <c r="C41" s="199">
        <v>360</v>
      </c>
      <c r="D41" s="199">
        <v>240</v>
      </c>
      <c r="E41" s="199">
        <v>249</v>
      </c>
      <c r="F41" s="199"/>
      <c r="G41" s="199" t="s">
        <v>218</v>
      </c>
      <c r="H41" s="199">
        <v>150</v>
      </c>
      <c r="I41" s="199">
        <v>1100</v>
      </c>
      <c r="J41" s="199">
        <v>10.6</v>
      </c>
      <c r="K41" s="199">
        <v>7</v>
      </c>
      <c r="L41" s="199">
        <v>7</v>
      </c>
      <c r="M41" s="199">
        <v>7</v>
      </c>
      <c r="N41" s="199">
        <v>100</v>
      </c>
      <c r="O41" s="199">
        <v>490</v>
      </c>
      <c r="P41" s="199">
        <v>11</v>
      </c>
      <c r="Q41" s="199"/>
      <c r="R41" s="199">
        <v>2100</v>
      </c>
      <c r="S41" s="199">
        <v>6400</v>
      </c>
      <c r="IS41"/>
      <c r="IT41"/>
    </row>
    <row r="42" spans="2:254">
      <c r="B42" s="199">
        <v>7</v>
      </c>
      <c r="C42" s="199">
        <v>465</v>
      </c>
      <c r="D42" s="199">
        <v>310</v>
      </c>
      <c r="E42" s="199">
        <v>310</v>
      </c>
      <c r="F42" s="199"/>
      <c r="G42" s="199" t="s">
        <v>220</v>
      </c>
      <c r="H42" s="199">
        <v>220</v>
      </c>
      <c r="I42" s="199">
        <v>1600</v>
      </c>
      <c r="J42" s="199">
        <v>12.3</v>
      </c>
      <c r="K42" s="199">
        <v>8</v>
      </c>
      <c r="L42" s="199">
        <v>8</v>
      </c>
      <c r="M42" s="199">
        <v>8</v>
      </c>
      <c r="N42" s="199">
        <v>115</v>
      </c>
      <c r="O42" s="199">
        <v>605</v>
      </c>
      <c r="P42" s="199">
        <v>12</v>
      </c>
      <c r="Q42" s="199"/>
      <c r="R42" s="199">
        <v>2400</v>
      </c>
      <c r="S42" s="199">
        <v>8800</v>
      </c>
      <c r="IS42"/>
      <c r="IT42"/>
    </row>
    <row r="43" spans="2:254">
      <c r="B43" s="199">
        <v>8</v>
      </c>
      <c r="C43" s="199">
        <v>585</v>
      </c>
      <c r="D43" s="199">
        <v>390</v>
      </c>
      <c r="E43" s="199">
        <v>390</v>
      </c>
      <c r="F43" s="199">
        <v>585</v>
      </c>
      <c r="G43" s="199" t="s">
        <v>222</v>
      </c>
      <c r="H43" s="199">
        <v>400</v>
      </c>
      <c r="I43" s="199">
        <v>2800</v>
      </c>
      <c r="J43" s="199">
        <v>14.1</v>
      </c>
      <c r="K43" s="199">
        <v>9</v>
      </c>
      <c r="L43" s="199">
        <v>9</v>
      </c>
      <c r="M43" s="199">
        <v>9</v>
      </c>
      <c r="N43" s="199">
        <v>130</v>
      </c>
      <c r="O43" s="199">
        <v>735</v>
      </c>
      <c r="P43" s="199">
        <v>18</v>
      </c>
      <c r="Q43" s="199"/>
      <c r="R43" s="199">
        <v>4500</v>
      </c>
      <c r="S43" s="199">
        <v>13300</v>
      </c>
      <c r="IS43"/>
      <c r="IT43"/>
    </row>
    <row r="44" spans="2:254">
      <c r="B44" s="199">
        <v>9</v>
      </c>
      <c r="C44" s="199">
        <v>720</v>
      </c>
      <c r="D44" s="199">
        <v>480</v>
      </c>
      <c r="E44" s="199">
        <v>480</v>
      </c>
      <c r="F44" s="199">
        <v>720</v>
      </c>
      <c r="G44" s="199" t="s">
        <v>224</v>
      </c>
      <c r="H44" s="199">
        <v>700</v>
      </c>
      <c r="I44" s="199">
        <v>4800</v>
      </c>
      <c r="J44" s="199">
        <v>16</v>
      </c>
      <c r="K44" s="199">
        <v>10</v>
      </c>
      <c r="L44" s="199">
        <v>10</v>
      </c>
      <c r="M44" s="199">
        <v>10</v>
      </c>
      <c r="N44" s="199">
        <v>150</v>
      </c>
      <c r="O44" s="199">
        <v>885</v>
      </c>
      <c r="P44" s="199">
        <v>20</v>
      </c>
      <c r="Q44" s="199"/>
      <c r="R44" s="199">
        <v>5500</v>
      </c>
      <c r="S44" s="199">
        <v>18800</v>
      </c>
      <c r="IS44"/>
      <c r="IT44"/>
    </row>
    <row r="45" spans="2:254">
      <c r="B45" s="199" t="s">
        <v>226</v>
      </c>
      <c r="C45" s="199"/>
      <c r="D45" s="199"/>
      <c r="E45" s="199"/>
      <c r="F45" s="199"/>
      <c r="G45" s="199"/>
      <c r="H45" s="199">
        <v>1720</v>
      </c>
      <c r="I45" s="199">
        <v>12000</v>
      </c>
      <c r="J45" s="199"/>
      <c r="K45" s="199"/>
      <c r="L45" s="199"/>
      <c r="M45" s="199"/>
      <c r="N45" s="199">
        <v>885</v>
      </c>
      <c r="O45" s="201"/>
      <c r="P45" s="201"/>
      <c r="Q45" s="202"/>
      <c r="R45" s="199">
        <v>18800</v>
      </c>
      <c r="S45" s="199"/>
      <c r="IS45"/>
      <c r="IT45"/>
    </row>
    <row r="46" spans="2:254">
      <c r="IS46"/>
      <c r="IT46"/>
    </row>
    <row r="47" spans="2:254">
      <c r="B47" s="199" t="s">
        <v>257</v>
      </c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IS47"/>
      <c r="IT47"/>
    </row>
    <row r="48" spans="2:254">
      <c r="B48" s="199" t="s">
        <v>177</v>
      </c>
      <c r="C48" s="199" t="s">
        <v>178</v>
      </c>
      <c r="D48" s="199"/>
      <c r="E48" s="199"/>
      <c r="F48" s="199"/>
      <c r="G48" s="199" t="s">
        <v>179</v>
      </c>
      <c r="H48" s="199" t="s">
        <v>180</v>
      </c>
      <c r="I48" s="199"/>
      <c r="J48" s="199" t="s">
        <v>181</v>
      </c>
      <c r="K48" s="199" t="s">
        <v>185</v>
      </c>
      <c r="L48" s="199"/>
      <c r="M48" s="199"/>
      <c r="N48" s="200" t="s">
        <v>186</v>
      </c>
      <c r="O48" s="200" t="s">
        <v>187</v>
      </c>
      <c r="P48" s="199" t="s">
        <v>3783</v>
      </c>
      <c r="Q48" s="199"/>
      <c r="R48" s="200" t="s">
        <v>183</v>
      </c>
      <c r="S48" s="200" t="s">
        <v>184</v>
      </c>
      <c r="IS48"/>
      <c r="IT48"/>
    </row>
    <row r="49" spans="2:254">
      <c r="B49" s="199"/>
      <c r="C49" s="199" t="s">
        <v>189</v>
      </c>
      <c r="D49" s="199" t="s">
        <v>198</v>
      </c>
      <c r="E49" s="199" t="s">
        <v>190</v>
      </c>
      <c r="F49" s="199" t="s">
        <v>191</v>
      </c>
      <c r="G49" s="199"/>
      <c r="H49" s="199" t="s">
        <v>193</v>
      </c>
      <c r="I49" s="199" t="s">
        <v>194</v>
      </c>
      <c r="J49" s="199"/>
      <c r="K49" s="199" t="s">
        <v>258</v>
      </c>
      <c r="L49" s="199" t="s">
        <v>259</v>
      </c>
      <c r="M49" s="199" t="s">
        <v>197</v>
      </c>
      <c r="N49" s="199"/>
      <c r="O49" s="199"/>
      <c r="P49" s="199"/>
      <c r="Q49" s="199"/>
      <c r="R49" s="199"/>
      <c r="S49" s="199"/>
      <c r="IS49"/>
      <c r="IT49"/>
    </row>
    <row r="50" spans="2:254">
      <c r="B50" s="199">
        <v>0</v>
      </c>
      <c r="C50" s="199">
        <v>240</v>
      </c>
      <c r="D50" s="199"/>
      <c r="E50" s="199"/>
      <c r="F50" s="199"/>
      <c r="G50" s="199" t="s">
        <v>205</v>
      </c>
      <c r="H50" s="199"/>
      <c r="I50" s="199"/>
      <c r="J50" s="199">
        <v>2.5</v>
      </c>
      <c r="K50" s="199">
        <v>0.5</v>
      </c>
      <c r="L50" s="199">
        <v>0.5</v>
      </c>
      <c r="M50" s="199">
        <v>1</v>
      </c>
      <c r="N50" s="199">
        <v>40</v>
      </c>
      <c r="O50" s="199">
        <v>40</v>
      </c>
      <c r="P50" s="199">
        <v>2</v>
      </c>
      <c r="Q50" s="199"/>
      <c r="R50" s="199">
        <v>100</v>
      </c>
      <c r="S50" s="199">
        <v>100</v>
      </c>
      <c r="IS50"/>
      <c r="IT50"/>
    </row>
    <row r="51" spans="2:254">
      <c r="B51" s="199">
        <v>1</v>
      </c>
      <c r="C51" s="199">
        <v>320</v>
      </c>
      <c r="D51" s="199"/>
      <c r="E51" s="199"/>
      <c r="F51" s="199"/>
      <c r="G51" s="199" t="s">
        <v>208</v>
      </c>
      <c r="H51" s="199">
        <v>20</v>
      </c>
      <c r="I51" s="199">
        <v>100</v>
      </c>
      <c r="J51" s="199">
        <v>3.6</v>
      </c>
      <c r="K51" s="199">
        <v>1</v>
      </c>
      <c r="L51" s="199">
        <v>1</v>
      </c>
      <c r="M51" s="199">
        <v>2</v>
      </c>
      <c r="N51" s="199">
        <v>50</v>
      </c>
      <c r="O51" s="199">
        <v>90</v>
      </c>
      <c r="P51" s="199">
        <v>3</v>
      </c>
      <c r="Q51" s="199"/>
      <c r="R51" s="199">
        <v>150</v>
      </c>
      <c r="S51" s="199">
        <v>250</v>
      </c>
      <c r="IS51"/>
      <c r="IT51"/>
    </row>
    <row r="52" spans="2:254">
      <c r="B52" s="199">
        <v>2</v>
      </c>
      <c r="C52" s="199">
        <v>480</v>
      </c>
      <c r="D52" s="199">
        <v>90</v>
      </c>
      <c r="E52" s="199"/>
      <c r="F52" s="199"/>
      <c r="G52" s="199" t="s">
        <v>210</v>
      </c>
      <c r="H52" s="199">
        <v>30</v>
      </c>
      <c r="I52" s="199">
        <v>200</v>
      </c>
      <c r="J52" s="199">
        <v>4.8</v>
      </c>
      <c r="K52" s="199">
        <v>1.5</v>
      </c>
      <c r="L52" s="199">
        <v>1.5</v>
      </c>
      <c r="M52" s="199">
        <v>3</v>
      </c>
      <c r="N52" s="199">
        <v>60</v>
      </c>
      <c r="O52" s="199">
        <v>150</v>
      </c>
      <c r="P52" s="199">
        <v>5</v>
      </c>
      <c r="Q52" s="199"/>
      <c r="R52" s="199">
        <v>550</v>
      </c>
      <c r="S52" s="199">
        <v>800</v>
      </c>
      <c r="IS52"/>
      <c r="IT52"/>
    </row>
    <row r="53" spans="2:254">
      <c r="B53" s="199">
        <v>3</v>
      </c>
      <c r="C53" s="199">
        <v>720</v>
      </c>
      <c r="D53" s="199">
        <v>135</v>
      </c>
      <c r="E53" s="199"/>
      <c r="F53" s="199"/>
      <c r="G53" s="199" t="s">
        <v>212</v>
      </c>
      <c r="H53" s="199">
        <v>40</v>
      </c>
      <c r="I53" s="199">
        <v>300</v>
      </c>
      <c r="J53" s="199">
        <v>6.1</v>
      </c>
      <c r="K53" s="199">
        <v>2</v>
      </c>
      <c r="L53" s="199">
        <v>2</v>
      </c>
      <c r="M53" s="199">
        <v>4</v>
      </c>
      <c r="N53" s="199">
        <v>70</v>
      </c>
      <c r="O53" s="199">
        <v>220</v>
      </c>
      <c r="P53" s="199">
        <v>6</v>
      </c>
      <c r="Q53" s="199"/>
      <c r="R53" s="199">
        <v>750</v>
      </c>
      <c r="S53" s="199">
        <v>1550</v>
      </c>
      <c r="IS53"/>
      <c r="IT53"/>
    </row>
    <row r="54" spans="2:254">
      <c r="B54" s="199">
        <v>4</v>
      </c>
      <c r="C54" s="199">
        <v>1040</v>
      </c>
      <c r="D54" s="199">
        <v>195</v>
      </c>
      <c r="E54" s="199"/>
      <c r="F54" s="199"/>
      <c r="G54" s="199" t="s">
        <v>214</v>
      </c>
      <c r="H54" s="199">
        <v>60</v>
      </c>
      <c r="I54" s="199">
        <v>400</v>
      </c>
      <c r="J54" s="199">
        <v>7.5</v>
      </c>
      <c r="K54" s="199">
        <v>2.5</v>
      </c>
      <c r="L54" s="199">
        <v>2.5</v>
      </c>
      <c r="M54" s="199">
        <v>5</v>
      </c>
      <c r="N54" s="199">
        <v>80</v>
      </c>
      <c r="O54" s="199">
        <v>300</v>
      </c>
      <c r="P54" s="199">
        <v>7</v>
      </c>
      <c r="Q54" s="199"/>
      <c r="R54" s="199">
        <v>950</v>
      </c>
      <c r="S54" s="199">
        <v>2500</v>
      </c>
      <c r="IS54"/>
      <c r="IT54"/>
    </row>
    <row r="55" spans="2:254">
      <c r="B55" s="199">
        <v>5</v>
      </c>
      <c r="C55" s="199">
        <v>1440</v>
      </c>
      <c r="D55" s="199">
        <v>270</v>
      </c>
      <c r="E55" s="199">
        <v>270</v>
      </c>
      <c r="F55" s="199"/>
      <c r="G55" s="199" t="s">
        <v>216</v>
      </c>
      <c r="H55" s="199">
        <v>100</v>
      </c>
      <c r="I55" s="199">
        <v>700</v>
      </c>
      <c r="J55" s="199">
        <v>9</v>
      </c>
      <c r="K55" s="199">
        <v>3</v>
      </c>
      <c r="L55" s="199">
        <v>3</v>
      </c>
      <c r="M55" s="199">
        <v>6</v>
      </c>
      <c r="N55" s="199">
        <v>90</v>
      </c>
      <c r="O55" s="199">
        <v>390</v>
      </c>
      <c r="P55" s="199">
        <v>10</v>
      </c>
      <c r="Q55" s="199"/>
      <c r="R55" s="199">
        <v>1800</v>
      </c>
      <c r="S55" s="199">
        <v>4300</v>
      </c>
      <c r="IS55"/>
      <c r="IT55"/>
    </row>
    <row r="56" spans="2:254">
      <c r="B56" s="199">
        <v>6</v>
      </c>
      <c r="C56" s="199">
        <v>1920</v>
      </c>
      <c r="D56" s="199">
        <v>360</v>
      </c>
      <c r="E56" s="199">
        <v>360</v>
      </c>
      <c r="F56" s="199"/>
      <c r="G56" s="199" t="s">
        <v>218</v>
      </c>
      <c r="H56" s="199">
        <v>150</v>
      </c>
      <c r="I56" s="199">
        <v>1100</v>
      </c>
      <c r="J56" s="199">
        <v>10.6</v>
      </c>
      <c r="K56" s="199">
        <v>3.5</v>
      </c>
      <c r="L56" s="199">
        <v>3.5</v>
      </c>
      <c r="M56" s="199">
        <v>7</v>
      </c>
      <c r="N56" s="199">
        <v>100</v>
      </c>
      <c r="O56" s="199">
        <v>490</v>
      </c>
      <c r="P56" s="199">
        <v>11</v>
      </c>
      <c r="Q56" s="199"/>
      <c r="R56" s="199">
        <v>2100</v>
      </c>
      <c r="S56" s="199">
        <v>6400</v>
      </c>
      <c r="IS56"/>
      <c r="IT56"/>
    </row>
    <row r="57" spans="2:254">
      <c r="B57" s="199">
        <v>7</v>
      </c>
      <c r="C57" s="199">
        <v>2480</v>
      </c>
      <c r="D57" s="199">
        <v>465</v>
      </c>
      <c r="E57" s="199">
        <v>465</v>
      </c>
      <c r="F57" s="199"/>
      <c r="G57" s="199" t="s">
        <v>220</v>
      </c>
      <c r="H57" s="199">
        <v>220</v>
      </c>
      <c r="I57" s="199">
        <v>1600</v>
      </c>
      <c r="J57" s="199">
        <v>12.3</v>
      </c>
      <c r="K57" s="199">
        <v>4</v>
      </c>
      <c r="L57" s="199">
        <v>4</v>
      </c>
      <c r="M57" s="199">
        <v>8</v>
      </c>
      <c r="N57" s="199">
        <v>115</v>
      </c>
      <c r="O57" s="199">
        <v>605</v>
      </c>
      <c r="P57" s="199">
        <v>12</v>
      </c>
      <c r="Q57" s="199"/>
      <c r="R57" s="199">
        <v>2400</v>
      </c>
      <c r="S57" s="199">
        <v>8800</v>
      </c>
      <c r="IS57"/>
      <c r="IT57"/>
    </row>
    <row r="58" spans="2:254">
      <c r="B58" s="199">
        <v>8</v>
      </c>
      <c r="C58" s="199">
        <v>3120</v>
      </c>
      <c r="D58" s="199">
        <v>585</v>
      </c>
      <c r="E58" s="199">
        <v>585</v>
      </c>
      <c r="F58" s="199">
        <v>390</v>
      </c>
      <c r="G58" s="199" t="s">
        <v>222</v>
      </c>
      <c r="H58" s="199">
        <v>400</v>
      </c>
      <c r="I58" s="199">
        <v>2800</v>
      </c>
      <c r="J58" s="199">
        <v>14.1</v>
      </c>
      <c r="K58" s="199">
        <v>4.5</v>
      </c>
      <c r="L58" s="199">
        <v>4.5</v>
      </c>
      <c r="M58" s="199">
        <v>9</v>
      </c>
      <c r="N58" s="199">
        <v>130</v>
      </c>
      <c r="O58" s="199">
        <v>735</v>
      </c>
      <c r="P58" s="199">
        <v>18</v>
      </c>
      <c r="Q58" s="199"/>
      <c r="R58" s="199">
        <v>4500</v>
      </c>
      <c r="S58" s="199">
        <v>13300</v>
      </c>
    </row>
    <row r="59" spans="2:254">
      <c r="B59" s="199">
        <v>9</v>
      </c>
      <c r="C59" s="199">
        <v>3840</v>
      </c>
      <c r="D59" s="199">
        <v>720</v>
      </c>
      <c r="E59" s="199">
        <v>720</v>
      </c>
      <c r="F59" s="199">
        <v>480</v>
      </c>
      <c r="G59" s="199" t="s">
        <v>224</v>
      </c>
      <c r="H59" s="199">
        <v>700</v>
      </c>
      <c r="I59" s="199">
        <v>4800</v>
      </c>
      <c r="J59" s="199">
        <v>16</v>
      </c>
      <c r="K59" s="199">
        <v>5</v>
      </c>
      <c r="L59" s="199">
        <v>5</v>
      </c>
      <c r="M59" s="199">
        <v>10</v>
      </c>
      <c r="N59" s="199">
        <v>150</v>
      </c>
      <c r="O59" s="199">
        <v>885</v>
      </c>
      <c r="P59" s="199">
        <v>20</v>
      </c>
      <c r="Q59" s="199"/>
      <c r="R59" s="199">
        <v>5500</v>
      </c>
      <c r="S59" s="199">
        <v>18800</v>
      </c>
    </row>
    <row r="60" spans="2:254">
      <c r="B60" s="199" t="s">
        <v>226</v>
      </c>
      <c r="C60" s="199"/>
      <c r="D60" s="199"/>
      <c r="E60" s="199"/>
      <c r="F60" s="199"/>
      <c r="G60" s="199"/>
      <c r="H60" s="199">
        <v>1720</v>
      </c>
      <c r="I60" s="199">
        <v>12000</v>
      </c>
      <c r="J60" s="199"/>
      <c r="K60" s="199"/>
      <c r="L60" s="199"/>
      <c r="M60" s="199"/>
      <c r="N60" s="199">
        <v>885</v>
      </c>
      <c r="O60" s="201"/>
      <c r="P60" s="201"/>
      <c r="Q60" s="202"/>
      <c r="R60" s="199">
        <v>18800</v>
      </c>
      <c r="S60" s="199"/>
    </row>
  </sheetData>
  <mergeCells count="92">
    <mergeCell ref="B2:S2"/>
    <mergeCell ref="C3:F3"/>
    <mergeCell ref="H3:I3"/>
    <mergeCell ref="K3:M3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B17:S17"/>
    <mergeCell ref="C18:F18"/>
    <mergeCell ref="H18:I18"/>
    <mergeCell ref="K18:M18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B32:S32"/>
    <mergeCell ref="C33:F33"/>
    <mergeCell ref="H33:I33"/>
    <mergeCell ref="K33:M33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B47:S47"/>
    <mergeCell ref="C48:F48"/>
    <mergeCell ref="H48:I48"/>
    <mergeCell ref="K48:M48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B3:B4"/>
    <mergeCell ref="B18:B19"/>
    <mergeCell ref="B33:B34"/>
    <mergeCell ref="B48:B49"/>
    <mergeCell ref="G3:G4"/>
    <mergeCell ref="G18:G19"/>
    <mergeCell ref="G33:G34"/>
    <mergeCell ref="G48:G49"/>
    <mergeCell ref="J3:J4"/>
    <mergeCell ref="J18:J19"/>
    <mergeCell ref="J33:J34"/>
    <mergeCell ref="J48:J49"/>
    <mergeCell ref="N3:N4"/>
    <mergeCell ref="N18:N19"/>
    <mergeCell ref="N33:N34"/>
    <mergeCell ref="N48:N49"/>
    <mergeCell ref="O3:O4"/>
    <mergeCell ref="O18:O19"/>
    <mergeCell ref="O33:O34"/>
    <mergeCell ref="O48:O49"/>
    <mergeCell ref="R3:R4"/>
    <mergeCell ref="R18:R19"/>
    <mergeCell ref="R33:R34"/>
    <mergeCell ref="R48:R49"/>
    <mergeCell ref="S3:S4"/>
    <mergeCell ref="S18:S19"/>
    <mergeCell ref="S33:S34"/>
    <mergeCell ref="S48:S49"/>
    <mergeCell ref="P3:Q4"/>
    <mergeCell ref="P18:Q19"/>
    <mergeCell ref="P33:Q34"/>
    <mergeCell ref="P48:Q49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60"/>
  <sheetViews>
    <sheetView workbookViewId="0">
      <selection activeCell="K22" sqref="K22"/>
    </sheetView>
  </sheetViews>
  <sheetFormatPr defaultColWidth="9" defaultRowHeight="13.5"/>
  <cols>
    <col min="1" max="1" width="2.625" style="178" customWidth="1"/>
    <col min="2" max="20" width="10.625" style="178" customWidth="1"/>
    <col min="21" max="16384" width="9" style="178"/>
  </cols>
  <sheetData>
    <row r="2" spans="2:20">
      <c r="B2" s="179" t="s">
        <v>3785</v>
      </c>
      <c r="C2" s="179"/>
      <c r="D2" s="179"/>
      <c r="E2" s="179"/>
      <c r="F2" s="179"/>
      <c r="G2" s="179" t="s">
        <v>3786</v>
      </c>
      <c r="H2" s="179"/>
      <c r="I2" s="179"/>
      <c r="J2" s="179"/>
      <c r="K2" s="179"/>
      <c r="L2" s="179" t="s">
        <v>3787</v>
      </c>
      <c r="M2" s="179"/>
      <c r="N2" s="179"/>
      <c r="O2" s="179"/>
      <c r="P2" s="179"/>
      <c r="R2" s="178" t="s">
        <v>3788</v>
      </c>
    </row>
    <row r="3" spans="2:20">
      <c r="B3" s="179" t="s">
        <v>3789</v>
      </c>
      <c r="C3" s="180" t="s">
        <v>3790</v>
      </c>
      <c r="D3" s="180" t="s">
        <v>3791</v>
      </c>
      <c r="E3" s="180" t="s">
        <v>3792</v>
      </c>
      <c r="F3" s="179"/>
      <c r="G3" s="179" t="s">
        <v>3789</v>
      </c>
      <c r="H3" s="181" t="s">
        <v>3793</v>
      </c>
      <c r="I3" s="181" t="s">
        <v>3794</v>
      </c>
      <c r="J3" s="181" t="s">
        <v>3795</v>
      </c>
      <c r="K3" s="179"/>
      <c r="L3" s="179" t="s">
        <v>3789</v>
      </c>
      <c r="M3" s="182" t="s">
        <v>3796</v>
      </c>
      <c r="N3" s="182" t="s">
        <v>3797</v>
      </c>
      <c r="O3" s="182" t="s">
        <v>3798</v>
      </c>
      <c r="P3" s="179"/>
    </row>
    <row r="4" spans="2:20">
      <c r="B4" s="179"/>
      <c r="C4" s="180" t="s">
        <v>3799</v>
      </c>
      <c r="D4" s="180" t="s">
        <v>3800</v>
      </c>
      <c r="E4" s="180" t="s">
        <v>3801</v>
      </c>
      <c r="F4" s="179"/>
      <c r="G4" s="179"/>
      <c r="H4" s="181" t="s">
        <v>3802</v>
      </c>
      <c r="I4" s="181" t="s">
        <v>3803</v>
      </c>
      <c r="J4" s="181" t="s">
        <v>3804</v>
      </c>
      <c r="K4" s="179"/>
      <c r="L4" s="179"/>
      <c r="M4" s="182" t="s">
        <v>3805</v>
      </c>
      <c r="N4" s="182" t="s">
        <v>3806</v>
      </c>
      <c r="O4" s="182" t="s">
        <v>3807</v>
      </c>
      <c r="P4" s="179"/>
      <c r="R4" s="179" t="s">
        <v>3808</v>
      </c>
      <c r="S4" s="179" t="s">
        <v>1277</v>
      </c>
      <c r="T4" s="179" t="s">
        <v>954</v>
      </c>
    </row>
    <row r="5" spans="2:20">
      <c r="B5" s="179" t="s">
        <v>3809</v>
      </c>
      <c r="C5" s="179" t="s">
        <v>3810</v>
      </c>
      <c r="D5" s="179" t="s">
        <v>3811</v>
      </c>
      <c r="E5" s="179" t="s">
        <v>3812</v>
      </c>
      <c r="F5" s="179"/>
      <c r="G5" s="179" t="s">
        <v>3809</v>
      </c>
      <c r="H5" s="179" t="s">
        <v>3810</v>
      </c>
      <c r="I5" s="179" t="s">
        <v>3811</v>
      </c>
      <c r="J5" s="179" t="s">
        <v>3812</v>
      </c>
      <c r="K5" s="179"/>
      <c r="L5" s="179" t="s">
        <v>3809</v>
      </c>
      <c r="M5" s="179" t="s">
        <v>3810</v>
      </c>
      <c r="N5" s="179" t="s">
        <v>3811</v>
      </c>
      <c r="O5" s="179" t="s">
        <v>3812</v>
      </c>
      <c r="P5" s="179"/>
      <c r="R5" s="180" t="s">
        <v>3799</v>
      </c>
      <c r="S5" s="180" t="s">
        <v>3790</v>
      </c>
      <c r="T5" s="180">
        <v>3</v>
      </c>
    </row>
    <row r="6" spans="2:20">
      <c r="B6" s="179">
        <v>1</v>
      </c>
      <c r="C6" s="183" t="s">
        <v>191</v>
      </c>
      <c r="D6" s="183">
        <v>4500</v>
      </c>
      <c r="E6" s="183">
        <v>3</v>
      </c>
      <c r="F6" s="179"/>
      <c r="G6" s="179">
        <v>1</v>
      </c>
      <c r="H6" s="183" t="s">
        <v>191</v>
      </c>
      <c r="I6" s="183">
        <v>4500</v>
      </c>
      <c r="J6" s="183">
        <v>3</v>
      </c>
      <c r="K6" s="179"/>
      <c r="L6" s="179">
        <v>1</v>
      </c>
      <c r="M6" s="183" t="s">
        <v>191</v>
      </c>
      <c r="N6" s="183">
        <v>4500</v>
      </c>
      <c r="O6" s="183">
        <v>3</v>
      </c>
      <c r="P6" s="179"/>
      <c r="R6" s="180" t="s">
        <v>3800</v>
      </c>
      <c r="S6" s="180" t="s">
        <v>3791</v>
      </c>
      <c r="T6" s="180">
        <v>3</v>
      </c>
    </row>
    <row r="7" spans="2:20">
      <c r="B7" s="179">
        <v>10</v>
      </c>
      <c r="C7" s="184" t="s">
        <v>199</v>
      </c>
      <c r="D7" s="184">
        <v>36000</v>
      </c>
      <c r="E7" s="184">
        <v>24</v>
      </c>
      <c r="F7" s="179"/>
      <c r="G7" s="179">
        <v>10</v>
      </c>
      <c r="H7" s="185" t="s">
        <v>189</v>
      </c>
      <c r="I7" s="185">
        <v>36000</v>
      </c>
      <c r="J7" s="185">
        <v>24</v>
      </c>
      <c r="K7" s="179"/>
      <c r="L7" s="179">
        <v>10</v>
      </c>
      <c r="M7" s="186" t="s">
        <v>190</v>
      </c>
      <c r="N7" s="186">
        <v>4500</v>
      </c>
      <c r="O7" s="186">
        <v>3</v>
      </c>
      <c r="P7" s="179"/>
      <c r="R7" s="180" t="s">
        <v>3801</v>
      </c>
      <c r="S7" s="180" t="s">
        <v>3792</v>
      </c>
      <c r="T7" s="180">
        <v>3</v>
      </c>
    </row>
    <row r="8" spans="2:20">
      <c r="B8" s="179">
        <v>20</v>
      </c>
      <c r="C8" s="186" t="s">
        <v>190</v>
      </c>
      <c r="D8" s="186">
        <v>4500</v>
      </c>
      <c r="E8" s="186">
        <v>3</v>
      </c>
      <c r="F8" s="179"/>
      <c r="G8" s="179">
        <v>20</v>
      </c>
      <c r="H8" s="184" t="s">
        <v>199</v>
      </c>
      <c r="I8" s="184">
        <v>36000</v>
      </c>
      <c r="J8" s="184">
        <v>24</v>
      </c>
      <c r="K8" s="179"/>
      <c r="L8" s="179">
        <v>20</v>
      </c>
      <c r="M8" s="185" t="s">
        <v>189</v>
      </c>
      <c r="N8" s="185">
        <v>36000</v>
      </c>
      <c r="O8" s="185">
        <v>24</v>
      </c>
      <c r="P8" s="179"/>
      <c r="R8" s="179"/>
      <c r="S8" s="179"/>
    </row>
    <row r="9" spans="2:20">
      <c r="B9" s="179">
        <v>30</v>
      </c>
      <c r="C9" s="185" t="s">
        <v>189</v>
      </c>
      <c r="D9" s="185">
        <v>72000</v>
      </c>
      <c r="E9" s="185">
        <v>48</v>
      </c>
      <c r="F9" s="179"/>
      <c r="G9" s="179">
        <v>30</v>
      </c>
      <c r="H9" s="186" t="s">
        <v>190</v>
      </c>
      <c r="I9" s="186">
        <v>9000</v>
      </c>
      <c r="J9" s="186">
        <v>6</v>
      </c>
      <c r="K9" s="179"/>
      <c r="L9" s="179">
        <v>30</v>
      </c>
      <c r="M9" s="184" t="s">
        <v>199</v>
      </c>
      <c r="N9" s="184">
        <v>72000</v>
      </c>
      <c r="O9" s="184">
        <v>48</v>
      </c>
      <c r="P9" s="179"/>
      <c r="R9" s="181" t="s">
        <v>3802</v>
      </c>
      <c r="S9" s="181" t="s">
        <v>3793</v>
      </c>
      <c r="T9" s="181">
        <v>3</v>
      </c>
    </row>
    <row r="10" spans="2:20"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R10" s="181" t="s">
        <v>3803</v>
      </c>
      <c r="S10" s="181" t="s">
        <v>3794</v>
      </c>
      <c r="T10" s="181">
        <v>3</v>
      </c>
    </row>
    <row r="11" spans="2:20">
      <c r="B11" s="179" t="s">
        <v>3813</v>
      </c>
      <c r="C11" s="179"/>
      <c r="D11" s="179"/>
      <c r="E11" s="179"/>
      <c r="F11" s="179"/>
      <c r="G11" s="179" t="s">
        <v>3814</v>
      </c>
      <c r="H11" s="179"/>
      <c r="I11" s="179"/>
      <c r="J11" s="179"/>
      <c r="K11" s="179"/>
      <c r="L11" s="179" t="s">
        <v>3815</v>
      </c>
      <c r="M11" s="179"/>
      <c r="N11" s="179"/>
      <c r="O11" s="179"/>
      <c r="P11" s="179"/>
      <c r="R11" s="181" t="s">
        <v>3804</v>
      </c>
      <c r="S11" s="181" t="s">
        <v>3795</v>
      </c>
      <c r="T11" s="181">
        <v>3</v>
      </c>
    </row>
    <row r="12" spans="2:20">
      <c r="B12" s="179" t="s">
        <v>3789</v>
      </c>
      <c r="C12" s="187" t="s">
        <v>3816</v>
      </c>
      <c r="D12" s="180" t="s">
        <v>3790</v>
      </c>
      <c r="E12" s="181" t="s">
        <v>3793</v>
      </c>
      <c r="F12" s="182" t="s">
        <v>3796</v>
      </c>
      <c r="G12" s="179" t="s">
        <v>3789</v>
      </c>
      <c r="H12" s="188" t="s">
        <v>3817</v>
      </c>
      <c r="I12" s="180" t="s">
        <v>3791</v>
      </c>
      <c r="J12" s="181" t="s">
        <v>3794</v>
      </c>
      <c r="K12" s="182" t="s">
        <v>3797</v>
      </c>
      <c r="L12" s="179" t="s">
        <v>3789</v>
      </c>
      <c r="M12" s="189" t="s">
        <v>3818</v>
      </c>
      <c r="N12" s="180" t="s">
        <v>3792</v>
      </c>
      <c r="O12" s="181" t="s">
        <v>3795</v>
      </c>
      <c r="P12" s="182" t="s">
        <v>3798</v>
      </c>
      <c r="R12" s="179"/>
      <c r="S12" s="179"/>
    </row>
    <row r="13" spans="2:20">
      <c r="B13" s="179"/>
      <c r="C13" s="187" t="s">
        <v>3819</v>
      </c>
      <c r="D13" s="180" t="s">
        <v>3799</v>
      </c>
      <c r="E13" s="181" t="s">
        <v>3802</v>
      </c>
      <c r="F13" s="182" t="s">
        <v>3805</v>
      </c>
      <c r="G13" s="179"/>
      <c r="H13" s="188" t="s">
        <v>3820</v>
      </c>
      <c r="I13" s="180" t="s">
        <v>3800</v>
      </c>
      <c r="J13" s="181" t="s">
        <v>3803</v>
      </c>
      <c r="K13" s="182" t="s">
        <v>3806</v>
      </c>
      <c r="L13" s="179"/>
      <c r="M13" s="189" t="s">
        <v>3821</v>
      </c>
      <c r="N13" s="180" t="s">
        <v>3801</v>
      </c>
      <c r="O13" s="181" t="s">
        <v>3804</v>
      </c>
      <c r="P13" s="182" t="s">
        <v>3807</v>
      </c>
      <c r="R13" s="182" t="s">
        <v>3805</v>
      </c>
      <c r="S13" s="182" t="s">
        <v>3796</v>
      </c>
      <c r="T13" s="182">
        <v>3</v>
      </c>
    </row>
    <row r="14" spans="2:20">
      <c r="B14" s="179" t="s">
        <v>3809</v>
      </c>
      <c r="C14" s="179" t="s">
        <v>3810</v>
      </c>
      <c r="D14" s="179" t="s">
        <v>3811</v>
      </c>
      <c r="E14" s="179" t="s">
        <v>3812</v>
      </c>
      <c r="F14" s="179"/>
      <c r="G14" s="179" t="s">
        <v>3809</v>
      </c>
      <c r="H14" s="179" t="s">
        <v>3810</v>
      </c>
      <c r="I14" s="179" t="s">
        <v>3811</v>
      </c>
      <c r="J14" s="179" t="s">
        <v>3812</v>
      </c>
      <c r="K14" s="179"/>
      <c r="L14" s="179" t="s">
        <v>3809</v>
      </c>
      <c r="M14" s="179" t="s">
        <v>3810</v>
      </c>
      <c r="N14" s="179" t="s">
        <v>3811</v>
      </c>
      <c r="O14" s="179" t="s">
        <v>3812</v>
      </c>
      <c r="P14" s="179"/>
      <c r="R14" s="182" t="s">
        <v>3806</v>
      </c>
      <c r="S14" s="182" t="s">
        <v>3797</v>
      </c>
      <c r="T14" s="182">
        <v>3</v>
      </c>
    </row>
    <row r="15" spans="2:20">
      <c r="B15" s="179">
        <v>1</v>
      </c>
      <c r="C15" s="185" t="s">
        <v>189</v>
      </c>
      <c r="D15" s="185">
        <v>60000</v>
      </c>
      <c r="E15" s="185">
        <v>40</v>
      </c>
      <c r="F15" s="179"/>
      <c r="G15" s="179">
        <v>1</v>
      </c>
      <c r="H15" s="186" t="s">
        <v>190</v>
      </c>
      <c r="I15" s="186">
        <v>7500</v>
      </c>
      <c r="J15" s="186">
        <v>5</v>
      </c>
      <c r="K15" s="179"/>
      <c r="L15" s="179">
        <v>1</v>
      </c>
      <c r="M15" s="184" t="s">
        <v>199</v>
      </c>
      <c r="N15" s="184">
        <v>60000</v>
      </c>
      <c r="O15" s="184">
        <v>40</v>
      </c>
      <c r="P15" s="179"/>
      <c r="R15" s="182" t="s">
        <v>3807</v>
      </c>
      <c r="S15" s="182" t="s">
        <v>3798</v>
      </c>
      <c r="T15" s="182">
        <v>3</v>
      </c>
    </row>
    <row r="16" spans="2:20">
      <c r="B16" s="179">
        <v>12</v>
      </c>
      <c r="C16" s="186" t="s">
        <v>190</v>
      </c>
      <c r="D16" s="186">
        <v>7500</v>
      </c>
      <c r="E16" s="186">
        <v>5</v>
      </c>
      <c r="F16" s="179"/>
      <c r="G16" s="179">
        <v>12</v>
      </c>
      <c r="H16" s="184" t="s">
        <v>199</v>
      </c>
      <c r="I16" s="184">
        <v>60000</v>
      </c>
      <c r="J16" s="184">
        <v>40</v>
      </c>
      <c r="K16" s="179"/>
      <c r="L16" s="179">
        <v>12</v>
      </c>
      <c r="M16" s="185" t="s">
        <v>189</v>
      </c>
      <c r="N16" s="185">
        <v>60000</v>
      </c>
      <c r="O16" s="185">
        <v>40</v>
      </c>
      <c r="P16" s="179"/>
    </row>
    <row r="17" ht="15" customHeight="1" spans="2:23">
      <c r="B17" s="179">
        <v>25</v>
      </c>
      <c r="C17" s="184" t="s">
        <v>199</v>
      </c>
      <c r="D17" s="184">
        <v>60000</v>
      </c>
      <c r="E17" s="184">
        <v>40</v>
      </c>
      <c r="F17" s="179"/>
      <c r="G17" s="179">
        <v>25</v>
      </c>
      <c r="H17" s="185" t="s">
        <v>189</v>
      </c>
      <c r="I17" s="185">
        <v>60000</v>
      </c>
      <c r="J17" s="185">
        <v>40</v>
      </c>
      <c r="K17" s="179"/>
      <c r="L17" s="179">
        <v>25</v>
      </c>
      <c r="M17" s="186" t="s">
        <v>190</v>
      </c>
      <c r="N17" s="186">
        <v>7500</v>
      </c>
      <c r="O17" s="186">
        <v>5</v>
      </c>
      <c r="P17" s="178" t="s">
        <v>3822</v>
      </c>
      <c r="U17" s="178" t="s">
        <v>3823</v>
      </c>
    </row>
    <row r="18" ht="15" customHeight="1" spans="2:23">
      <c r="B18" s="179">
        <v>40</v>
      </c>
      <c r="C18" s="183" t="s">
        <v>191</v>
      </c>
      <c r="D18" s="183">
        <v>15000</v>
      </c>
      <c r="E18" s="183">
        <v>10</v>
      </c>
      <c r="F18" s="179"/>
      <c r="G18" s="179">
        <v>40</v>
      </c>
      <c r="H18" s="183" t="s">
        <v>191</v>
      </c>
      <c r="I18" s="183">
        <v>15000</v>
      </c>
      <c r="J18" s="183">
        <v>10</v>
      </c>
      <c r="K18" s="179"/>
      <c r="L18" s="179">
        <v>40</v>
      </c>
      <c r="M18" s="183" t="s">
        <v>191</v>
      </c>
      <c r="N18" s="183">
        <v>15000</v>
      </c>
      <c r="O18" s="183">
        <v>10</v>
      </c>
      <c r="P18" s="179"/>
      <c r="Q18" s="178">
        <v>2022.2</v>
      </c>
      <c r="R18" s="187" t="s">
        <v>3819</v>
      </c>
      <c r="S18" s="187" t="s">
        <v>3816</v>
      </c>
      <c r="T18" s="187">
        <v>3</v>
      </c>
      <c r="U18" s="178">
        <v>2022.2</v>
      </c>
      <c r="V18" s="178">
        <v>2022.5</v>
      </c>
      <c r="W18" s="178">
        <v>2022.8</v>
      </c>
    </row>
    <row r="19" ht="15" customHeight="1" spans="2:23"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8">
        <v>2022.5</v>
      </c>
      <c r="R19" s="187" t="s">
        <v>3824</v>
      </c>
      <c r="S19" s="187" t="s">
        <v>3825</v>
      </c>
      <c r="T19" s="187">
        <v>2</v>
      </c>
      <c r="U19" s="178">
        <v>2022.3</v>
      </c>
      <c r="V19" s="178">
        <v>2022.6</v>
      </c>
      <c r="W19" s="178">
        <v>2022.9</v>
      </c>
    </row>
    <row r="20" ht="15" customHeight="1" spans="2:23">
      <c r="B20" s="179" t="s">
        <v>3826</v>
      </c>
      <c r="C20" s="179"/>
      <c r="D20" s="179"/>
      <c r="E20" s="179"/>
      <c r="F20" s="179"/>
      <c r="G20" s="179" t="s">
        <v>3827</v>
      </c>
      <c r="H20" s="179"/>
      <c r="I20" s="179"/>
      <c r="J20" s="179"/>
      <c r="K20" s="179"/>
      <c r="L20" s="179" t="s">
        <v>3828</v>
      </c>
      <c r="M20" s="179"/>
      <c r="N20" s="179"/>
      <c r="O20" s="179"/>
      <c r="P20" s="179"/>
      <c r="Q20" s="178">
        <v>2022.8</v>
      </c>
      <c r="R20" s="187" t="s">
        <v>3829</v>
      </c>
      <c r="S20" s="187" t="s">
        <v>3830</v>
      </c>
      <c r="T20" s="187">
        <v>2</v>
      </c>
      <c r="U20" s="178">
        <v>2022.4</v>
      </c>
      <c r="V20" s="178">
        <v>2022.7</v>
      </c>
      <c r="W20" s="190">
        <v>2022.1</v>
      </c>
    </row>
    <row r="21" ht="15" customHeight="1" spans="2:23">
      <c r="B21" s="179" t="s">
        <v>3789</v>
      </c>
      <c r="C21" s="187" t="s">
        <v>3816</v>
      </c>
      <c r="D21" s="188" t="s">
        <v>3831</v>
      </c>
      <c r="E21" s="189" t="s">
        <v>3832</v>
      </c>
      <c r="F21" s="179"/>
      <c r="G21" s="179" t="s">
        <v>3789</v>
      </c>
      <c r="H21" s="187" t="s">
        <v>3825</v>
      </c>
      <c r="I21" s="188" t="s">
        <v>3817</v>
      </c>
      <c r="J21" s="189" t="s">
        <v>3833</v>
      </c>
      <c r="K21" s="179"/>
      <c r="L21" s="179" t="s">
        <v>3789</v>
      </c>
      <c r="M21" s="187" t="s">
        <v>3830</v>
      </c>
      <c r="N21" s="188" t="s">
        <v>3834</v>
      </c>
      <c r="O21" s="189" t="s">
        <v>3818</v>
      </c>
      <c r="P21" s="179"/>
      <c r="R21" s="179"/>
      <c r="S21" s="179"/>
    </row>
    <row r="22" ht="15" customHeight="1" spans="2:23">
      <c r="B22" s="179"/>
      <c r="C22" s="187" t="s">
        <v>3819</v>
      </c>
      <c r="D22" s="188" t="s">
        <v>3835</v>
      </c>
      <c r="E22" s="189" t="s">
        <v>3836</v>
      </c>
      <c r="F22" s="179"/>
      <c r="G22" s="179"/>
      <c r="H22" s="187" t="s">
        <v>3824</v>
      </c>
      <c r="I22" s="188" t="s">
        <v>3820</v>
      </c>
      <c r="J22" s="189" t="s">
        <v>3837</v>
      </c>
      <c r="K22" s="179"/>
      <c r="L22" s="179"/>
      <c r="M22" s="187" t="s">
        <v>3829</v>
      </c>
      <c r="N22" s="188" t="s">
        <v>3838</v>
      </c>
      <c r="O22" s="189" t="s">
        <v>3821</v>
      </c>
      <c r="P22" s="179"/>
      <c r="Q22" s="178">
        <v>2022.3</v>
      </c>
      <c r="R22" s="188" t="s">
        <v>3835</v>
      </c>
      <c r="S22" s="188" t="s">
        <v>3831</v>
      </c>
      <c r="T22" s="188">
        <v>2</v>
      </c>
      <c r="U22" s="178">
        <v>2022.2</v>
      </c>
      <c r="V22" s="178">
        <v>2022.5</v>
      </c>
      <c r="W22" s="178">
        <v>2022.8</v>
      </c>
    </row>
    <row r="23" ht="15" customHeight="1" spans="2:23">
      <c r="B23" s="179" t="s">
        <v>3809</v>
      </c>
      <c r="C23" s="179" t="s">
        <v>3810</v>
      </c>
      <c r="D23" s="179" t="s">
        <v>3811</v>
      </c>
      <c r="E23" s="179" t="s">
        <v>3812</v>
      </c>
      <c r="F23" s="179"/>
      <c r="G23" s="179" t="s">
        <v>3809</v>
      </c>
      <c r="H23" s="179" t="s">
        <v>3810</v>
      </c>
      <c r="I23" s="179" t="s">
        <v>3811</v>
      </c>
      <c r="J23" s="179" t="s">
        <v>3812</v>
      </c>
      <c r="K23" s="179"/>
      <c r="L23" s="179" t="s">
        <v>3809</v>
      </c>
      <c r="M23" s="179" t="s">
        <v>3810</v>
      </c>
      <c r="N23" s="179" t="s">
        <v>3811</v>
      </c>
      <c r="O23" s="179" t="s">
        <v>3812</v>
      </c>
      <c r="P23" s="179"/>
      <c r="Q23" s="178">
        <v>2022.6</v>
      </c>
      <c r="R23" s="188" t="s">
        <v>3820</v>
      </c>
      <c r="S23" s="188" t="s">
        <v>3817</v>
      </c>
      <c r="T23" s="188">
        <v>3</v>
      </c>
      <c r="U23" s="178">
        <v>2022.3</v>
      </c>
      <c r="V23" s="178">
        <v>2022.6</v>
      </c>
      <c r="W23" s="178">
        <v>2022.9</v>
      </c>
    </row>
    <row r="24" ht="15" customHeight="1" spans="2:23">
      <c r="B24" s="179">
        <v>1</v>
      </c>
      <c r="C24" s="184" t="s">
        <v>199</v>
      </c>
      <c r="D24" s="184">
        <v>72000</v>
      </c>
      <c r="E24" s="184">
        <v>48</v>
      </c>
      <c r="F24" s="179"/>
      <c r="G24" s="179">
        <v>1</v>
      </c>
      <c r="H24" s="185" t="s">
        <v>189</v>
      </c>
      <c r="I24" s="185">
        <v>72000</v>
      </c>
      <c r="J24" s="185">
        <v>48</v>
      </c>
      <c r="K24" s="179"/>
      <c r="L24" s="179">
        <v>1</v>
      </c>
      <c r="M24" s="186" t="s">
        <v>190</v>
      </c>
      <c r="N24" s="186">
        <v>9000</v>
      </c>
      <c r="O24" s="186">
        <v>6</v>
      </c>
      <c r="P24" s="179"/>
      <c r="Q24" s="178">
        <v>2022.9</v>
      </c>
      <c r="R24" s="188" t="s">
        <v>3838</v>
      </c>
      <c r="S24" s="188" t="s">
        <v>3834</v>
      </c>
      <c r="T24" s="188">
        <v>2</v>
      </c>
      <c r="U24" s="178">
        <v>2022.4</v>
      </c>
      <c r="V24" s="178">
        <v>2022.7</v>
      </c>
      <c r="W24" s="190">
        <v>2022.1</v>
      </c>
    </row>
    <row r="25" ht="15" customHeight="1" spans="2:23">
      <c r="B25" s="179">
        <v>10</v>
      </c>
      <c r="C25" s="186" t="s">
        <v>190</v>
      </c>
      <c r="D25" s="186">
        <v>9000</v>
      </c>
      <c r="E25" s="186">
        <v>6</v>
      </c>
      <c r="F25" s="179"/>
      <c r="G25" s="179">
        <v>10</v>
      </c>
      <c r="H25" s="184" t="s">
        <v>199</v>
      </c>
      <c r="I25" s="184">
        <v>72000</v>
      </c>
      <c r="J25" s="184">
        <v>48</v>
      </c>
      <c r="K25" s="179"/>
      <c r="L25" s="179">
        <v>10</v>
      </c>
      <c r="M25" s="185" t="s">
        <v>189</v>
      </c>
      <c r="N25" s="185">
        <v>72000</v>
      </c>
      <c r="O25" s="185">
        <v>48</v>
      </c>
      <c r="P25" s="179"/>
      <c r="R25" s="179"/>
      <c r="S25" s="179"/>
    </row>
    <row r="26" ht="15" customHeight="1" spans="2:23">
      <c r="B26" s="179">
        <v>20</v>
      </c>
      <c r="C26" s="185" t="s">
        <v>189</v>
      </c>
      <c r="D26" s="185">
        <v>72000</v>
      </c>
      <c r="E26" s="185">
        <v>48</v>
      </c>
      <c r="F26" s="179"/>
      <c r="G26" s="179">
        <v>20</v>
      </c>
      <c r="H26" s="186" t="s">
        <v>190</v>
      </c>
      <c r="I26" s="186">
        <v>9000</v>
      </c>
      <c r="J26" s="186">
        <v>6</v>
      </c>
      <c r="K26" s="179"/>
      <c r="L26" s="179">
        <v>20</v>
      </c>
      <c r="M26" s="184" t="s">
        <v>199</v>
      </c>
      <c r="N26" s="184">
        <v>72000</v>
      </c>
      <c r="O26" s="184">
        <v>48</v>
      </c>
      <c r="P26" s="179"/>
      <c r="Q26" s="178">
        <v>2022.4</v>
      </c>
      <c r="R26" s="189" t="s">
        <v>3836</v>
      </c>
      <c r="S26" s="189" t="s">
        <v>3832</v>
      </c>
      <c r="T26" s="189">
        <v>2</v>
      </c>
      <c r="U26" s="178">
        <v>2022.2</v>
      </c>
      <c r="V26" s="178">
        <v>2022.5</v>
      </c>
      <c r="W26" s="178">
        <v>2022.8</v>
      </c>
    </row>
    <row r="27" ht="15" customHeight="1" spans="2:23">
      <c r="B27" s="179">
        <v>30</v>
      </c>
      <c r="C27" s="183" t="s">
        <v>191</v>
      </c>
      <c r="D27" s="183">
        <v>18000</v>
      </c>
      <c r="E27" s="183">
        <v>12</v>
      </c>
      <c r="F27" s="179"/>
      <c r="G27" s="179">
        <v>30</v>
      </c>
      <c r="H27" s="183" t="s">
        <v>191</v>
      </c>
      <c r="I27" s="183">
        <v>18000</v>
      </c>
      <c r="J27" s="183">
        <v>12</v>
      </c>
      <c r="K27" s="179"/>
      <c r="L27" s="179">
        <v>30</v>
      </c>
      <c r="M27" s="183" t="s">
        <v>191</v>
      </c>
      <c r="N27" s="183">
        <v>18000</v>
      </c>
      <c r="O27" s="183">
        <v>12</v>
      </c>
      <c r="P27" s="179"/>
      <c r="Q27" s="178">
        <v>2022.7</v>
      </c>
      <c r="R27" s="189" t="s">
        <v>3837</v>
      </c>
      <c r="S27" s="189" t="s">
        <v>3833</v>
      </c>
      <c r="T27" s="189">
        <v>2</v>
      </c>
      <c r="U27" s="178">
        <v>2022.3</v>
      </c>
      <c r="V27" s="178">
        <v>2022.6</v>
      </c>
      <c r="W27" s="178">
        <v>2022.9</v>
      </c>
    </row>
    <row r="28" ht="15" customHeight="1" spans="2:23"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90">
        <v>2022.1</v>
      </c>
      <c r="R28" s="189" t="s">
        <v>3821</v>
      </c>
      <c r="S28" s="189" t="s">
        <v>3818</v>
      </c>
      <c r="T28" s="189">
        <v>3</v>
      </c>
      <c r="U28" s="178">
        <v>2022.4</v>
      </c>
      <c r="V28" s="178">
        <v>2022.7</v>
      </c>
      <c r="W28" s="190">
        <v>2022.1</v>
      </c>
    </row>
    <row r="29" ht="15" customHeight="1" spans="2:23">
      <c r="B29" s="179" t="s">
        <v>3839</v>
      </c>
      <c r="C29" s="179"/>
      <c r="D29" s="179"/>
      <c r="E29" s="179"/>
      <c r="F29" s="179"/>
      <c r="G29" s="179" t="s">
        <v>3840</v>
      </c>
      <c r="H29" s="179"/>
      <c r="I29" s="179"/>
      <c r="J29" s="179"/>
      <c r="K29" s="179"/>
      <c r="L29" s="179" t="s">
        <v>3841</v>
      </c>
      <c r="M29" s="179"/>
      <c r="N29" s="179"/>
      <c r="O29" s="179"/>
      <c r="P29" s="179"/>
    </row>
    <row r="30" ht="15" customHeight="1" spans="2:23">
      <c r="B30" s="179" t="s">
        <v>3789</v>
      </c>
      <c r="C30" s="191" t="s">
        <v>3842</v>
      </c>
      <c r="D30" s="187" t="s">
        <v>3816</v>
      </c>
      <c r="E30" s="180" t="s">
        <v>3790</v>
      </c>
      <c r="F30" s="179"/>
      <c r="G30" s="179" t="s">
        <v>3789</v>
      </c>
      <c r="H30" s="192" t="s">
        <v>3843</v>
      </c>
      <c r="I30" s="188" t="s">
        <v>3831</v>
      </c>
      <c r="J30" s="180" t="s">
        <v>3791</v>
      </c>
      <c r="K30" s="179"/>
      <c r="L30" s="179" t="s">
        <v>3789</v>
      </c>
      <c r="M30" s="193" t="s">
        <v>3844</v>
      </c>
      <c r="N30" s="189" t="s">
        <v>3832</v>
      </c>
      <c r="O30" s="180" t="s">
        <v>3792</v>
      </c>
      <c r="P30" s="179"/>
      <c r="Q30" s="178">
        <v>2022.2</v>
      </c>
      <c r="R30" s="191" t="s">
        <v>3845</v>
      </c>
      <c r="S30" s="191" t="s">
        <v>3842</v>
      </c>
      <c r="T30" s="191">
        <v>1</v>
      </c>
      <c r="U30" s="178">
        <v>2022.2</v>
      </c>
    </row>
    <row r="31" ht="15" customHeight="1" spans="2:23">
      <c r="B31" s="179"/>
      <c r="C31" s="191" t="s">
        <v>3845</v>
      </c>
      <c r="D31" s="187" t="s">
        <v>3819</v>
      </c>
      <c r="E31" s="180" t="s">
        <v>3799</v>
      </c>
      <c r="F31" s="179"/>
      <c r="G31" s="179"/>
      <c r="H31" s="192" t="s">
        <v>3846</v>
      </c>
      <c r="I31" s="188" t="s">
        <v>3835</v>
      </c>
      <c r="J31" s="180" t="s">
        <v>3800</v>
      </c>
      <c r="K31" s="179"/>
      <c r="L31" s="179"/>
      <c r="M31" s="193" t="s">
        <v>3847</v>
      </c>
      <c r="N31" s="189" t="s">
        <v>3836</v>
      </c>
      <c r="O31" s="180" t="s">
        <v>3801</v>
      </c>
      <c r="P31" s="179"/>
      <c r="Q31" s="178">
        <v>2022.3</v>
      </c>
      <c r="R31" s="192" t="s">
        <v>3846</v>
      </c>
      <c r="S31" s="192" t="s">
        <v>3843</v>
      </c>
      <c r="T31" s="192">
        <v>1</v>
      </c>
      <c r="U31" s="178">
        <v>2022.3</v>
      </c>
    </row>
    <row r="32" ht="15" customHeight="1" spans="2:23">
      <c r="B32" s="179" t="s">
        <v>3809</v>
      </c>
      <c r="C32" s="179" t="s">
        <v>3810</v>
      </c>
      <c r="D32" s="179" t="s">
        <v>3811</v>
      </c>
      <c r="E32" s="179" t="s">
        <v>3812</v>
      </c>
      <c r="F32" s="179"/>
      <c r="G32" s="179" t="s">
        <v>3809</v>
      </c>
      <c r="H32" s="179" t="s">
        <v>3810</v>
      </c>
      <c r="I32" s="179" t="s">
        <v>3811</v>
      </c>
      <c r="J32" s="179" t="s">
        <v>3812</v>
      </c>
      <c r="K32" s="179"/>
      <c r="L32" s="179" t="s">
        <v>3809</v>
      </c>
      <c r="M32" s="179" t="s">
        <v>3810</v>
      </c>
      <c r="N32" s="179" t="s">
        <v>3811</v>
      </c>
      <c r="O32" s="179" t="s">
        <v>3812</v>
      </c>
      <c r="P32" s="179"/>
      <c r="Q32" s="178">
        <v>2022.4</v>
      </c>
      <c r="R32" s="193" t="s">
        <v>3847</v>
      </c>
      <c r="S32" s="193" t="s">
        <v>3844</v>
      </c>
      <c r="T32" s="193">
        <v>1</v>
      </c>
      <c r="U32" s="178">
        <v>2022.4</v>
      </c>
    </row>
    <row r="33" spans="2:21">
      <c r="B33" s="179">
        <v>1</v>
      </c>
      <c r="C33" s="183" t="s">
        <v>191</v>
      </c>
      <c r="D33" s="183">
        <v>10500</v>
      </c>
      <c r="E33" s="183">
        <v>7</v>
      </c>
      <c r="F33" s="179"/>
      <c r="G33" s="179">
        <v>1</v>
      </c>
      <c r="H33" s="183" t="s">
        <v>191</v>
      </c>
      <c r="I33" s="183">
        <v>10500</v>
      </c>
      <c r="J33" s="183">
        <v>7</v>
      </c>
      <c r="K33" s="179"/>
      <c r="L33" s="179">
        <v>1</v>
      </c>
      <c r="M33" s="183" t="s">
        <v>191</v>
      </c>
      <c r="N33" s="183">
        <v>10500</v>
      </c>
      <c r="O33" s="183">
        <v>7</v>
      </c>
      <c r="P33" s="179"/>
      <c r="Q33" s="178">
        <v>2022.5</v>
      </c>
      <c r="R33" s="191" t="s">
        <v>3848</v>
      </c>
      <c r="S33" s="191" t="s">
        <v>3849</v>
      </c>
      <c r="T33" s="191">
        <v>1</v>
      </c>
      <c r="U33" s="178">
        <v>2022.5</v>
      </c>
    </row>
    <row r="34" spans="2:21">
      <c r="B34" s="179">
        <v>10</v>
      </c>
      <c r="C34" s="184" t="s">
        <v>199</v>
      </c>
      <c r="D34" s="184">
        <v>84000</v>
      </c>
      <c r="E34" s="184">
        <v>56</v>
      </c>
      <c r="F34" s="179"/>
      <c r="G34" s="179">
        <v>10</v>
      </c>
      <c r="H34" s="185" t="s">
        <v>189</v>
      </c>
      <c r="I34" s="185">
        <v>84000</v>
      </c>
      <c r="J34" s="185">
        <v>56</v>
      </c>
      <c r="K34" s="179"/>
      <c r="L34" s="179">
        <v>10</v>
      </c>
      <c r="M34" s="186" t="s">
        <v>190</v>
      </c>
      <c r="N34" s="186">
        <v>10500</v>
      </c>
      <c r="O34" s="186">
        <v>7</v>
      </c>
      <c r="P34" s="179"/>
      <c r="Q34" s="178">
        <v>2022.6</v>
      </c>
      <c r="R34" s="192" t="s">
        <v>3850</v>
      </c>
      <c r="S34" s="192" t="s">
        <v>3851</v>
      </c>
      <c r="T34" s="192">
        <v>1</v>
      </c>
      <c r="U34" s="178">
        <v>2022.6</v>
      </c>
    </row>
    <row r="35" spans="2:21">
      <c r="B35" s="179">
        <v>20</v>
      </c>
      <c r="C35" s="186" t="s">
        <v>190</v>
      </c>
      <c r="D35" s="186">
        <v>10500</v>
      </c>
      <c r="E35" s="186">
        <v>7</v>
      </c>
      <c r="F35" s="179"/>
      <c r="G35" s="179">
        <v>20</v>
      </c>
      <c r="H35" s="184" t="s">
        <v>199</v>
      </c>
      <c r="I35" s="184">
        <v>84000</v>
      </c>
      <c r="J35" s="184">
        <v>56</v>
      </c>
      <c r="K35" s="179"/>
      <c r="L35" s="179">
        <v>20</v>
      </c>
      <c r="M35" s="185" t="s">
        <v>189</v>
      </c>
      <c r="N35" s="185">
        <v>84000</v>
      </c>
      <c r="O35" s="185">
        <v>56</v>
      </c>
      <c r="Q35" s="178">
        <v>2022.7</v>
      </c>
      <c r="R35" s="193" t="s">
        <v>3847</v>
      </c>
      <c r="S35" s="193" t="s">
        <v>3852</v>
      </c>
      <c r="T35" s="193">
        <v>1</v>
      </c>
      <c r="U35" s="178">
        <v>2022.7</v>
      </c>
    </row>
    <row r="36" spans="2:21">
      <c r="B36" s="179">
        <v>30</v>
      </c>
      <c r="C36" s="185" t="s">
        <v>189</v>
      </c>
      <c r="D36" s="185">
        <v>168000</v>
      </c>
      <c r="E36" s="185">
        <v>112</v>
      </c>
      <c r="F36" s="179"/>
      <c r="G36" s="179">
        <v>30</v>
      </c>
      <c r="H36" s="186" t="s">
        <v>190</v>
      </c>
      <c r="I36" s="186">
        <v>21000</v>
      </c>
      <c r="J36" s="186">
        <v>14</v>
      </c>
      <c r="K36" s="179"/>
      <c r="L36" s="179">
        <v>30</v>
      </c>
      <c r="M36" s="184" t="s">
        <v>199</v>
      </c>
      <c r="N36" s="184">
        <v>168000</v>
      </c>
      <c r="O36" s="184">
        <v>112</v>
      </c>
      <c r="Q36" s="178">
        <v>2022.8</v>
      </c>
      <c r="R36" s="191" t="s">
        <v>3853</v>
      </c>
      <c r="S36" s="191" t="s">
        <v>3854</v>
      </c>
      <c r="T36" s="191">
        <v>1</v>
      </c>
      <c r="U36" s="178">
        <v>2022.8</v>
      </c>
    </row>
    <row r="37" spans="2:21">
      <c r="Q37" s="178">
        <v>2022.9</v>
      </c>
      <c r="R37" s="192" t="s">
        <v>3855</v>
      </c>
      <c r="S37" s="192" t="s">
        <v>3856</v>
      </c>
      <c r="T37" s="192">
        <v>1</v>
      </c>
      <c r="U37" s="178">
        <v>2022.9</v>
      </c>
    </row>
    <row r="38" spans="2:21">
      <c r="B38" s="179" t="s">
        <v>3857</v>
      </c>
      <c r="C38" s="179"/>
      <c r="D38" s="179"/>
      <c r="E38" s="179"/>
      <c r="F38" s="179"/>
      <c r="G38" s="179" t="s">
        <v>3858</v>
      </c>
      <c r="H38" s="179"/>
      <c r="I38" s="179"/>
      <c r="J38" s="179"/>
      <c r="K38" s="179"/>
      <c r="L38" s="179" t="s">
        <v>3859</v>
      </c>
      <c r="M38" s="179"/>
      <c r="N38" s="179"/>
      <c r="O38" s="179"/>
      <c r="Q38" s="190">
        <v>2022.1</v>
      </c>
      <c r="R38" s="193" t="s">
        <v>3860</v>
      </c>
      <c r="S38" s="193" t="s">
        <v>3861</v>
      </c>
      <c r="T38" s="193">
        <v>1</v>
      </c>
      <c r="U38" s="190">
        <v>2022.1</v>
      </c>
    </row>
    <row r="39" spans="2:21">
      <c r="B39" s="179" t="s">
        <v>3789</v>
      </c>
      <c r="C39" s="191" t="s">
        <v>3849</v>
      </c>
      <c r="D39" s="187" t="s">
        <v>3825</v>
      </c>
      <c r="E39" s="181" t="s">
        <v>3793</v>
      </c>
      <c r="F39" s="179"/>
      <c r="G39" s="179" t="s">
        <v>3789</v>
      </c>
      <c r="H39" s="192" t="s">
        <v>3851</v>
      </c>
      <c r="I39" s="188" t="s">
        <v>3817</v>
      </c>
      <c r="J39" s="181" t="s">
        <v>3794</v>
      </c>
      <c r="K39" s="179"/>
      <c r="L39" s="179" t="s">
        <v>3789</v>
      </c>
      <c r="M39" s="193" t="s">
        <v>3852</v>
      </c>
      <c r="N39" s="189" t="s">
        <v>3833</v>
      </c>
      <c r="O39" s="181" t="s">
        <v>3795</v>
      </c>
    </row>
    <row r="40" spans="2:21">
      <c r="B40" s="179"/>
      <c r="C40" s="191" t="s">
        <v>3848</v>
      </c>
      <c r="D40" s="187" t="s">
        <v>3824</v>
      </c>
      <c r="E40" s="181" t="s">
        <v>3802</v>
      </c>
      <c r="F40" s="179"/>
      <c r="G40" s="179"/>
      <c r="H40" s="192" t="s">
        <v>3850</v>
      </c>
      <c r="I40" s="188" t="s">
        <v>3820</v>
      </c>
      <c r="J40" s="181" t="s">
        <v>3803</v>
      </c>
      <c r="K40" s="179"/>
      <c r="L40" s="179"/>
      <c r="M40" s="193" t="s">
        <v>3862</v>
      </c>
      <c r="N40" s="189" t="s">
        <v>3837</v>
      </c>
      <c r="O40" s="181" t="s">
        <v>3804</v>
      </c>
    </row>
    <row r="41" spans="2:21">
      <c r="B41" s="179" t="s">
        <v>3809</v>
      </c>
      <c r="C41" s="179" t="s">
        <v>3810</v>
      </c>
      <c r="D41" s="179" t="s">
        <v>3811</v>
      </c>
      <c r="E41" s="179" t="s">
        <v>3812</v>
      </c>
      <c r="F41" s="179"/>
      <c r="G41" s="179" t="s">
        <v>3809</v>
      </c>
      <c r="H41" s="179" t="s">
        <v>3810</v>
      </c>
      <c r="I41" s="179" t="s">
        <v>3811</v>
      </c>
      <c r="J41" s="179" t="s">
        <v>3812</v>
      </c>
      <c r="K41" s="179"/>
      <c r="L41" s="179" t="s">
        <v>3809</v>
      </c>
      <c r="M41" s="179" t="s">
        <v>3810</v>
      </c>
      <c r="N41" s="179" t="s">
        <v>3811</v>
      </c>
      <c r="O41" s="179" t="s">
        <v>3812</v>
      </c>
    </row>
    <row r="42" spans="2:21">
      <c r="B42" s="179">
        <v>1</v>
      </c>
      <c r="C42" s="183" t="s">
        <v>191</v>
      </c>
      <c r="D42" s="183">
        <v>10500</v>
      </c>
      <c r="E42" s="183">
        <v>7</v>
      </c>
      <c r="F42" s="179"/>
      <c r="G42" s="179">
        <v>1</v>
      </c>
      <c r="H42" s="183" t="s">
        <v>191</v>
      </c>
      <c r="I42" s="183">
        <v>10500</v>
      </c>
      <c r="J42" s="183">
        <v>7</v>
      </c>
      <c r="K42" s="179"/>
      <c r="L42" s="179">
        <v>1</v>
      </c>
      <c r="M42" s="183" t="s">
        <v>191</v>
      </c>
      <c r="N42" s="183">
        <v>10500</v>
      </c>
      <c r="O42" s="183">
        <v>7</v>
      </c>
    </row>
    <row r="43" spans="2:21">
      <c r="B43" s="179">
        <v>10</v>
      </c>
      <c r="C43" s="184" t="s">
        <v>199</v>
      </c>
      <c r="D43" s="184">
        <v>84000</v>
      </c>
      <c r="E43" s="184">
        <v>56</v>
      </c>
      <c r="F43" s="179"/>
      <c r="G43" s="179">
        <v>10</v>
      </c>
      <c r="H43" s="185" t="s">
        <v>189</v>
      </c>
      <c r="I43" s="185">
        <v>84000</v>
      </c>
      <c r="J43" s="185">
        <v>56</v>
      </c>
      <c r="K43" s="179"/>
      <c r="L43" s="179">
        <v>10</v>
      </c>
      <c r="M43" s="186" t="s">
        <v>190</v>
      </c>
      <c r="N43" s="186">
        <v>10500</v>
      </c>
      <c r="O43" s="186">
        <v>7</v>
      </c>
    </row>
    <row r="44" spans="2:21">
      <c r="B44" s="179">
        <v>20</v>
      </c>
      <c r="C44" s="186" t="s">
        <v>190</v>
      </c>
      <c r="D44" s="186">
        <v>10500</v>
      </c>
      <c r="E44" s="186">
        <v>7</v>
      </c>
      <c r="F44" s="179"/>
      <c r="G44" s="179">
        <v>20</v>
      </c>
      <c r="H44" s="184" t="s">
        <v>199</v>
      </c>
      <c r="I44" s="184">
        <v>84000</v>
      </c>
      <c r="J44" s="184">
        <v>56</v>
      </c>
      <c r="K44" s="179"/>
      <c r="L44" s="179">
        <v>20</v>
      </c>
      <c r="M44" s="185" t="s">
        <v>189</v>
      </c>
      <c r="N44" s="185">
        <v>84000</v>
      </c>
      <c r="O44" s="185">
        <v>56</v>
      </c>
    </row>
    <row r="45" spans="2:21">
      <c r="B45" s="179">
        <v>30</v>
      </c>
      <c r="C45" s="185" t="s">
        <v>189</v>
      </c>
      <c r="D45" s="185">
        <v>168000</v>
      </c>
      <c r="E45" s="185">
        <v>112</v>
      </c>
      <c r="F45" s="179"/>
      <c r="G45" s="179">
        <v>30</v>
      </c>
      <c r="H45" s="186" t="s">
        <v>190</v>
      </c>
      <c r="I45" s="186">
        <v>21000</v>
      </c>
      <c r="J45" s="186">
        <v>14</v>
      </c>
      <c r="K45" s="179"/>
      <c r="L45" s="179">
        <v>30</v>
      </c>
      <c r="M45" s="184" t="s">
        <v>199</v>
      </c>
      <c r="N45" s="184">
        <v>168000</v>
      </c>
      <c r="O45" s="184">
        <v>112</v>
      </c>
    </row>
    <row r="47" spans="2:21">
      <c r="B47" s="179" t="s">
        <v>3863</v>
      </c>
      <c r="C47" s="179"/>
      <c r="D47" s="179"/>
      <c r="E47" s="179"/>
      <c r="F47" s="179"/>
      <c r="G47" s="179" t="s">
        <v>3864</v>
      </c>
      <c r="H47" s="179"/>
      <c r="I47" s="179"/>
      <c r="J47" s="179"/>
      <c r="K47" s="179"/>
      <c r="L47" s="179" t="s">
        <v>3865</v>
      </c>
      <c r="M47" s="179"/>
      <c r="N47" s="179"/>
      <c r="O47" s="179"/>
    </row>
    <row r="48" spans="2:21">
      <c r="B48" s="179" t="s">
        <v>3789</v>
      </c>
      <c r="C48" s="191" t="s">
        <v>3854</v>
      </c>
      <c r="D48" s="187" t="s">
        <v>3830</v>
      </c>
      <c r="E48" s="182" t="s">
        <v>3796</v>
      </c>
      <c r="F48" s="179"/>
      <c r="G48" s="179" t="s">
        <v>3789</v>
      </c>
      <c r="H48" s="192" t="s">
        <v>3856</v>
      </c>
      <c r="I48" s="188" t="s">
        <v>3834</v>
      </c>
      <c r="J48" s="182" t="s">
        <v>3797</v>
      </c>
      <c r="K48" s="179"/>
      <c r="L48" s="179" t="s">
        <v>3789</v>
      </c>
      <c r="M48" s="193" t="s">
        <v>3861</v>
      </c>
      <c r="N48" s="189" t="s">
        <v>3818</v>
      </c>
      <c r="O48" s="182" t="s">
        <v>3798</v>
      </c>
    </row>
    <row r="49" spans="2:15">
      <c r="B49" s="179"/>
      <c r="C49" s="191" t="s">
        <v>3853</v>
      </c>
      <c r="D49" s="187" t="s">
        <v>3829</v>
      </c>
      <c r="E49" s="182" t="s">
        <v>3805</v>
      </c>
      <c r="F49" s="179"/>
      <c r="G49" s="179"/>
      <c r="H49" s="192" t="s">
        <v>3855</v>
      </c>
      <c r="I49" s="188" t="s">
        <v>3838</v>
      </c>
      <c r="J49" s="182" t="s">
        <v>3806</v>
      </c>
      <c r="K49" s="179"/>
      <c r="L49" s="179"/>
      <c r="M49" s="193" t="s">
        <v>3860</v>
      </c>
      <c r="N49" s="189" t="s">
        <v>3821</v>
      </c>
      <c r="O49" s="182" t="s">
        <v>3807</v>
      </c>
    </row>
    <row r="50" spans="2:15">
      <c r="B50" s="179" t="s">
        <v>3809</v>
      </c>
      <c r="C50" s="179" t="s">
        <v>3810</v>
      </c>
      <c r="D50" s="179" t="s">
        <v>3811</v>
      </c>
      <c r="E50" s="179" t="s">
        <v>3812</v>
      </c>
      <c r="F50" s="179"/>
      <c r="G50" s="179" t="s">
        <v>3809</v>
      </c>
      <c r="H50" s="179" t="s">
        <v>3810</v>
      </c>
      <c r="I50" s="179" t="s">
        <v>3811</v>
      </c>
      <c r="J50" s="179" t="s">
        <v>3812</v>
      </c>
      <c r="K50" s="179"/>
      <c r="L50" s="179" t="s">
        <v>3809</v>
      </c>
      <c r="M50" s="179" t="s">
        <v>3810</v>
      </c>
      <c r="N50" s="179" t="s">
        <v>3811</v>
      </c>
      <c r="O50" s="179" t="s">
        <v>3812</v>
      </c>
    </row>
    <row r="51" spans="2:15">
      <c r="B51" s="179">
        <v>1</v>
      </c>
      <c r="C51" s="183" t="s">
        <v>191</v>
      </c>
      <c r="D51" s="183">
        <v>10500</v>
      </c>
      <c r="E51" s="183">
        <v>7</v>
      </c>
      <c r="F51" s="179"/>
      <c r="G51" s="179">
        <v>1</v>
      </c>
      <c r="H51" s="183" t="s">
        <v>191</v>
      </c>
      <c r="I51" s="183">
        <v>10500</v>
      </c>
      <c r="J51" s="183">
        <v>7</v>
      </c>
      <c r="K51" s="179"/>
      <c r="L51" s="179">
        <v>1</v>
      </c>
      <c r="M51" s="183" t="s">
        <v>191</v>
      </c>
      <c r="N51" s="183">
        <v>10500</v>
      </c>
      <c r="O51" s="183">
        <v>7</v>
      </c>
    </row>
    <row r="52" spans="2:15">
      <c r="B52" s="179">
        <v>10</v>
      </c>
      <c r="C52" s="184" t="s">
        <v>199</v>
      </c>
      <c r="D52" s="184">
        <v>84000</v>
      </c>
      <c r="E52" s="184">
        <v>56</v>
      </c>
      <c r="F52" s="179"/>
      <c r="G52" s="179">
        <v>10</v>
      </c>
      <c r="H52" s="185" t="s">
        <v>189</v>
      </c>
      <c r="I52" s="185">
        <v>84000</v>
      </c>
      <c r="J52" s="185">
        <v>56</v>
      </c>
      <c r="K52" s="179"/>
      <c r="L52" s="179">
        <v>10</v>
      </c>
      <c r="M52" s="186" t="s">
        <v>190</v>
      </c>
      <c r="N52" s="186">
        <v>10500</v>
      </c>
      <c r="O52" s="186">
        <v>7</v>
      </c>
    </row>
    <row r="53" spans="2:15">
      <c r="B53" s="179">
        <v>20</v>
      </c>
      <c r="C53" s="186" t="s">
        <v>190</v>
      </c>
      <c r="D53" s="186">
        <v>10500</v>
      </c>
      <c r="E53" s="186">
        <v>7</v>
      </c>
      <c r="F53" s="179"/>
      <c r="G53" s="179">
        <v>20</v>
      </c>
      <c r="H53" s="184" t="s">
        <v>199</v>
      </c>
      <c r="I53" s="184">
        <v>84000</v>
      </c>
      <c r="J53" s="184">
        <v>56</v>
      </c>
      <c r="K53" s="179"/>
      <c r="L53" s="179">
        <v>20</v>
      </c>
      <c r="M53" s="185" t="s">
        <v>189</v>
      </c>
      <c r="N53" s="185">
        <v>84000</v>
      </c>
      <c r="O53" s="185">
        <v>56</v>
      </c>
    </row>
    <row r="54" spans="2:15">
      <c r="B54" s="179">
        <v>30</v>
      </c>
      <c r="C54" s="185" t="s">
        <v>189</v>
      </c>
      <c r="D54" s="185">
        <v>168000</v>
      </c>
      <c r="E54" s="185">
        <v>112</v>
      </c>
      <c r="F54" s="179"/>
      <c r="G54" s="179">
        <v>30</v>
      </c>
      <c r="H54" s="186" t="s">
        <v>190</v>
      </c>
      <c r="I54" s="186">
        <v>21000</v>
      </c>
      <c r="J54" s="186">
        <v>14</v>
      </c>
      <c r="K54" s="179"/>
      <c r="L54" s="179">
        <v>30</v>
      </c>
      <c r="M54" s="184" t="s">
        <v>199</v>
      </c>
      <c r="N54" s="184">
        <v>168000</v>
      </c>
      <c r="O54" s="184">
        <v>112</v>
      </c>
    </row>
    <row r="56" spans="2:15">
      <c r="B56" s="178" t="s">
        <v>3866</v>
      </c>
      <c r="C56" s="179" t="s">
        <v>896</v>
      </c>
      <c r="D56" s="179" t="s">
        <v>3811</v>
      </c>
      <c r="E56" s="179" t="s">
        <v>3812</v>
      </c>
    </row>
    <row r="57" spans="2:15">
      <c r="C57" s="194" t="s">
        <v>191</v>
      </c>
      <c r="D57" s="194">
        <f>D6+I6+N6+D18+I18+N18+D27+I27+N27+D33+I33+N33+D42+I42+N42+D51+I51+N51</f>
        <v>207000</v>
      </c>
      <c r="E57" s="194">
        <f>D57/4500</f>
        <v>46</v>
      </c>
    </row>
    <row r="58" spans="2:15">
      <c r="C58" s="195" t="s">
        <v>189</v>
      </c>
      <c r="D58" s="195">
        <f>D9+I7+N8+D15+I17+N16+D26+I24+N25+D36+I34+N35+D45+I43+N44+D54+I52+N53</f>
        <v>1548000</v>
      </c>
      <c r="E58" s="195">
        <f>D58/4500</f>
        <v>344</v>
      </c>
    </row>
    <row r="59" spans="2:15">
      <c r="C59" s="196" t="s">
        <v>190</v>
      </c>
      <c r="D59" s="196">
        <f>D8+I9+N7+D16+I15+N17+D25+I26+N24+D35+I36+N34+D44+I45+N43+D53+I54+N52</f>
        <v>193500</v>
      </c>
      <c r="E59" s="196">
        <f>D59/4500</f>
        <v>43</v>
      </c>
    </row>
    <row r="60" spans="2:15">
      <c r="C60" s="197" t="s">
        <v>199</v>
      </c>
      <c r="D60" s="197">
        <f>D7+I8+N9+D17+I16+N15+D24+I25+N26+D34+I35+N36+D43+I44+N45+D52+I53+N54</f>
        <v>1548000</v>
      </c>
      <c r="E60" s="197">
        <f>D60/4500</f>
        <v>344</v>
      </c>
    </row>
  </sheetData>
  <mergeCells count="2">
    <mergeCell ref="P17:Q17"/>
    <mergeCell ref="U17:W17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49"/>
  <sheetViews>
    <sheetView zoomScale="70" zoomScaleNormal="70" workbookViewId="0">
      <selection activeCell="H18" sqref="H18"/>
    </sheetView>
  </sheetViews>
  <sheetFormatPr defaultColWidth="9" defaultRowHeight="18.75"/>
  <cols>
    <col min="1" max="1" width="9" style="158"/>
    <col min="2" max="11" width="10.625" style="158" customWidth="1"/>
    <col min="12" max="12" width="10.625" style="159" customWidth="1"/>
    <col min="13" max="22" width="10.625" style="158" customWidth="1"/>
    <col min="23" max="16384" width="9" style="158"/>
  </cols>
  <sheetData>
    <row r="2" spans="2:17">
      <c r="B2" s="160" t="s">
        <v>3867</v>
      </c>
      <c r="C2" s="158" t="s">
        <v>3868</v>
      </c>
      <c r="D2" s="158" t="s">
        <v>3868</v>
      </c>
      <c r="E2" s="158" t="s">
        <v>3868</v>
      </c>
      <c r="N2" s="158" t="s">
        <v>3868</v>
      </c>
    </row>
    <row r="3" spans="2:17">
      <c r="B3" s="161" t="s">
        <v>3869</v>
      </c>
      <c r="C3" s="162" t="s">
        <v>192</v>
      </c>
      <c r="D3" s="162" t="s">
        <v>3870</v>
      </c>
      <c r="E3" s="162" t="s">
        <v>3871</v>
      </c>
      <c r="N3" s="163" t="s">
        <v>3872</v>
      </c>
      <c r="O3" s="160"/>
    </row>
    <row r="4" spans="2:17">
      <c r="B4" s="161" t="s">
        <v>3873</v>
      </c>
      <c r="C4" s="162">
        <v>4.64</v>
      </c>
      <c r="D4" s="162">
        <v>4.64</v>
      </c>
      <c r="E4" s="162">
        <v>4.64</v>
      </c>
      <c r="N4" s="163">
        <v>1.28</v>
      </c>
    </row>
    <row r="5" spans="2:17">
      <c r="B5" s="161" t="s">
        <v>3874</v>
      </c>
      <c r="C5" s="162">
        <v>4.4</v>
      </c>
      <c r="D5" s="162">
        <v>4.4</v>
      </c>
      <c r="E5" s="162">
        <v>4.4</v>
      </c>
      <c r="N5" s="163">
        <v>1.2</v>
      </c>
    </row>
    <row r="6" spans="2:17">
      <c r="B6" s="161" t="s">
        <v>3875</v>
      </c>
      <c r="C6" s="162">
        <v>4.16</v>
      </c>
      <c r="D6" s="162">
        <v>4.16</v>
      </c>
      <c r="E6" s="162">
        <v>4.16</v>
      </c>
      <c r="N6" s="163">
        <v>1.12</v>
      </c>
    </row>
    <row r="7" spans="2:17">
      <c r="B7" s="161" t="s">
        <v>3876</v>
      </c>
      <c r="C7" s="162">
        <v>-0.52</v>
      </c>
      <c r="D7" s="162">
        <v>-0.52</v>
      </c>
      <c r="E7" s="162">
        <v>-0.52</v>
      </c>
      <c r="N7" s="163">
        <v>-0.14</v>
      </c>
    </row>
    <row r="8" spans="2:17">
      <c r="B8" s="161" t="s">
        <v>3877</v>
      </c>
      <c r="C8" s="162">
        <v>-0.55</v>
      </c>
      <c r="D8" s="162">
        <v>-0.55</v>
      </c>
      <c r="E8" s="162">
        <v>-0.55</v>
      </c>
      <c r="N8" s="163">
        <v>-0.15</v>
      </c>
    </row>
    <row r="9" spans="2:17">
      <c r="B9" s="161" t="s">
        <v>3878</v>
      </c>
      <c r="C9" s="162">
        <v>-0.58</v>
      </c>
      <c r="D9" s="162">
        <v>-0.58</v>
      </c>
      <c r="E9" s="162">
        <v>-0.58</v>
      </c>
      <c r="N9" s="163">
        <v>-0.16</v>
      </c>
    </row>
    <row r="10" spans="2:17">
      <c r="B10" s="164"/>
      <c r="L10" s="158"/>
    </row>
    <row r="11" spans="2:17">
      <c r="B11" s="160" t="s">
        <v>3879</v>
      </c>
      <c r="C11" s="158" t="s">
        <v>3868</v>
      </c>
      <c r="D11" s="158" t="s">
        <v>3868</v>
      </c>
      <c r="E11" s="158" t="s">
        <v>3868</v>
      </c>
      <c r="I11" s="158" t="s">
        <v>3880</v>
      </c>
      <c r="K11" s="164"/>
      <c r="L11" s="165"/>
      <c r="M11" s="158" t="s">
        <v>3868</v>
      </c>
      <c r="N11" s="158" t="s">
        <v>3868</v>
      </c>
      <c r="P11" s="158" t="s">
        <v>3868</v>
      </c>
      <c r="Q11" s="158" t="s">
        <v>3868</v>
      </c>
    </row>
    <row r="12" spans="2:17">
      <c r="B12" s="161" t="s">
        <v>3869</v>
      </c>
      <c r="C12" s="162" t="s">
        <v>192</v>
      </c>
      <c r="D12" s="162" t="s">
        <v>3870</v>
      </c>
      <c r="E12" s="162" t="s">
        <v>3871</v>
      </c>
      <c r="I12" s="166" t="s">
        <v>198</v>
      </c>
      <c r="K12" s="164"/>
      <c r="L12" s="165"/>
      <c r="M12" s="163" t="s">
        <v>3881</v>
      </c>
      <c r="N12" s="163" t="s">
        <v>3872</v>
      </c>
      <c r="P12" s="167" t="s">
        <v>3882</v>
      </c>
      <c r="Q12" s="167" t="s">
        <v>3883</v>
      </c>
    </row>
    <row r="13" spans="2:17">
      <c r="B13" s="161" t="s">
        <v>3873</v>
      </c>
      <c r="C13" s="162">
        <v>5.8</v>
      </c>
      <c r="D13" s="162">
        <v>5.8</v>
      </c>
      <c r="E13" s="162">
        <v>5.8</v>
      </c>
      <c r="I13" s="166">
        <v>2.7</v>
      </c>
      <c r="K13" s="164"/>
      <c r="L13" s="165"/>
      <c r="M13" s="163">
        <v>1.6</v>
      </c>
      <c r="N13" s="163">
        <v>1.6</v>
      </c>
      <c r="P13" s="167">
        <v>1.1</v>
      </c>
      <c r="Q13" s="167">
        <v>1.1</v>
      </c>
    </row>
    <row r="14" spans="2:17">
      <c r="B14" s="161" t="s">
        <v>3874</v>
      </c>
      <c r="C14" s="162">
        <v>5.5</v>
      </c>
      <c r="D14" s="162">
        <v>5.5</v>
      </c>
      <c r="E14" s="162">
        <v>5.5</v>
      </c>
      <c r="I14" s="166">
        <v>2.5</v>
      </c>
      <c r="K14" s="164"/>
      <c r="L14" s="165"/>
      <c r="M14" s="163">
        <v>1.5</v>
      </c>
      <c r="N14" s="163">
        <v>1.5</v>
      </c>
      <c r="P14" s="167">
        <v>1</v>
      </c>
      <c r="Q14" s="167">
        <v>1</v>
      </c>
    </row>
    <row r="15" spans="2:17">
      <c r="B15" s="161" t="s">
        <v>3875</v>
      </c>
      <c r="C15" s="162">
        <v>5.2</v>
      </c>
      <c r="D15" s="162">
        <v>5.2</v>
      </c>
      <c r="E15" s="162">
        <v>5.2</v>
      </c>
      <c r="I15" s="166">
        <v>2.3</v>
      </c>
      <c r="K15" s="164"/>
      <c r="L15" s="165"/>
      <c r="M15" s="163">
        <v>1.4</v>
      </c>
      <c r="N15" s="163">
        <v>1.4</v>
      </c>
      <c r="P15" s="167">
        <v>0.9</v>
      </c>
      <c r="Q15" s="167">
        <v>0.9</v>
      </c>
    </row>
    <row r="16" spans="2:17">
      <c r="B16" s="161" t="s">
        <v>3876</v>
      </c>
      <c r="C16" s="162">
        <v>-1.04</v>
      </c>
      <c r="D16" s="162">
        <v>-1.04</v>
      </c>
      <c r="E16" s="162">
        <v>-1.04</v>
      </c>
      <c r="I16" s="166">
        <v>-0.56</v>
      </c>
      <c r="K16" s="164"/>
      <c r="L16" s="165"/>
      <c r="M16" s="163">
        <v>-0.28</v>
      </c>
      <c r="N16" s="163">
        <v>-0.28</v>
      </c>
      <c r="P16" s="167">
        <v>-0.18</v>
      </c>
      <c r="Q16" s="167">
        <v>-0.18</v>
      </c>
    </row>
    <row r="17" spans="2:18">
      <c r="B17" s="161" t="s">
        <v>3877</v>
      </c>
      <c r="C17" s="162">
        <v>-1.1</v>
      </c>
      <c r="D17" s="162">
        <v>-1.1</v>
      </c>
      <c r="E17" s="162">
        <v>-1.1</v>
      </c>
      <c r="I17" s="166">
        <v>-0.6</v>
      </c>
      <c r="K17" s="164"/>
      <c r="L17" s="165"/>
      <c r="M17" s="163">
        <v>-0.3</v>
      </c>
      <c r="N17" s="163">
        <v>-0.3</v>
      </c>
      <c r="P17" s="167">
        <v>-0.2</v>
      </c>
      <c r="Q17" s="167">
        <v>-0.2</v>
      </c>
    </row>
    <row r="18" spans="2:18">
      <c r="B18" s="161" t="s">
        <v>3878</v>
      </c>
      <c r="C18" s="162">
        <v>-1.16</v>
      </c>
      <c r="D18" s="162">
        <v>-1.16</v>
      </c>
      <c r="E18" s="162">
        <v>-1.16</v>
      </c>
      <c r="I18" s="166">
        <v>-0.64</v>
      </c>
      <c r="K18" s="164"/>
      <c r="L18" s="165"/>
      <c r="M18" s="163">
        <v>-0.32</v>
      </c>
      <c r="N18" s="163">
        <v>-0.32</v>
      </c>
      <c r="P18" s="167">
        <v>-0.22</v>
      </c>
      <c r="Q18" s="167">
        <v>-0.22</v>
      </c>
    </row>
    <row r="19" spans="2:18">
      <c r="F19" s="158" t="s">
        <v>3868</v>
      </c>
      <c r="G19" s="158" t="s">
        <v>3868</v>
      </c>
      <c r="L19" s="158"/>
    </row>
    <row r="20" spans="2:18">
      <c r="B20" s="160" t="s">
        <v>3884</v>
      </c>
      <c r="C20" s="158" t="s">
        <v>3868</v>
      </c>
      <c r="D20" s="158" t="s">
        <v>3868</v>
      </c>
      <c r="E20" s="158" t="s">
        <v>3868</v>
      </c>
      <c r="F20" s="159" t="s">
        <v>2614</v>
      </c>
      <c r="G20" s="168" t="s">
        <v>3885</v>
      </c>
      <c r="H20" s="158" t="s">
        <v>3868</v>
      </c>
      <c r="I20" s="158" t="s">
        <v>3880</v>
      </c>
      <c r="K20" s="158" t="s">
        <v>3868</v>
      </c>
      <c r="L20" s="165"/>
      <c r="M20" s="158" t="s">
        <v>3868</v>
      </c>
      <c r="N20" s="158" t="s">
        <v>3868</v>
      </c>
      <c r="P20" s="158" t="s">
        <v>3868</v>
      </c>
      <c r="Q20" s="158" t="s">
        <v>3868</v>
      </c>
    </row>
    <row r="21" spans="2:18">
      <c r="B21" s="161" t="s">
        <v>3869</v>
      </c>
      <c r="C21" s="162" t="s">
        <v>192</v>
      </c>
      <c r="D21" s="162" t="s">
        <v>3870</v>
      </c>
      <c r="E21" s="162" t="s">
        <v>3871</v>
      </c>
      <c r="F21" s="169" t="s">
        <v>3886</v>
      </c>
      <c r="G21" s="170" t="s">
        <v>3887</v>
      </c>
      <c r="H21" s="166" t="s">
        <v>249</v>
      </c>
      <c r="I21" s="166" t="s">
        <v>198</v>
      </c>
      <c r="K21" s="171" t="s">
        <v>3888</v>
      </c>
      <c r="M21" s="163" t="s">
        <v>3881</v>
      </c>
      <c r="N21" s="163" t="s">
        <v>3872</v>
      </c>
      <c r="P21" s="167" t="s">
        <v>3882</v>
      </c>
      <c r="Q21" s="167" t="s">
        <v>3883</v>
      </c>
    </row>
    <row r="22" spans="2:18">
      <c r="B22" s="161" t="s">
        <v>3873</v>
      </c>
      <c r="C22" s="162">
        <v>5.8</v>
      </c>
      <c r="D22" s="162">
        <v>5.8</v>
      </c>
      <c r="E22" s="162">
        <v>5.8</v>
      </c>
      <c r="F22" s="169">
        <v>4.2</v>
      </c>
      <c r="G22" s="170">
        <v>3.2</v>
      </c>
      <c r="H22" s="166">
        <v>3.2</v>
      </c>
      <c r="I22" s="166">
        <v>3.2</v>
      </c>
      <c r="K22" s="171">
        <v>2.1</v>
      </c>
      <c r="M22" s="163">
        <v>1.6</v>
      </c>
      <c r="N22" s="163">
        <v>1.6</v>
      </c>
      <c r="P22" s="167">
        <v>1.1</v>
      </c>
      <c r="Q22" s="167">
        <v>1.1</v>
      </c>
    </row>
    <row r="23" spans="2:18">
      <c r="B23" s="161" t="s">
        <v>3874</v>
      </c>
      <c r="C23" s="162">
        <v>5.5</v>
      </c>
      <c r="D23" s="162">
        <v>5.5</v>
      </c>
      <c r="E23" s="162">
        <v>5.5</v>
      </c>
      <c r="F23" s="169">
        <v>4</v>
      </c>
      <c r="G23" s="170">
        <v>3</v>
      </c>
      <c r="H23" s="166">
        <v>3</v>
      </c>
      <c r="I23" s="166">
        <v>3</v>
      </c>
      <c r="K23" s="171">
        <v>2</v>
      </c>
      <c r="M23" s="163">
        <v>1.5</v>
      </c>
      <c r="N23" s="163">
        <v>1.5</v>
      </c>
      <c r="P23" s="167">
        <v>1</v>
      </c>
      <c r="Q23" s="167">
        <v>1</v>
      </c>
    </row>
    <row r="24" spans="2:18">
      <c r="B24" s="161" t="s">
        <v>3875</v>
      </c>
      <c r="C24" s="162">
        <v>5.2</v>
      </c>
      <c r="D24" s="162">
        <v>5.2</v>
      </c>
      <c r="E24" s="162">
        <v>5.2</v>
      </c>
      <c r="F24" s="169">
        <v>3.8</v>
      </c>
      <c r="G24" s="170">
        <v>2.8</v>
      </c>
      <c r="H24" s="166">
        <v>2.8</v>
      </c>
      <c r="I24" s="166">
        <v>2.8</v>
      </c>
      <c r="K24" s="171">
        <v>1.9</v>
      </c>
      <c r="M24" s="163">
        <v>1.4</v>
      </c>
      <c r="N24" s="163">
        <v>1.4</v>
      </c>
      <c r="P24" s="167">
        <v>0.9</v>
      </c>
      <c r="Q24" s="167">
        <v>0.9</v>
      </c>
    </row>
    <row r="25" spans="2:18">
      <c r="B25" s="161" t="s">
        <v>3876</v>
      </c>
      <c r="C25" s="162">
        <v>-3.12</v>
      </c>
      <c r="D25" s="162">
        <v>-3.12</v>
      </c>
      <c r="E25" s="162">
        <v>-3.12</v>
      </c>
      <c r="F25" s="169">
        <v>-2.28</v>
      </c>
      <c r="G25" s="170">
        <v>-1.68</v>
      </c>
      <c r="H25" s="166">
        <v>-1.68</v>
      </c>
      <c r="I25" s="166">
        <v>-1.68</v>
      </c>
      <c r="K25" s="171">
        <v>-1.14</v>
      </c>
      <c r="M25" s="163">
        <v>-0.84</v>
      </c>
      <c r="N25" s="163">
        <v>-0.84</v>
      </c>
      <c r="P25" s="167">
        <v>-0.54</v>
      </c>
      <c r="Q25" s="167">
        <v>-0.54</v>
      </c>
    </row>
    <row r="26" spans="2:18">
      <c r="B26" s="161" t="s">
        <v>3877</v>
      </c>
      <c r="C26" s="162">
        <v>-3.3</v>
      </c>
      <c r="D26" s="162">
        <v>-3.3</v>
      </c>
      <c r="E26" s="162">
        <v>-3.3</v>
      </c>
      <c r="F26" s="169">
        <v>-2.4</v>
      </c>
      <c r="G26" s="170">
        <v>-1.8</v>
      </c>
      <c r="H26" s="166">
        <v>-1.8</v>
      </c>
      <c r="I26" s="166">
        <v>-1.8</v>
      </c>
      <c r="K26" s="171">
        <v>-1.2</v>
      </c>
      <c r="M26" s="163">
        <v>-0.9</v>
      </c>
      <c r="N26" s="163">
        <v>-0.9</v>
      </c>
      <c r="P26" s="167">
        <v>-0.6</v>
      </c>
      <c r="Q26" s="167">
        <v>-0.6</v>
      </c>
    </row>
    <row r="27" spans="2:18">
      <c r="B27" s="161" t="s">
        <v>3878</v>
      </c>
      <c r="C27" s="162">
        <v>-3.48</v>
      </c>
      <c r="D27" s="162">
        <v>-3.48</v>
      </c>
      <c r="E27" s="162">
        <v>-3.48</v>
      </c>
      <c r="F27" s="169">
        <v>-2.52</v>
      </c>
      <c r="G27" s="170">
        <v>-1.92</v>
      </c>
      <c r="H27" s="166">
        <v>-1.92</v>
      </c>
      <c r="I27" s="166">
        <v>-1.92</v>
      </c>
      <c r="K27" s="171">
        <v>-1.26</v>
      </c>
      <c r="M27" s="163">
        <v>-0.96</v>
      </c>
      <c r="N27" s="163">
        <v>-0.96</v>
      </c>
      <c r="P27" s="167">
        <v>-0.66</v>
      </c>
      <c r="Q27" s="167">
        <v>-0.66</v>
      </c>
    </row>
    <row r="28" spans="2:18">
      <c r="L28" s="158"/>
      <c r="O28" s="158" t="s">
        <v>3868</v>
      </c>
    </row>
    <row r="29" spans="2:18">
      <c r="B29" s="160" t="s">
        <v>2475</v>
      </c>
      <c r="C29" s="158" t="s">
        <v>3868</v>
      </c>
      <c r="D29" s="158" t="s">
        <v>3868</v>
      </c>
      <c r="E29" s="158" t="s">
        <v>3868</v>
      </c>
      <c r="F29" s="158" t="s">
        <v>3868</v>
      </c>
      <c r="G29" s="158" t="s">
        <v>3868</v>
      </c>
      <c r="H29" s="158" t="s">
        <v>3868</v>
      </c>
      <c r="I29" s="158" t="s">
        <v>3880</v>
      </c>
      <c r="J29" s="158" t="s">
        <v>3868</v>
      </c>
      <c r="K29" s="158" t="s">
        <v>3868</v>
      </c>
      <c r="L29" s="159" t="s">
        <v>2614</v>
      </c>
      <c r="M29" s="158" t="s">
        <v>3868</v>
      </c>
      <c r="N29" s="158" t="s">
        <v>3868</v>
      </c>
      <c r="O29" s="168" t="s">
        <v>3885</v>
      </c>
      <c r="P29" s="158" t="s">
        <v>3868</v>
      </c>
      <c r="Q29" s="158" t="s">
        <v>3868</v>
      </c>
      <c r="R29" s="158" t="s">
        <v>3868</v>
      </c>
    </row>
    <row r="30" spans="2:18">
      <c r="B30" s="161" t="s">
        <v>3869</v>
      </c>
      <c r="C30" s="162" t="s">
        <v>192</v>
      </c>
      <c r="D30" s="162" t="s">
        <v>3870</v>
      </c>
      <c r="E30" s="162" t="s">
        <v>3871</v>
      </c>
      <c r="F30" s="169" t="s">
        <v>3886</v>
      </c>
      <c r="G30" s="170" t="s">
        <v>3887</v>
      </c>
      <c r="H30" s="166" t="s">
        <v>249</v>
      </c>
      <c r="I30" s="166" t="s">
        <v>198</v>
      </c>
      <c r="J30" s="172" t="s">
        <v>191</v>
      </c>
      <c r="K30" s="171" t="s">
        <v>3888</v>
      </c>
      <c r="L30" s="173" t="s">
        <v>2605</v>
      </c>
      <c r="M30" s="163" t="s">
        <v>3881</v>
      </c>
      <c r="N30" s="163" t="s">
        <v>3872</v>
      </c>
      <c r="O30" s="174" t="s">
        <v>3889</v>
      </c>
      <c r="P30" s="167" t="s">
        <v>3882</v>
      </c>
      <c r="Q30" s="167" t="s">
        <v>3883</v>
      </c>
      <c r="R30" s="167" t="s">
        <v>3890</v>
      </c>
    </row>
    <row r="31" spans="2:18">
      <c r="B31" s="161" t="s">
        <v>3873</v>
      </c>
      <c r="C31" s="162">
        <v>6.96</v>
      </c>
      <c r="D31" s="162">
        <v>6.96</v>
      </c>
      <c r="E31" s="162">
        <v>6.96</v>
      </c>
      <c r="F31" s="169">
        <v>5.04</v>
      </c>
      <c r="G31" s="170">
        <v>3.84</v>
      </c>
      <c r="H31" s="166">
        <v>3.84</v>
      </c>
      <c r="I31" s="166">
        <v>3.84</v>
      </c>
      <c r="J31" s="172">
        <v>3.24</v>
      </c>
      <c r="K31" s="171">
        <v>2.52</v>
      </c>
      <c r="L31" s="173">
        <v>2.52</v>
      </c>
      <c r="M31" s="163">
        <v>1.92</v>
      </c>
      <c r="N31" s="163">
        <v>1.92</v>
      </c>
      <c r="O31" s="174">
        <v>1.32</v>
      </c>
      <c r="P31" s="167">
        <v>1.32</v>
      </c>
      <c r="Q31" s="167">
        <v>1.32</v>
      </c>
      <c r="R31" s="167">
        <v>1.32</v>
      </c>
    </row>
    <row r="32" spans="2:18">
      <c r="B32" s="161" t="s">
        <v>3874</v>
      </c>
      <c r="C32" s="162">
        <v>6.6</v>
      </c>
      <c r="D32" s="162">
        <v>6.6</v>
      </c>
      <c r="E32" s="162">
        <v>6.6</v>
      </c>
      <c r="F32" s="169">
        <v>4.8</v>
      </c>
      <c r="G32" s="170">
        <v>3.6</v>
      </c>
      <c r="H32" s="166">
        <v>3.6</v>
      </c>
      <c r="I32" s="166">
        <v>3.6</v>
      </c>
      <c r="J32" s="172">
        <v>3</v>
      </c>
      <c r="K32" s="171">
        <v>2.4</v>
      </c>
      <c r="L32" s="173">
        <v>2.4</v>
      </c>
      <c r="M32" s="163">
        <v>1.8</v>
      </c>
      <c r="N32" s="163">
        <v>1.8</v>
      </c>
      <c r="O32" s="174">
        <v>1.2</v>
      </c>
      <c r="P32" s="167">
        <v>1.2</v>
      </c>
      <c r="Q32" s="167">
        <v>1.2</v>
      </c>
      <c r="R32" s="167">
        <v>1.2</v>
      </c>
    </row>
    <row r="33" spans="2:18">
      <c r="B33" s="161" t="s">
        <v>3875</v>
      </c>
      <c r="C33" s="162">
        <v>6.24</v>
      </c>
      <c r="D33" s="162">
        <v>6.24</v>
      </c>
      <c r="E33" s="162">
        <v>6.24</v>
      </c>
      <c r="F33" s="169">
        <v>4.56</v>
      </c>
      <c r="G33" s="170">
        <v>3.36</v>
      </c>
      <c r="H33" s="166">
        <v>3.36</v>
      </c>
      <c r="I33" s="166">
        <v>3.36</v>
      </c>
      <c r="J33" s="172">
        <v>2.76</v>
      </c>
      <c r="K33" s="171">
        <v>2.28</v>
      </c>
      <c r="L33" s="173">
        <v>2.28</v>
      </c>
      <c r="M33" s="163">
        <v>1.68</v>
      </c>
      <c r="N33" s="163">
        <v>1.68</v>
      </c>
      <c r="O33" s="174">
        <v>1.08</v>
      </c>
      <c r="P33" s="167">
        <v>1.08</v>
      </c>
      <c r="Q33" s="167">
        <v>1.08</v>
      </c>
      <c r="R33" s="167">
        <v>1.08</v>
      </c>
    </row>
    <row r="34" spans="2:18">
      <c r="B34" s="161" t="s">
        <v>3876</v>
      </c>
      <c r="C34" s="162">
        <v>-4.16</v>
      </c>
      <c r="D34" s="162">
        <v>-4.16</v>
      </c>
      <c r="E34" s="162">
        <v>-4.16</v>
      </c>
      <c r="F34" s="169">
        <v>-3.04</v>
      </c>
      <c r="G34" s="170">
        <v>-2.24</v>
      </c>
      <c r="H34" s="166">
        <v>-2.24</v>
      </c>
      <c r="I34" s="166">
        <v>-2.24</v>
      </c>
      <c r="J34" s="172">
        <v>-1.84</v>
      </c>
      <c r="K34" s="171">
        <v>-1.52</v>
      </c>
      <c r="L34" s="173">
        <v>-1.52</v>
      </c>
      <c r="M34" s="163">
        <v>-1.12</v>
      </c>
      <c r="N34" s="163">
        <v>-1.12</v>
      </c>
      <c r="O34" s="174">
        <v>-0.72</v>
      </c>
      <c r="P34" s="167">
        <v>-0.72</v>
      </c>
      <c r="Q34" s="167">
        <v>-0.72</v>
      </c>
      <c r="R34" s="167">
        <v>-0.72</v>
      </c>
    </row>
    <row r="35" spans="2:18">
      <c r="B35" s="161" t="s">
        <v>3877</v>
      </c>
      <c r="C35" s="162">
        <v>-4.4</v>
      </c>
      <c r="D35" s="162">
        <v>-4.4</v>
      </c>
      <c r="E35" s="162">
        <v>-4.4</v>
      </c>
      <c r="F35" s="169">
        <v>-3.2</v>
      </c>
      <c r="G35" s="170">
        <v>-2.4</v>
      </c>
      <c r="H35" s="166">
        <v>-2.4</v>
      </c>
      <c r="I35" s="166">
        <v>-2.4</v>
      </c>
      <c r="J35" s="172">
        <v>-2</v>
      </c>
      <c r="K35" s="171">
        <v>-1.6</v>
      </c>
      <c r="L35" s="173">
        <v>-1.6</v>
      </c>
      <c r="M35" s="163">
        <v>-1.2</v>
      </c>
      <c r="N35" s="163">
        <v>-1.2</v>
      </c>
      <c r="O35" s="174">
        <v>-0.8</v>
      </c>
      <c r="P35" s="167">
        <v>-0.8</v>
      </c>
      <c r="Q35" s="167">
        <v>-0.8</v>
      </c>
      <c r="R35" s="167">
        <v>-0.8</v>
      </c>
    </row>
    <row r="36" spans="2:18">
      <c r="B36" s="161" t="s">
        <v>3878</v>
      </c>
      <c r="C36" s="162">
        <v>-4.64</v>
      </c>
      <c r="D36" s="162">
        <v>-4.64</v>
      </c>
      <c r="E36" s="162">
        <v>-4.64</v>
      </c>
      <c r="F36" s="169">
        <v>-3.36</v>
      </c>
      <c r="G36" s="170">
        <v>-2.56</v>
      </c>
      <c r="H36" s="166">
        <v>-2.56</v>
      </c>
      <c r="I36" s="166">
        <v>-2.56</v>
      </c>
      <c r="J36" s="172">
        <v>-2.16</v>
      </c>
      <c r="K36" s="171">
        <v>-1.68</v>
      </c>
      <c r="L36" s="173">
        <v>-1.68</v>
      </c>
      <c r="M36" s="163">
        <v>-1.28</v>
      </c>
      <c r="N36" s="163">
        <v>-1.28</v>
      </c>
      <c r="O36" s="174">
        <v>-0.88</v>
      </c>
      <c r="P36" s="167">
        <v>-0.88</v>
      </c>
      <c r="Q36" s="167">
        <v>-0.88</v>
      </c>
      <c r="R36" s="167">
        <v>-0.88</v>
      </c>
    </row>
    <row r="38" spans="2:18">
      <c r="B38" s="158" t="s">
        <v>3891</v>
      </c>
      <c r="C38" s="162">
        <v>5.5</v>
      </c>
      <c r="D38" s="162">
        <v>5.5</v>
      </c>
      <c r="E38" s="162">
        <v>5.5</v>
      </c>
      <c r="F38" s="169">
        <v>4</v>
      </c>
      <c r="G38" s="170">
        <v>3</v>
      </c>
      <c r="H38" s="166">
        <v>3</v>
      </c>
      <c r="I38" s="166">
        <v>3</v>
      </c>
      <c r="J38" s="172">
        <v>2.5</v>
      </c>
      <c r="K38" s="171">
        <v>2</v>
      </c>
      <c r="L38" s="173">
        <v>2</v>
      </c>
      <c r="M38" s="163">
        <v>1.5</v>
      </c>
      <c r="N38" s="163">
        <v>1.5</v>
      </c>
      <c r="O38" s="174">
        <v>1</v>
      </c>
      <c r="P38" s="167">
        <v>1</v>
      </c>
      <c r="Q38" s="167">
        <v>1</v>
      </c>
      <c r="R38" s="167">
        <v>1</v>
      </c>
    </row>
    <row r="40" spans="2:18">
      <c r="B40" s="160" t="s">
        <v>3867</v>
      </c>
      <c r="C40" s="158">
        <f>C4-C5</f>
        <v>0.239999999999999</v>
      </c>
      <c r="D40" s="158">
        <f>D4-D5</f>
        <v>0.239999999999999</v>
      </c>
      <c r="E40" s="158">
        <f>E4-E5</f>
        <v>0.239999999999999</v>
      </c>
      <c r="L40" s="158"/>
      <c r="N40" s="158">
        <f>N4-N5</f>
        <v>0.0800000000000001</v>
      </c>
    </row>
    <row r="41" spans="2:18">
      <c r="B41" s="160" t="s">
        <v>3867</v>
      </c>
      <c r="C41" s="158">
        <f>C9-C8</f>
        <v>-0.0299999999999999</v>
      </c>
      <c r="D41" s="158">
        <f>D9-D8</f>
        <v>-0.0299999999999999</v>
      </c>
      <c r="E41" s="158">
        <f>E9-E8</f>
        <v>-0.0299999999999999</v>
      </c>
      <c r="L41" s="158"/>
      <c r="N41" s="158">
        <f>N9-N8</f>
        <v>-0.01</v>
      </c>
    </row>
    <row r="42" spans="2:18">
      <c r="B42" s="160" t="s">
        <v>3879</v>
      </c>
      <c r="C42" s="158">
        <f>C13-C14</f>
        <v>0.3</v>
      </c>
      <c r="D42" s="158">
        <f t="shared" ref="D42:Q42" si="0">D13-D14</f>
        <v>0.3</v>
      </c>
      <c r="E42" s="158">
        <f t="shared" si="0"/>
        <v>0.3</v>
      </c>
      <c r="I42" s="175">
        <f t="shared" si="0"/>
        <v>0.2</v>
      </c>
      <c r="L42" s="158"/>
      <c r="M42" s="158">
        <f t="shared" si="0"/>
        <v>0.1</v>
      </c>
      <c r="N42" s="158">
        <f t="shared" si="0"/>
        <v>0.1</v>
      </c>
      <c r="P42" s="158">
        <f t="shared" si="0"/>
        <v>0.1</v>
      </c>
      <c r="Q42" s="158">
        <f t="shared" si="0"/>
        <v>0.1</v>
      </c>
    </row>
    <row r="43" spans="2:18">
      <c r="B43" s="160" t="s">
        <v>3879</v>
      </c>
      <c r="C43" s="158">
        <f>C18-C17</f>
        <v>-0.0599999999999998</v>
      </c>
      <c r="D43" s="158">
        <f t="shared" ref="D43:Q43" si="1">D18-D17</f>
        <v>-0.0599999999999998</v>
      </c>
      <c r="E43" s="158">
        <f t="shared" si="1"/>
        <v>-0.0599999999999998</v>
      </c>
      <c r="I43" s="175">
        <f t="shared" si="1"/>
        <v>-0.04</v>
      </c>
      <c r="L43" s="158"/>
      <c r="M43" s="158">
        <f t="shared" si="1"/>
        <v>-0.02</v>
      </c>
      <c r="N43" s="158">
        <f t="shared" si="1"/>
        <v>-0.02</v>
      </c>
      <c r="P43" s="158">
        <f t="shared" si="1"/>
        <v>-0.02</v>
      </c>
      <c r="Q43" s="158">
        <f t="shared" si="1"/>
        <v>-0.02</v>
      </c>
    </row>
    <row r="44" spans="2:18">
      <c r="B44" s="160" t="s">
        <v>3884</v>
      </c>
      <c r="C44" s="158">
        <f>C22-C23</f>
        <v>0.3</v>
      </c>
      <c r="D44" s="158">
        <f t="shared" ref="D44:Q44" si="2">D22-D23</f>
        <v>0.3</v>
      </c>
      <c r="E44" s="158">
        <f t="shared" si="2"/>
        <v>0.3</v>
      </c>
      <c r="F44" s="158">
        <f t="shared" si="2"/>
        <v>0.2</v>
      </c>
      <c r="G44" s="158">
        <f t="shared" si="2"/>
        <v>0.2</v>
      </c>
      <c r="H44" s="158">
        <f t="shared" si="2"/>
        <v>0.2</v>
      </c>
      <c r="I44" s="175">
        <f t="shared" si="2"/>
        <v>0.2</v>
      </c>
      <c r="K44" s="158">
        <f t="shared" si="2"/>
        <v>0.1</v>
      </c>
      <c r="L44" s="158"/>
      <c r="M44" s="158">
        <f t="shared" si="2"/>
        <v>0.1</v>
      </c>
      <c r="N44" s="158">
        <f t="shared" si="2"/>
        <v>0.1</v>
      </c>
      <c r="P44" s="158">
        <f t="shared" si="2"/>
        <v>0.1</v>
      </c>
      <c r="Q44" s="158">
        <f t="shared" si="2"/>
        <v>0.1</v>
      </c>
    </row>
    <row r="45" spans="2:18">
      <c r="B45" s="160" t="s">
        <v>3884</v>
      </c>
      <c r="C45" s="158">
        <f>C27-C26</f>
        <v>-0.18</v>
      </c>
      <c r="D45" s="158">
        <f t="shared" ref="D45:Q45" si="3">D27-D26</f>
        <v>-0.18</v>
      </c>
      <c r="E45" s="158">
        <f t="shared" si="3"/>
        <v>-0.18</v>
      </c>
      <c r="F45" s="158">
        <f t="shared" si="3"/>
        <v>-0.12</v>
      </c>
      <c r="G45" s="158">
        <f t="shared" si="3"/>
        <v>-0.12</v>
      </c>
      <c r="H45" s="158">
        <f t="shared" si="3"/>
        <v>-0.12</v>
      </c>
      <c r="I45" s="175">
        <f t="shared" si="3"/>
        <v>-0.12</v>
      </c>
      <c r="K45" s="158">
        <f t="shared" si="3"/>
        <v>-0.0600000000000001</v>
      </c>
      <c r="L45" s="158"/>
      <c r="M45" s="158">
        <f t="shared" si="3"/>
        <v>-0.0599999999999999</v>
      </c>
      <c r="N45" s="158">
        <f t="shared" si="3"/>
        <v>-0.0599999999999999</v>
      </c>
      <c r="P45" s="158">
        <f t="shared" si="3"/>
        <v>-0.0600000000000001</v>
      </c>
      <c r="Q45" s="158">
        <f t="shared" si="3"/>
        <v>-0.0600000000000001</v>
      </c>
    </row>
    <row r="46" spans="2:18">
      <c r="B46" s="160" t="s">
        <v>2475</v>
      </c>
      <c r="C46" s="158">
        <f>C31-C32</f>
        <v>0.36</v>
      </c>
      <c r="D46" s="158">
        <f t="shared" ref="D46:R46" si="4">D31-D32</f>
        <v>0.36</v>
      </c>
      <c r="E46" s="158">
        <f t="shared" si="4"/>
        <v>0.36</v>
      </c>
      <c r="F46" s="158">
        <f t="shared" si="4"/>
        <v>0.24</v>
      </c>
      <c r="G46" s="158">
        <f t="shared" si="4"/>
        <v>0.24</v>
      </c>
      <c r="H46" s="158">
        <f t="shared" si="4"/>
        <v>0.24</v>
      </c>
      <c r="I46" s="175">
        <f t="shared" si="4"/>
        <v>0.24</v>
      </c>
      <c r="J46" s="158">
        <f t="shared" si="4"/>
        <v>0.24</v>
      </c>
      <c r="K46" s="158">
        <f t="shared" si="4"/>
        <v>0.12</v>
      </c>
      <c r="L46" s="158">
        <f t="shared" si="4"/>
        <v>0.12</v>
      </c>
      <c r="M46" s="158">
        <f t="shared" si="4"/>
        <v>0.12</v>
      </c>
      <c r="N46" s="158">
        <f t="shared" si="4"/>
        <v>0.12</v>
      </c>
      <c r="O46" s="158">
        <f t="shared" si="4"/>
        <v>0.12</v>
      </c>
      <c r="P46" s="158">
        <f t="shared" si="4"/>
        <v>0.12</v>
      </c>
      <c r="Q46" s="158">
        <f t="shared" si="4"/>
        <v>0.12</v>
      </c>
      <c r="R46" s="158">
        <f t="shared" si="4"/>
        <v>0.12</v>
      </c>
    </row>
    <row r="47" spans="2:18">
      <c r="B47" s="160" t="s">
        <v>2475</v>
      </c>
      <c r="C47" s="158">
        <f>C36-C35</f>
        <v>-0.239999999999999</v>
      </c>
      <c r="D47" s="158">
        <f t="shared" ref="D47:R47" si="5">D36-D35</f>
        <v>-0.239999999999999</v>
      </c>
      <c r="E47" s="158">
        <f t="shared" si="5"/>
        <v>-0.239999999999999</v>
      </c>
      <c r="F47" s="158">
        <f t="shared" si="5"/>
        <v>-0.16</v>
      </c>
      <c r="G47" s="158">
        <f t="shared" si="5"/>
        <v>-0.16</v>
      </c>
      <c r="H47" s="158">
        <f t="shared" si="5"/>
        <v>-0.16</v>
      </c>
      <c r="I47" s="175">
        <f t="shared" si="5"/>
        <v>-0.16</v>
      </c>
      <c r="J47" s="158">
        <f t="shared" si="5"/>
        <v>-0.16</v>
      </c>
      <c r="K47" s="158">
        <f t="shared" si="5"/>
        <v>-0.0799999999999998</v>
      </c>
      <c r="L47" s="158">
        <f t="shared" si="5"/>
        <v>-0.0799999999999998</v>
      </c>
      <c r="M47" s="158">
        <f t="shared" si="5"/>
        <v>-0.0800000000000001</v>
      </c>
      <c r="N47" s="158">
        <f t="shared" si="5"/>
        <v>-0.0800000000000001</v>
      </c>
      <c r="O47" s="158">
        <f t="shared" si="5"/>
        <v>-0.08</v>
      </c>
      <c r="P47" s="158">
        <f t="shared" si="5"/>
        <v>-0.08</v>
      </c>
      <c r="Q47" s="158">
        <f t="shared" si="5"/>
        <v>-0.08</v>
      </c>
      <c r="R47" s="158">
        <f t="shared" si="5"/>
        <v>-0.08</v>
      </c>
    </row>
    <row r="49" spans="3:18">
      <c r="C49" s="176">
        <v>3</v>
      </c>
      <c r="D49" s="176"/>
      <c r="E49" s="176"/>
      <c r="F49" s="175">
        <v>2</v>
      </c>
      <c r="G49" s="175"/>
      <c r="H49" s="175"/>
      <c r="I49" s="175"/>
      <c r="J49" s="175"/>
      <c r="K49" s="177">
        <v>1</v>
      </c>
      <c r="L49" s="177"/>
      <c r="M49" s="177"/>
      <c r="N49" s="177"/>
      <c r="O49" s="177"/>
      <c r="P49" s="177"/>
      <c r="Q49" s="177"/>
      <c r="R49" s="177"/>
    </row>
  </sheetData>
  <mergeCells count="3">
    <mergeCell ref="C49:E49"/>
    <mergeCell ref="F49:J49"/>
    <mergeCell ref="K49:R49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22"/>
  <sheetViews>
    <sheetView workbookViewId="0">
      <selection activeCell="K21" sqref="K21"/>
    </sheetView>
  </sheetViews>
  <sheetFormatPr defaultColWidth="9" defaultRowHeight="13.5"/>
  <sheetData>
    <row r="2" spans="2:17">
      <c r="B2" s="150" t="s">
        <v>3892</v>
      </c>
      <c r="C2" t="s">
        <v>3893</v>
      </c>
      <c r="L2" s="150" t="s">
        <v>3894</v>
      </c>
    </row>
    <row r="3" spans="2:17">
      <c r="D3" s="150" t="s">
        <v>265</v>
      </c>
      <c r="E3" s="150" t="s">
        <v>3895</v>
      </c>
      <c r="F3" s="150" t="s">
        <v>3896</v>
      </c>
      <c r="G3" s="150" t="s">
        <v>3897</v>
      </c>
      <c r="H3" s="150" t="s">
        <v>3898</v>
      </c>
      <c r="M3" s="150" t="s">
        <v>265</v>
      </c>
      <c r="N3" s="150" t="s">
        <v>3895</v>
      </c>
      <c r="O3" s="150" t="s">
        <v>3896</v>
      </c>
      <c r="P3" s="150" t="s">
        <v>3897</v>
      </c>
      <c r="Q3" s="150" t="s">
        <v>3898</v>
      </c>
    </row>
    <row r="4" spans="2:17">
      <c r="D4" s="150" t="s">
        <v>3810</v>
      </c>
      <c r="E4" s="150" t="s">
        <v>3899</v>
      </c>
      <c r="F4" s="150" t="s">
        <v>3900</v>
      </c>
      <c r="G4" s="150" t="s">
        <v>3901</v>
      </c>
      <c r="H4" s="150" t="s">
        <v>190</v>
      </c>
      <c r="M4" s="150" t="s">
        <v>3810</v>
      </c>
      <c r="N4" s="150" t="s">
        <v>3899</v>
      </c>
      <c r="O4" s="150" t="s">
        <v>3900</v>
      </c>
      <c r="P4" s="150" t="s">
        <v>3901</v>
      </c>
      <c r="Q4" s="150" t="s">
        <v>190</v>
      </c>
    </row>
    <row r="5" spans="2:17">
      <c r="D5" s="150" t="s">
        <v>3902</v>
      </c>
      <c r="E5" s="150" t="s">
        <v>3903</v>
      </c>
      <c r="F5" s="150" t="s">
        <v>3904</v>
      </c>
      <c r="G5" s="150" t="s">
        <v>3905</v>
      </c>
      <c r="H5" s="150" t="s">
        <v>3906</v>
      </c>
      <c r="M5" s="150" t="s">
        <v>3902</v>
      </c>
      <c r="N5" s="150" t="s">
        <v>3903</v>
      </c>
      <c r="O5" s="150" t="s">
        <v>3904</v>
      </c>
      <c r="P5" s="150" t="s">
        <v>3905</v>
      </c>
      <c r="Q5" s="150" t="s">
        <v>3906</v>
      </c>
    </row>
    <row r="6" spans="2:17">
      <c r="D6" s="150" t="s">
        <v>3907</v>
      </c>
      <c r="E6" s="150" t="s">
        <v>3889</v>
      </c>
      <c r="F6" s="150" t="s">
        <v>3882</v>
      </c>
      <c r="G6" s="150" t="s">
        <v>3886</v>
      </c>
      <c r="H6" s="150" t="s">
        <v>3883</v>
      </c>
      <c r="M6" s="150" t="s">
        <v>3907</v>
      </c>
      <c r="N6" s="150" t="s">
        <v>3882</v>
      </c>
      <c r="O6" s="150" t="s">
        <v>3889</v>
      </c>
      <c r="P6" s="150" t="s">
        <v>3886</v>
      </c>
      <c r="Q6" s="150" t="s">
        <v>3883</v>
      </c>
    </row>
    <row r="7" spans="2:17">
      <c r="D7" s="150" t="s">
        <v>3908</v>
      </c>
      <c r="E7" s="151">
        <v>0.05</v>
      </c>
      <c r="F7" s="151">
        <v>0.1</v>
      </c>
      <c r="G7" s="151">
        <v>0.05</v>
      </c>
      <c r="H7" s="151">
        <v>0.05</v>
      </c>
      <c r="M7" s="150" t="s">
        <v>3908</v>
      </c>
      <c r="N7" s="151">
        <v>0.1</v>
      </c>
      <c r="O7" s="151">
        <v>0.05</v>
      </c>
      <c r="P7" s="151">
        <v>0.05</v>
      </c>
      <c r="Q7" s="151">
        <v>0.05</v>
      </c>
    </row>
    <row r="10" spans="2:17">
      <c r="D10" s="150" t="s">
        <v>265</v>
      </c>
      <c r="E10" s="150" t="s">
        <v>3909</v>
      </c>
      <c r="F10" s="150" t="s">
        <v>3910</v>
      </c>
      <c r="G10" s="150" t="s">
        <v>3911</v>
      </c>
      <c r="H10" s="150" t="s">
        <v>3912</v>
      </c>
      <c r="I10" s="150" t="s">
        <v>3913</v>
      </c>
      <c r="L10" s="150" t="s">
        <v>265</v>
      </c>
      <c r="M10" s="150" t="s">
        <v>3909</v>
      </c>
      <c r="N10" s="150" t="s">
        <v>3910</v>
      </c>
      <c r="O10" s="150" t="s">
        <v>3911</v>
      </c>
      <c r="P10" s="150" t="s">
        <v>3912</v>
      </c>
      <c r="Q10" s="150" t="s">
        <v>3913</v>
      </c>
    </row>
    <row r="11" spans="2:17">
      <c r="D11" s="150"/>
      <c r="E11" s="150"/>
      <c r="F11" s="150"/>
      <c r="G11" s="150"/>
      <c r="H11" s="150"/>
      <c r="L11" s="150"/>
      <c r="M11" s="150"/>
      <c r="N11" s="150"/>
      <c r="O11" s="150"/>
      <c r="P11" s="150"/>
    </row>
    <row r="12" spans="2:17">
      <c r="D12" s="152" t="s">
        <v>3895</v>
      </c>
      <c r="E12" s="152" t="s">
        <v>3914</v>
      </c>
      <c r="F12" s="152" t="s">
        <v>3915</v>
      </c>
      <c r="G12" s="150" t="s">
        <v>3916</v>
      </c>
      <c r="H12" s="150" t="s">
        <v>3917</v>
      </c>
      <c r="L12" s="152" t="s">
        <v>3895</v>
      </c>
      <c r="M12" s="152" t="s">
        <v>3914</v>
      </c>
      <c r="N12" s="152" t="s">
        <v>3915</v>
      </c>
      <c r="O12" s="150" t="s">
        <v>3916</v>
      </c>
      <c r="P12" s="150" t="s">
        <v>3917</v>
      </c>
    </row>
    <row r="13" spans="2:17">
      <c r="D13" s="152"/>
      <c r="E13" s="152"/>
      <c r="F13" s="152"/>
      <c r="G13" s="150" t="s">
        <v>3918</v>
      </c>
      <c r="H13" s="150" t="s">
        <v>3919</v>
      </c>
      <c r="I13" s="150" t="s">
        <v>3920</v>
      </c>
      <c r="L13" s="152"/>
      <c r="M13" s="152"/>
      <c r="N13" s="152"/>
      <c r="O13" s="150" t="s">
        <v>3918</v>
      </c>
      <c r="P13" s="150" t="s">
        <v>3919</v>
      </c>
      <c r="Q13" s="150" t="s">
        <v>3920</v>
      </c>
    </row>
    <row r="14" spans="2:17">
      <c r="D14" s="152"/>
      <c r="E14" s="152"/>
      <c r="F14" s="152"/>
      <c r="G14" s="150" t="s">
        <v>3921</v>
      </c>
      <c r="H14" s="150" t="s">
        <v>3922</v>
      </c>
      <c r="I14" s="150" t="s">
        <v>3923</v>
      </c>
      <c r="L14" s="152"/>
      <c r="M14" s="152"/>
      <c r="N14" s="152"/>
      <c r="O14" s="150" t="s">
        <v>3921</v>
      </c>
      <c r="P14" s="150" t="s">
        <v>3922</v>
      </c>
      <c r="Q14" s="150" t="s">
        <v>3923</v>
      </c>
    </row>
    <row r="15" spans="2:17">
      <c r="D15" s="152"/>
      <c r="E15" s="152"/>
      <c r="F15" s="152" t="s">
        <v>3924</v>
      </c>
      <c r="G15" s="150" t="s">
        <v>3925</v>
      </c>
      <c r="H15" s="150" t="s">
        <v>3926</v>
      </c>
      <c r="I15" s="150" t="s">
        <v>3927</v>
      </c>
      <c r="L15" s="152"/>
      <c r="M15" s="152"/>
      <c r="N15" s="152" t="s">
        <v>3924</v>
      </c>
      <c r="O15" s="150" t="s">
        <v>3925</v>
      </c>
      <c r="P15" s="150" t="s">
        <v>3926</v>
      </c>
      <c r="Q15" s="150" t="s">
        <v>3927</v>
      </c>
    </row>
    <row r="16" spans="2:17">
      <c r="D16" s="152"/>
      <c r="E16" s="152"/>
      <c r="F16" s="152"/>
      <c r="G16" s="150" t="s">
        <v>3928</v>
      </c>
      <c r="H16" s="150" t="s">
        <v>3929</v>
      </c>
      <c r="L16" s="152"/>
      <c r="M16" s="152"/>
      <c r="N16" s="152"/>
      <c r="O16" s="150" t="s">
        <v>3928</v>
      </c>
      <c r="P16" s="150" t="s">
        <v>3929</v>
      </c>
    </row>
    <row r="17" spans="4:17">
      <c r="D17" s="152"/>
      <c r="E17" s="152"/>
      <c r="F17" s="152"/>
      <c r="G17" s="153" t="s">
        <v>3930</v>
      </c>
      <c r="H17" s="153" t="s">
        <v>3931</v>
      </c>
      <c r="I17" s="150" t="s">
        <v>3932</v>
      </c>
      <c r="L17" s="152"/>
      <c r="M17" s="152"/>
      <c r="N17" s="152"/>
      <c r="O17" s="153" t="s">
        <v>3930</v>
      </c>
      <c r="P17" s="153" t="s">
        <v>3931</v>
      </c>
      <c r="Q17" s="150" t="s">
        <v>3932</v>
      </c>
    </row>
    <row r="18" spans="4:17">
      <c r="D18" s="152"/>
      <c r="E18" s="150"/>
      <c r="F18" s="150"/>
      <c r="G18" s="150"/>
      <c r="H18" s="150"/>
      <c r="L18" s="152"/>
      <c r="M18" s="150"/>
      <c r="N18" s="150"/>
      <c r="O18" s="150"/>
      <c r="P18" s="150"/>
    </row>
    <row r="19" spans="4:17">
      <c r="D19" s="152"/>
      <c r="E19" s="152" t="s">
        <v>3933</v>
      </c>
      <c r="F19" s="152" t="s">
        <v>3934</v>
      </c>
      <c r="G19" s="150" t="s">
        <v>3935</v>
      </c>
      <c r="H19" s="150" t="s">
        <v>3917</v>
      </c>
      <c r="L19" s="152"/>
      <c r="M19" s="152" t="s">
        <v>3933</v>
      </c>
      <c r="N19" s="152" t="s">
        <v>3934</v>
      </c>
      <c r="O19" s="150" t="s">
        <v>3935</v>
      </c>
      <c r="P19" s="150" t="s">
        <v>3917</v>
      </c>
    </row>
    <row r="20" spans="4:17">
      <c r="D20" s="152"/>
      <c r="E20" s="152"/>
      <c r="F20" s="152"/>
      <c r="G20" s="150" t="s">
        <v>3936</v>
      </c>
      <c r="H20" s="150" t="s">
        <v>3919</v>
      </c>
      <c r="I20" s="150" t="s">
        <v>3920</v>
      </c>
      <c r="L20" s="152"/>
      <c r="M20" s="152"/>
      <c r="N20" s="152"/>
      <c r="O20" s="150" t="s">
        <v>3936</v>
      </c>
      <c r="P20" s="150" t="s">
        <v>3919</v>
      </c>
      <c r="Q20" s="150" t="s">
        <v>3920</v>
      </c>
    </row>
    <row r="21" spans="4:17">
      <c r="D21" s="152"/>
      <c r="E21" s="152"/>
      <c r="F21" s="152" t="s">
        <v>3937</v>
      </c>
      <c r="G21" s="150" t="s">
        <v>3938</v>
      </c>
      <c r="H21" s="150" t="s">
        <v>3922</v>
      </c>
      <c r="I21" s="150" t="s">
        <v>3923</v>
      </c>
      <c r="L21" s="152"/>
      <c r="M21" s="152"/>
      <c r="N21" s="152" t="s">
        <v>3937</v>
      </c>
      <c r="O21" s="150" t="s">
        <v>3938</v>
      </c>
      <c r="P21" s="150" t="s">
        <v>3922</v>
      </c>
      <c r="Q21" s="150" t="s">
        <v>3923</v>
      </c>
    </row>
    <row r="22" spans="4:17">
      <c r="D22" s="152"/>
      <c r="E22" s="152"/>
      <c r="F22" s="152" t="s">
        <v>3939</v>
      </c>
      <c r="G22" s="150" t="s">
        <v>3940</v>
      </c>
      <c r="H22" s="150" t="s">
        <v>3926</v>
      </c>
      <c r="I22" s="150" t="s">
        <v>3927</v>
      </c>
      <c r="L22" s="152"/>
      <c r="M22" s="152"/>
      <c r="N22" s="152" t="s">
        <v>3939</v>
      </c>
      <c r="O22" s="150" t="s">
        <v>3940</v>
      </c>
      <c r="P22" s="150" t="s">
        <v>3926</v>
      </c>
      <c r="Q22" s="150" t="s">
        <v>3927</v>
      </c>
    </row>
    <row r="23" spans="4:17">
      <c r="D23" s="152"/>
      <c r="E23" s="152"/>
      <c r="F23" s="152"/>
      <c r="G23" s="150" t="s">
        <v>3941</v>
      </c>
      <c r="H23" s="150" t="s">
        <v>3929</v>
      </c>
      <c r="I23" s="150"/>
      <c r="L23" s="152"/>
      <c r="M23" s="152"/>
      <c r="N23" s="152"/>
      <c r="O23" s="150" t="s">
        <v>3941</v>
      </c>
      <c r="P23" s="150" t="s">
        <v>3929</v>
      </c>
      <c r="Q23" s="150"/>
    </row>
    <row r="24" spans="4:17">
      <c r="D24" s="152"/>
      <c r="E24" s="152"/>
      <c r="F24" s="152"/>
      <c r="G24" s="153" t="s">
        <v>3942</v>
      </c>
      <c r="H24" s="153" t="s">
        <v>3931</v>
      </c>
      <c r="I24" s="150" t="s">
        <v>3932</v>
      </c>
      <c r="L24" s="152"/>
      <c r="M24" s="152"/>
      <c r="N24" s="152"/>
      <c r="O24" s="153" t="s">
        <v>3942</v>
      </c>
      <c r="P24" s="153" t="s">
        <v>3931</v>
      </c>
      <c r="Q24" s="150" t="s">
        <v>3932</v>
      </c>
    </row>
    <row r="25" spans="4:17">
      <c r="D25" s="152"/>
      <c r="E25" s="150"/>
      <c r="F25" s="150"/>
      <c r="G25" s="150"/>
      <c r="H25" s="150"/>
      <c r="L25" s="152"/>
      <c r="M25" s="150"/>
      <c r="N25" s="150"/>
      <c r="O25" s="150"/>
      <c r="P25" s="150"/>
    </row>
    <row r="26" spans="4:17">
      <c r="D26" s="152"/>
      <c r="E26" s="152" t="s">
        <v>3943</v>
      </c>
      <c r="F26" s="152" t="s">
        <v>3944</v>
      </c>
      <c r="G26" s="150" t="s">
        <v>3945</v>
      </c>
      <c r="H26" s="150" t="s">
        <v>3917</v>
      </c>
      <c r="L26" s="152"/>
      <c r="M26" s="152" t="s">
        <v>3943</v>
      </c>
      <c r="N26" s="152" t="s">
        <v>3944</v>
      </c>
      <c r="O26" s="150" t="s">
        <v>3945</v>
      </c>
      <c r="P26" s="150" t="s">
        <v>3917</v>
      </c>
    </row>
    <row r="27" spans="4:17">
      <c r="D27" s="152"/>
      <c r="E27" s="152"/>
      <c r="F27" s="152"/>
      <c r="G27" s="150" t="s">
        <v>3946</v>
      </c>
      <c r="H27" s="150" t="s">
        <v>3922</v>
      </c>
      <c r="I27" s="150" t="s">
        <v>3923</v>
      </c>
      <c r="L27" s="152"/>
      <c r="M27" s="152"/>
      <c r="N27" s="152"/>
      <c r="O27" s="150" t="s">
        <v>3946</v>
      </c>
      <c r="P27" s="150" t="s">
        <v>3922</v>
      </c>
      <c r="Q27" s="150" t="s">
        <v>3923</v>
      </c>
    </row>
    <row r="28" spans="4:17">
      <c r="D28" s="152"/>
      <c r="E28" s="152"/>
      <c r="F28" s="152" t="s">
        <v>3947</v>
      </c>
      <c r="G28" s="150" t="s">
        <v>3948</v>
      </c>
      <c r="H28" s="150" t="s">
        <v>3919</v>
      </c>
      <c r="I28" s="150" t="s">
        <v>3920</v>
      </c>
      <c r="L28" s="152"/>
      <c r="M28" s="152"/>
      <c r="N28" s="152" t="s">
        <v>3947</v>
      </c>
      <c r="O28" s="150" t="s">
        <v>3948</v>
      </c>
      <c r="P28" s="150" t="s">
        <v>3919</v>
      </c>
      <c r="Q28" s="150" t="s">
        <v>3920</v>
      </c>
    </row>
    <row r="29" spans="4:17">
      <c r="D29" s="152"/>
      <c r="E29" s="152"/>
      <c r="F29" s="152"/>
      <c r="G29" s="150" t="s">
        <v>3949</v>
      </c>
      <c r="H29" s="150" t="s">
        <v>3926</v>
      </c>
      <c r="I29" s="150" t="s">
        <v>3927</v>
      </c>
      <c r="L29" s="152"/>
      <c r="M29" s="152"/>
      <c r="N29" s="152"/>
      <c r="O29" s="150" t="s">
        <v>3949</v>
      </c>
      <c r="P29" s="150" t="s">
        <v>3926</v>
      </c>
      <c r="Q29" s="150" t="s">
        <v>3927</v>
      </c>
    </row>
    <row r="30" spans="4:17">
      <c r="D30" s="152"/>
      <c r="E30" s="152"/>
      <c r="F30" s="152"/>
      <c r="G30" s="150" t="s">
        <v>3950</v>
      </c>
      <c r="H30" s="150" t="s">
        <v>3929</v>
      </c>
      <c r="L30" s="152"/>
      <c r="M30" s="152"/>
      <c r="N30" s="152"/>
      <c r="O30" s="150" t="s">
        <v>3950</v>
      </c>
      <c r="P30" s="150" t="s">
        <v>3929</v>
      </c>
    </row>
    <row r="31" spans="4:17">
      <c r="D31" s="152"/>
      <c r="E31" s="152"/>
      <c r="F31" s="41" t="s">
        <v>3951</v>
      </c>
      <c r="G31" s="150" t="s">
        <v>3952</v>
      </c>
      <c r="H31" s="150" t="s">
        <v>3926</v>
      </c>
      <c r="I31" s="150" t="s">
        <v>3927</v>
      </c>
      <c r="L31" s="152"/>
      <c r="M31" s="152"/>
      <c r="N31" s="41" t="s">
        <v>3951</v>
      </c>
      <c r="O31" s="150" t="s">
        <v>3952</v>
      </c>
      <c r="P31" s="150" t="s">
        <v>3926</v>
      </c>
      <c r="Q31" s="150" t="s">
        <v>3927</v>
      </c>
    </row>
    <row r="32" spans="4:17">
      <c r="D32" s="152"/>
      <c r="E32" s="152"/>
      <c r="F32" s="41"/>
      <c r="G32" s="150" t="s">
        <v>3953</v>
      </c>
      <c r="H32" s="150" t="s">
        <v>3954</v>
      </c>
      <c r="L32" s="152"/>
      <c r="M32" s="152"/>
      <c r="N32" s="41"/>
      <c r="O32" s="150" t="s">
        <v>3953</v>
      </c>
      <c r="P32" s="150" t="s">
        <v>3954</v>
      </c>
    </row>
    <row r="33" spans="4:17">
      <c r="D33" s="152"/>
      <c r="E33" s="152"/>
      <c r="F33" s="41"/>
      <c r="G33" s="153" t="s">
        <v>3955</v>
      </c>
      <c r="H33" s="153" t="s">
        <v>3931</v>
      </c>
      <c r="I33" s="150" t="s">
        <v>3932</v>
      </c>
      <c r="L33" s="152"/>
      <c r="M33" s="152"/>
      <c r="N33" s="41"/>
      <c r="O33" s="153" t="s">
        <v>3955</v>
      </c>
      <c r="P33" s="153" t="s">
        <v>3931</v>
      </c>
      <c r="Q33" s="150" t="s">
        <v>3932</v>
      </c>
    </row>
    <row r="34" spans="4:17">
      <c r="D34" s="152"/>
      <c r="E34" s="152"/>
      <c r="F34" s="150"/>
      <c r="G34" s="150"/>
      <c r="H34" s="150"/>
      <c r="L34" s="152"/>
      <c r="M34" s="152"/>
      <c r="N34" s="150"/>
      <c r="O34" s="150"/>
      <c r="P34" s="150"/>
    </row>
    <row r="35" spans="4:17">
      <c r="D35" s="152"/>
      <c r="E35" s="154" t="s">
        <v>3956</v>
      </c>
      <c r="F35" s="150" t="s">
        <v>3957</v>
      </c>
      <c r="G35" s="150" t="s">
        <v>3958</v>
      </c>
      <c r="H35" s="150" t="s">
        <v>3917</v>
      </c>
      <c r="L35" s="152"/>
      <c r="M35" s="154" t="s">
        <v>3956</v>
      </c>
      <c r="N35" s="150" t="s">
        <v>3957</v>
      </c>
      <c r="O35" s="150" t="s">
        <v>3958</v>
      </c>
      <c r="P35" s="150" t="s">
        <v>3917</v>
      </c>
    </row>
    <row r="36" spans="4:17">
      <c r="D36" s="152"/>
      <c r="E36" s="154"/>
      <c r="F36" s="152" t="s">
        <v>3959</v>
      </c>
      <c r="G36" s="152" t="s">
        <v>3960</v>
      </c>
      <c r="H36" s="150" t="s">
        <v>3961</v>
      </c>
      <c r="I36" s="150" t="s">
        <v>3927</v>
      </c>
      <c r="L36" s="152"/>
      <c r="M36" s="154"/>
      <c r="N36" s="152" t="s">
        <v>3959</v>
      </c>
      <c r="O36" s="152" t="s">
        <v>3960</v>
      </c>
      <c r="P36" s="150" t="s">
        <v>3961</v>
      </c>
      <c r="Q36" s="150" t="s">
        <v>3927</v>
      </c>
    </row>
    <row r="37" spans="4:17">
      <c r="D37" s="152"/>
      <c r="E37" s="154"/>
      <c r="F37" s="152"/>
      <c r="G37" s="152"/>
      <c r="H37" s="150" t="s">
        <v>3962</v>
      </c>
      <c r="L37" s="152"/>
      <c r="M37" s="154"/>
      <c r="N37" s="152"/>
      <c r="O37" s="152"/>
      <c r="P37" s="150" t="s">
        <v>3962</v>
      </c>
    </row>
    <row r="39" spans="4:17">
      <c r="D39" s="150" t="s">
        <v>265</v>
      </c>
      <c r="E39" s="150" t="s">
        <v>3909</v>
      </c>
      <c r="F39" s="150" t="s">
        <v>3910</v>
      </c>
      <c r="G39" s="150" t="s">
        <v>3911</v>
      </c>
      <c r="H39" s="150" t="s">
        <v>3912</v>
      </c>
      <c r="I39" s="150" t="s">
        <v>3913</v>
      </c>
      <c r="L39" s="150" t="s">
        <v>265</v>
      </c>
      <c r="M39" s="150" t="s">
        <v>3909</v>
      </c>
      <c r="N39" s="150" t="s">
        <v>3910</v>
      </c>
      <c r="O39" s="150" t="s">
        <v>3911</v>
      </c>
      <c r="P39" s="150" t="s">
        <v>3912</v>
      </c>
      <c r="Q39" s="150" t="s">
        <v>3913</v>
      </c>
    </row>
    <row r="40" spans="4:17">
      <c r="D40" s="155"/>
      <c r="L40" s="155"/>
    </row>
    <row r="41" spans="4:17">
      <c r="D41" s="152" t="s">
        <v>3896</v>
      </c>
      <c r="E41" s="152" t="s">
        <v>3963</v>
      </c>
      <c r="F41" s="152" t="s">
        <v>3964</v>
      </c>
      <c r="G41" s="156" t="s">
        <v>3965</v>
      </c>
      <c r="H41" s="150" t="s">
        <v>3917</v>
      </c>
      <c r="L41" s="152" t="s">
        <v>3896</v>
      </c>
      <c r="M41" s="152" t="s">
        <v>3963</v>
      </c>
      <c r="N41" s="152" t="s">
        <v>3964</v>
      </c>
      <c r="O41" s="156" t="s">
        <v>3965</v>
      </c>
      <c r="P41" s="150" t="s">
        <v>3917</v>
      </c>
    </row>
    <row r="42" spans="4:17">
      <c r="D42" s="152"/>
      <c r="E42" s="152"/>
      <c r="F42" s="152"/>
      <c r="G42" s="150" t="s">
        <v>3966</v>
      </c>
      <c r="H42" s="150" t="s">
        <v>3967</v>
      </c>
      <c r="I42" s="150" t="s">
        <v>3923</v>
      </c>
      <c r="L42" s="152"/>
      <c r="M42" s="152"/>
      <c r="N42" s="152"/>
      <c r="O42" s="150" t="s">
        <v>3966</v>
      </c>
      <c r="P42" s="150" t="s">
        <v>3967</v>
      </c>
      <c r="Q42" s="150" t="s">
        <v>3923</v>
      </c>
    </row>
    <row r="43" spans="4:17">
      <c r="D43" s="152"/>
      <c r="E43" s="152"/>
      <c r="F43" s="152" t="s">
        <v>3968</v>
      </c>
      <c r="G43" s="150" t="s">
        <v>3969</v>
      </c>
      <c r="H43" s="150" t="s">
        <v>3970</v>
      </c>
      <c r="I43" s="150" t="s">
        <v>3927</v>
      </c>
      <c r="L43" s="152"/>
      <c r="M43" s="152"/>
      <c r="N43" s="152" t="s">
        <v>3968</v>
      </c>
      <c r="O43" s="150" t="s">
        <v>3969</v>
      </c>
      <c r="P43" s="150" t="s">
        <v>3970</v>
      </c>
      <c r="Q43" s="150" t="s">
        <v>3927</v>
      </c>
    </row>
    <row r="44" spans="4:17">
      <c r="D44" s="152"/>
      <c r="E44" s="152"/>
      <c r="F44" s="152"/>
      <c r="G44" s="150" t="s">
        <v>3971</v>
      </c>
      <c r="H44" s="150" t="s">
        <v>3972</v>
      </c>
      <c r="L44" s="152"/>
      <c r="M44" s="152"/>
      <c r="N44" s="152"/>
      <c r="O44" s="150" t="s">
        <v>3971</v>
      </c>
      <c r="P44" s="150" t="s">
        <v>3972</v>
      </c>
    </row>
    <row r="45" spans="4:17">
      <c r="D45" s="152"/>
      <c r="E45" s="152"/>
      <c r="F45" s="152"/>
      <c r="G45" s="153" t="s">
        <v>3973</v>
      </c>
      <c r="H45" s="153" t="s">
        <v>3974</v>
      </c>
      <c r="I45" s="150" t="s">
        <v>3932</v>
      </c>
      <c r="L45" s="152"/>
      <c r="M45" s="152"/>
      <c r="N45" s="152"/>
      <c r="O45" s="153" t="s">
        <v>3973</v>
      </c>
      <c r="P45" s="153" t="s">
        <v>3974</v>
      </c>
      <c r="Q45" s="150" t="s">
        <v>3932</v>
      </c>
    </row>
    <row r="46" spans="4:17">
      <c r="D46" s="152"/>
      <c r="E46" s="155"/>
      <c r="F46" s="155"/>
      <c r="G46" s="150"/>
      <c r="H46" s="150"/>
      <c r="L46" s="152"/>
      <c r="M46" s="155"/>
      <c r="N46" s="155"/>
      <c r="O46" s="150"/>
      <c r="P46" s="150"/>
    </row>
    <row r="47" spans="4:17">
      <c r="D47" s="152"/>
      <c r="E47" s="152" t="s">
        <v>3975</v>
      </c>
      <c r="F47" s="152" t="s">
        <v>3976</v>
      </c>
      <c r="G47" s="150" t="s">
        <v>3977</v>
      </c>
      <c r="H47" s="150" t="s">
        <v>3917</v>
      </c>
      <c r="L47" s="152"/>
      <c r="M47" s="152" t="s">
        <v>3975</v>
      </c>
      <c r="N47" s="152" t="s">
        <v>3976</v>
      </c>
      <c r="O47" s="150" t="s">
        <v>3977</v>
      </c>
      <c r="P47" s="150" t="s">
        <v>3917</v>
      </c>
    </row>
    <row r="48" spans="4:17">
      <c r="D48" s="152"/>
      <c r="E48" s="152"/>
      <c r="F48" s="152"/>
      <c r="G48" s="156" t="s">
        <v>3978</v>
      </c>
      <c r="H48" s="150" t="s">
        <v>3979</v>
      </c>
      <c r="I48" s="150" t="s">
        <v>3920</v>
      </c>
      <c r="L48" s="152"/>
      <c r="M48" s="152"/>
      <c r="N48" s="152"/>
      <c r="O48" s="156" t="s">
        <v>3978</v>
      </c>
      <c r="P48" s="150" t="s">
        <v>3979</v>
      </c>
      <c r="Q48" s="150" t="s">
        <v>3920</v>
      </c>
    </row>
    <row r="49" spans="4:17">
      <c r="D49" s="152"/>
      <c r="E49" s="152"/>
      <c r="F49" s="152" t="s">
        <v>3980</v>
      </c>
      <c r="G49" s="150" t="s">
        <v>3981</v>
      </c>
      <c r="H49" s="150" t="s">
        <v>3967</v>
      </c>
      <c r="I49" s="150" t="s">
        <v>3923</v>
      </c>
      <c r="L49" s="152"/>
      <c r="M49" s="152"/>
      <c r="N49" s="152" t="s">
        <v>3980</v>
      </c>
      <c r="O49" s="150" t="s">
        <v>3981</v>
      </c>
      <c r="P49" s="150" t="s">
        <v>3967</v>
      </c>
      <c r="Q49" s="150" t="s">
        <v>3923</v>
      </c>
    </row>
    <row r="50" spans="4:17">
      <c r="D50" s="152"/>
      <c r="E50" s="152"/>
      <c r="F50" s="152"/>
      <c r="G50" s="150" t="s">
        <v>3982</v>
      </c>
      <c r="H50" s="150" t="s">
        <v>3970</v>
      </c>
      <c r="I50" s="150" t="s">
        <v>3927</v>
      </c>
      <c r="L50" s="152"/>
      <c r="M50" s="152"/>
      <c r="N50" s="152"/>
      <c r="O50" s="150" t="s">
        <v>3982</v>
      </c>
      <c r="P50" s="150" t="s">
        <v>3970</v>
      </c>
      <c r="Q50" s="150" t="s">
        <v>3927</v>
      </c>
    </row>
    <row r="51" spans="4:17">
      <c r="D51" s="152"/>
      <c r="E51" s="152"/>
      <c r="F51" s="152" t="s">
        <v>3983</v>
      </c>
      <c r="G51" s="150" t="s">
        <v>3984</v>
      </c>
      <c r="H51" s="150" t="s">
        <v>3970</v>
      </c>
      <c r="I51" s="150" t="s">
        <v>3927</v>
      </c>
      <c r="L51" s="152"/>
      <c r="M51" s="152"/>
      <c r="N51" s="152" t="s">
        <v>3983</v>
      </c>
      <c r="O51" s="150" t="s">
        <v>3984</v>
      </c>
      <c r="P51" s="150" t="s">
        <v>3970</v>
      </c>
      <c r="Q51" s="150" t="s">
        <v>3927</v>
      </c>
    </row>
    <row r="52" spans="4:17">
      <c r="D52" s="152"/>
      <c r="E52" s="152"/>
      <c r="F52" s="152"/>
      <c r="G52" s="150" t="s">
        <v>3985</v>
      </c>
      <c r="H52" s="150" t="s">
        <v>3972</v>
      </c>
      <c r="L52" s="152"/>
      <c r="M52" s="152"/>
      <c r="N52" s="152"/>
      <c r="O52" s="150" t="s">
        <v>3985</v>
      </c>
      <c r="P52" s="150" t="s">
        <v>3972</v>
      </c>
    </row>
    <row r="53" spans="4:17">
      <c r="D53" s="152"/>
      <c r="E53" s="152"/>
      <c r="F53" s="152"/>
      <c r="G53" s="153" t="s">
        <v>3986</v>
      </c>
      <c r="H53" s="153" t="s">
        <v>3974</v>
      </c>
      <c r="I53" s="150" t="s">
        <v>3932</v>
      </c>
      <c r="L53" s="152"/>
      <c r="M53" s="152"/>
      <c r="N53" s="152"/>
      <c r="O53" s="153" t="s">
        <v>3986</v>
      </c>
      <c r="P53" s="153" t="s">
        <v>3974</v>
      </c>
      <c r="Q53" s="150" t="s">
        <v>3932</v>
      </c>
    </row>
    <row r="54" spans="4:17">
      <c r="D54" s="152"/>
      <c r="L54" s="152"/>
    </row>
    <row r="55" spans="4:17">
      <c r="D55" s="152"/>
      <c r="E55" s="152" t="s">
        <v>3987</v>
      </c>
      <c r="F55" s="152" t="s">
        <v>3988</v>
      </c>
      <c r="G55" s="150" t="s">
        <v>3989</v>
      </c>
      <c r="H55" s="150" t="s">
        <v>3917</v>
      </c>
      <c r="L55" s="152"/>
      <c r="M55" s="152" t="s">
        <v>3987</v>
      </c>
      <c r="N55" s="152" t="s">
        <v>3988</v>
      </c>
      <c r="O55" s="150" t="s">
        <v>3989</v>
      </c>
      <c r="P55" s="150" t="s">
        <v>3917</v>
      </c>
    </row>
    <row r="56" spans="4:17">
      <c r="D56" s="152"/>
      <c r="E56" s="152"/>
      <c r="F56" s="152"/>
      <c r="G56" s="150" t="s">
        <v>3990</v>
      </c>
      <c r="H56" s="150" t="s">
        <v>3967</v>
      </c>
      <c r="I56" s="150" t="s">
        <v>3923</v>
      </c>
      <c r="L56" s="152"/>
      <c r="M56" s="152"/>
      <c r="N56" s="152"/>
      <c r="O56" s="150" t="s">
        <v>3990</v>
      </c>
      <c r="P56" s="150" t="s">
        <v>3967</v>
      </c>
      <c r="Q56" s="150" t="s">
        <v>3923</v>
      </c>
    </row>
    <row r="57" spans="4:17">
      <c r="D57" s="152"/>
      <c r="E57" s="152"/>
      <c r="F57" s="152" t="s">
        <v>3991</v>
      </c>
      <c r="G57" s="150" t="s">
        <v>3992</v>
      </c>
      <c r="H57" s="150" t="s">
        <v>3917</v>
      </c>
      <c r="L57" s="152"/>
      <c r="M57" s="152"/>
      <c r="N57" s="152" t="s">
        <v>3991</v>
      </c>
      <c r="O57" s="150" t="s">
        <v>3992</v>
      </c>
      <c r="P57" s="150" t="s">
        <v>3917</v>
      </c>
    </row>
    <row r="58" spans="4:17">
      <c r="D58" s="152"/>
      <c r="E58" s="152"/>
      <c r="F58" s="152"/>
      <c r="G58" s="150" t="s">
        <v>3993</v>
      </c>
      <c r="H58" s="150" t="s">
        <v>3970</v>
      </c>
      <c r="I58" s="150" t="s">
        <v>3927</v>
      </c>
      <c r="L58" s="152"/>
      <c r="M58" s="152"/>
      <c r="N58" s="152"/>
      <c r="O58" s="150" t="s">
        <v>3993</v>
      </c>
      <c r="P58" s="150" t="s">
        <v>3970</v>
      </c>
      <c r="Q58" s="150" t="s">
        <v>3927</v>
      </c>
    </row>
    <row r="59" spans="4:17">
      <c r="D59" s="152"/>
      <c r="E59" s="152"/>
      <c r="F59" s="152" t="s">
        <v>3994</v>
      </c>
      <c r="G59" s="150" t="s">
        <v>3995</v>
      </c>
      <c r="H59" s="150" t="s">
        <v>3970</v>
      </c>
      <c r="I59" s="150" t="s">
        <v>3927</v>
      </c>
      <c r="L59" s="152"/>
      <c r="M59" s="152"/>
      <c r="N59" s="152" t="s">
        <v>3994</v>
      </c>
      <c r="O59" s="150" t="s">
        <v>3995</v>
      </c>
      <c r="P59" s="150" t="s">
        <v>3970</v>
      </c>
      <c r="Q59" s="150" t="s">
        <v>3927</v>
      </c>
    </row>
    <row r="60" spans="4:17">
      <c r="D60" s="152"/>
      <c r="E60" s="152"/>
      <c r="F60" s="152"/>
      <c r="G60" s="150" t="s">
        <v>3996</v>
      </c>
      <c r="H60" s="150" t="s">
        <v>3997</v>
      </c>
      <c r="L60" s="152"/>
      <c r="M60" s="152"/>
      <c r="N60" s="152"/>
      <c r="O60" s="150" t="s">
        <v>3996</v>
      </c>
      <c r="P60" s="150" t="s">
        <v>3997</v>
      </c>
    </row>
    <row r="61" spans="4:17">
      <c r="D61" s="152"/>
      <c r="E61" s="152"/>
      <c r="F61" s="152"/>
      <c r="G61" s="153" t="s">
        <v>3998</v>
      </c>
      <c r="H61" s="153" t="s">
        <v>3974</v>
      </c>
      <c r="I61" s="150" t="s">
        <v>3932</v>
      </c>
      <c r="L61" s="152"/>
      <c r="M61" s="152"/>
      <c r="N61" s="152"/>
      <c r="O61" s="153" t="s">
        <v>3998</v>
      </c>
      <c r="P61" s="153" t="s">
        <v>3974</v>
      </c>
      <c r="Q61" s="150" t="s">
        <v>3932</v>
      </c>
    </row>
    <row r="62" spans="4:17">
      <c r="D62" s="152"/>
      <c r="L62" s="152"/>
    </row>
    <row r="63" spans="4:17">
      <c r="D63" s="152"/>
      <c r="E63" s="154" t="s">
        <v>3956</v>
      </c>
      <c r="F63" s="150" t="s">
        <v>3957</v>
      </c>
      <c r="G63" s="150" t="s">
        <v>3958</v>
      </c>
      <c r="H63" s="150" t="s">
        <v>3917</v>
      </c>
      <c r="L63" s="152"/>
      <c r="M63" s="154" t="s">
        <v>3956</v>
      </c>
      <c r="N63" s="150" t="s">
        <v>3957</v>
      </c>
      <c r="O63" s="150" t="s">
        <v>3958</v>
      </c>
      <c r="P63" s="150" t="s">
        <v>3917</v>
      </c>
    </row>
    <row r="64" spans="4:17">
      <c r="D64" s="152"/>
      <c r="E64" s="154"/>
      <c r="F64" s="152" t="s">
        <v>3959</v>
      </c>
      <c r="G64" s="152" t="s">
        <v>3960</v>
      </c>
      <c r="H64" s="150" t="s">
        <v>3961</v>
      </c>
      <c r="I64" s="150" t="s">
        <v>3927</v>
      </c>
      <c r="L64" s="152"/>
      <c r="M64" s="154"/>
      <c r="N64" s="152" t="s">
        <v>3959</v>
      </c>
      <c r="O64" s="152" t="s">
        <v>3960</v>
      </c>
      <c r="P64" s="150" t="s">
        <v>3961</v>
      </c>
      <c r="Q64" s="150" t="s">
        <v>3927</v>
      </c>
    </row>
    <row r="65" spans="4:17">
      <c r="D65" s="152"/>
      <c r="E65" s="154"/>
      <c r="F65" s="152"/>
      <c r="G65" s="152"/>
      <c r="H65" s="150" t="s">
        <v>3962</v>
      </c>
      <c r="L65" s="152"/>
      <c r="M65" s="154"/>
      <c r="N65" s="152"/>
      <c r="O65" s="152"/>
      <c r="P65" s="150" t="s">
        <v>3962</v>
      </c>
    </row>
    <row r="67" spans="4:17">
      <c r="D67" s="150" t="s">
        <v>265</v>
      </c>
      <c r="E67" s="150" t="s">
        <v>3909</v>
      </c>
      <c r="F67" s="150" t="s">
        <v>3910</v>
      </c>
      <c r="G67" s="150" t="s">
        <v>3911</v>
      </c>
      <c r="H67" s="150" t="s">
        <v>3912</v>
      </c>
      <c r="I67" s="150" t="s">
        <v>3913</v>
      </c>
      <c r="L67" s="150" t="s">
        <v>265</v>
      </c>
      <c r="M67" s="150" t="s">
        <v>3909</v>
      </c>
      <c r="N67" s="150" t="s">
        <v>3910</v>
      </c>
      <c r="O67" s="150" t="s">
        <v>3911</v>
      </c>
      <c r="P67" s="150" t="s">
        <v>3912</v>
      </c>
      <c r="Q67" s="150" t="s">
        <v>3913</v>
      </c>
    </row>
    <row r="69" spans="4:17">
      <c r="D69" s="152" t="s">
        <v>3897</v>
      </c>
      <c r="E69" s="152" t="s">
        <v>3999</v>
      </c>
      <c r="F69" s="150" t="s">
        <v>4000</v>
      </c>
      <c r="G69" s="150" t="s">
        <v>4001</v>
      </c>
      <c r="H69" s="150" t="s">
        <v>3917</v>
      </c>
      <c r="L69" s="152" t="s">
        <v>3897</v>
      </c>
      <c r="M69" s="152" t="s">
        <v>3999</v>
      </c>
      <c r="N69" s="150" t="s">
        <v>4000</v>
      </c>
      <c r="O69" s="150" t="s">
        <v>4001</v>
      </c>
      <c r="P69" s="150" t="s">
        <v>3917</v>
      </c>
    </row>
    <row r="70" spans="4:17">
      <c r="D70" s="152"/>
      <c r="E70" s="152"/>
      <c r="F70" s="152" t="s">
        <v>4002</v>
      </c>
      <c r="G70" s="150" t="s">
        <v>4003</v>
      </c>
      <c r="H70" s="150" t="s">
        <v>4004</v>
      </c>
      <c r="I70" s="150" t="s">
        <v>3920</v>
      </c>
      <c r="L70" s="152"/>
      <c r="M70" s="152"/>
      <c r="N70" s="152" t="s">
        <v>4002</v>
      </c>
      <c r="O70" s="150" t="s">
        <v>4003</v>
      </c>
      <c r="P70" s="150" t="s">
        <v>4004</v>
      </c>
      <c r="Q70" s="150" t="s">
        <v>3920</v>
      </c>
    </row>
    <row r="71" spans="4:17">
      <c r="D71" s="152"/>
      <c r="E71" s="152"/>
      <c r="F71" s="152"/>
      <c r="G71" s="150" t="s">
        <v>4005</v>
      </c>
      <c r="H71" s="150" t="s">
        <v>4006</v>
      </c>
      <c r="I71" s="150" t="s">
        <v>3923</v>
      </c>
      <c r="L71" s="152"/>
      <c r="M71" s="152"/>
      <c r="N71" s="152"/>
      <c r="O71" s="150" t="s">
        <v>4005</v>
      </c>
      <c r="P71" s="150" t="s">
        <v>4006</v>
      </c>
      <c r="Q71" s="150" t="s">
        <v>3923</v>
      </c>
    </row>
    <row r="72" spans="4:17">
      <c r="D72" s="152"/>
      <c r="E72" s="152"/>
      <c r="F72" s="152" t="s">
        <v>4007</v>
      </c>
      <c r="G72" s="150" t="s">
        <v>4008</v>
      </c>
      <c r="H72" s="150" t="s">
        <v>4009</v>
      </c>
      <c r="I72" s="150" t="s">
        <v>3927</v>
      </c>
      <c r="L72" s="152"/>
      <c r="M72" s="152"/>
      <c r="N72" s="152" t="s">
        <v>4007</v>
      </c>
      <c r="O72" s="150" t="s">
        <v>4008</v>
      </c>
      <c r="P72" s="150" t="s">
        <v>4009</v>
      </c>
      <c r="Q72" s="150" t="s">
        <v>3927</v>
      </c>
    </row>
    <row r="73" spans="4:17">
      <c r="D73" s="152"/>
      <c r="E73" s="152"/>
      <c r="F73" s="152"/>
      <c r="G73" s="150" t="s">
        <v>4010</v>
      </c>
      <c r="H73" s="150" t="s">
        <v>4011</v>
      </c>
      <c r="L73" s="152"/>
      <c r="M73" s="152"/>
      <c r="N73" s="152"/>
      <c r="O73" s="150" t="s">
        <v>4010</v>
      </c>
      <c r="P73" s="150" t="s">
        <v>4011</v>
      </c>
    </row>
    <row r="74" spans="4:17">
      <c r="D74" s="152"/>
      <c r="E74" s="152"/>
      <c r="F74" s="152"/>
      <c r="G74" s="153" t="s">
        <v>4012</v>
      </c>
      <c r="H74" s="153" t="s">
        <v>4013</v>
      </c>
      <c r="I74" s="150" t="s">
        <v>3932</v>
      </c>
      <c r="L74" s="152"/>
      <c r="M74" s="152"/>
      <c r="N74" s="152"/>
      <c r="O74" s="153" t="s">
        <v>4012</v>
      </c>
      <c r="P74" s="153" t="s">
        <v>4013</v>
      </c>
      <c r="Q74" s="150" t="s">
        <v>3932</v>
      </c>
    </row>
    <row r="75" spans="4:17">
      <c r="D75" s="152"/>
      <c r="L75" s="152"/>
    </row>
    <row r="76" spans="4:17">
      <c r="D76" s="152"/>
      <c r="E76" s="152" t="s">
        <v>4014</v>
      </c>
      <c r="F76" s="152" t="s">
        <v>4015</v>
      </c>
      <c r="G76" s="150" t="s">
        <v>4016</v>
      </c>
      <c r="H76" s="150" t="s">
        <v>3917</v>
      </c>
      <c r="L76" s="152"/>
      <c r="M76" s="152" t="s">
        <v>4014</v>
      </c>
      <c r="N76" s="152" t="s">
        <v>4015</v>
      </c>
      <c r="O76" s="150" t="s">
        <v>4016</v>
      </c>
      <c r="P76" s="150" t="s">
        <v>3917</v>
      </c>
    </row>
    <row r="77" spans="4:17">
      <c r="D77" s="152"/>
      <c r="E77" s="152"/>
      <c r="F77" s="152"/>
      <c r="G77" s="156" t="s">
        <v>4017</v>
      </c>
      <c r="H77" s="150" t="s">
        <v>4004</v>
      </c>
      <c r="I77" s="150" t="s">
        <v>3920</v>
      </c>
      <c r="L77" s="152"/>
      <c r="M77" s="152"/>
      <c r="N77" s="152"/>
      <c r="O77" s="156" t="s">
        <v>4017</v>
      </c>
      <c r="P77" s="150" t="s">
        <v>4004</v>
      </c>
      <c r="Q77" s="150" t="s">
        <v>3920</v>
      </c>
    </row>
    <row r="78" spans="4:17">
      <c r="D78" s="152"/>
      <c r="E78" s="152"/>
      <c r="F78" s="152" t="s">
        <v>4018</v>
      </c>
      <c r="G78" s="150" t="s">
        <v>4019</v>
      </c>
      <c r="H78" s="150" t="s">
        <v>4006</v>
      </c>
      <c r="I78" s="150" t="s">
        <v>3923</v>
      </c>
      <c r="L78" s="152"/>
      <c r="M78" s="152"/>
      <c r="N78" s="152" t="s">
        <v>4018</v>
      </c>
      <c r="O78" s="150" t="s">
        <v>4019</v>
      </c>
      <c r="P78" s="150" t="s">
        <v>4006</v>
      </c>
      <c r="Q78" s="150" t="s">
        <v>3923</v>
      </c>
    </row>
    <row r="79" spans="4:17">
      <c r="D79" s="152"/>
      <c r="E79" s="152"/>
      <c r="F79" s="152"/>
      <c r="G79" s="150" t="s">
        <v>4020</v>
      </c>
      <c r="H79" s="150" t="s">
        <v>4011</v>
      </c>
      <c r="L79" s="152"/>
      <c r="M79" s="152"/>
      <c r="N79" s="152"/>
      <c r="O79" s="150" t="s">
        <v>4020</v>
      </c>
      <c r="P79" s="150" t="s">
        <v>4011</v>
      </c>
    </row>
    <row r="80" spans="4:17">
      <c r="D80" s="152"/>
      <c r="E80" s="152"/>
      <c r="F80" s="152" t="s">
        <v>4021</v>
      </c>
      <c r="G80" s="150" t="s">
        <v>4022</v>
      </c>
      <c r="H80" s="150" t="s">
        <v>4009</v>
      </c>
      <c r="I80" s="150" t="s">
        <v>3927</v>
      </c>
      <c r="L80" s="152"/>
      <c r="M80" s="152"/>
      <c r="N80" s="152" t="s">
        <v>4021</v>
      </c>
      <c r="O80" s="150" t="s">
        <v>4022</v>
      </c>
      <c r="P80" s="150" t="s">
        <v>4009</v>
      </c>
      <c r="Q80" s="150" t="s">
        <v>3927</v>
      </c>
    </row>
    <row r="81" spans="4:17">
      <c r="D81" s="152"/>
      <c r="E81" s="152"/>
      <c r="F81" s="152"/>
      <c r="G81" s="150" t="s">
        <v>4023</v>
      </c>
      <c r="H81" s="150" t="s">
        <v>4011</v>
      </c>
      <c r="L81" s="152"/>
      <c r="M81" s="152"/>
      <c r="N81" s="152"/>
      <c r="O81" s="150" t="s">
        <v>4023</v>
      </c>
      <c r="P81" s="150" t="s">
        <v>4011</v>
      </c>
    </row>
    <row r="82" spans="4:17">
      <c r="D82" s="152"/>
      <c r="E82" s="152"/>
      <c r="F82" s="152"/>
      <c r="G82" s="153" t="s">
        <v>4024</v>
      </c>
      <c r="H82" s="153" t="s">
        <v>4013</v>
      </c>
      <c r="I82" s="150" t="s">
        <v>3932</v>
      </c>
      <c r="L82" s="152"/>
      <c r="M82" s="152"/>
      <c r="N82" s="152"/>
      <c r="O82" s="153" t="s">
        <v>4024</v>
      </c>
      <c r="P82" s="153" t="s">
        <v>4013</v>
      </c>
      <c r="Q82" s="150" t="s">
        <v>3932</v>
      </c>
    </row>
    <row r="83" spans="4:17">
      <c r="D83" s="152"/>
      <c r="L83" s="152"/>
    </row>
    <row r="84" spans="4:17">
      <c r="D84" s="152"/>
      <c r="E84" s="152" t="s">
        <v>4025</v>
      </c>
      <c r="F84" s="150" t="s">
        <v>4026</v>
      </c>
      <c r="G84" s="150" t="s">
        <v>4027</v>
      </c>
      <c r="H84" s="150" t="s">
        <v>4004</v>
      </c>
      <c r="I84" s="150" t="s">
        <v>3920</v>
      </c>
      <c r="L84" s="152"/>
      <c r="M84" s="152" t="s">
        <v>4025</v>
      </c>
      <c r="N84" s="150" t="s">
        <v>4026</v>
      </c>
      <c r="O84" s="150" t="s">
        <v>4027</v>
      </c>
      <c r="P84" s="150" t="s">
        <v>4004</v>
      </c>
      <c r="Q84" s="150" t="s">
        <v>3920</v>
      </c>
    </row>
    <row r="85" spans="4:17">
      <c r="D85" s="152"/>
      <c r="E85" s="152"/>
      <c r="F85" s="152" t="s">
        <v>4028</v>
      </c>
      <c r="G85" s="150" t="s">
        <v>4029</v>
      </c>
      <c r="H85" s="150" t="s">
        <v>4006</v>
      </c>
      <c r="I85" s="150" t="s">
        <v>3923</v>
      </c>
      <c r="L85" s="152"/>
      <c r="M85" s="152"/>
      <c r="N85" s="152" t="s">
        <v>4028</v>
      </c>
      <c r="O85" s="150" t="s">
        <v>4029</v>
      </c>
      <c r="P85" s="150" t="s">
        <v>4006</v>
      </c>
      <c r="Q85" s="150" t="s">
        <v>3923</v>
      </c>
    </row>
    <row r="86" spans="4:17">
      <c r="D86" s="152"/>
      <c r="E86" s="152"/>
      <c r="F86" s="152"/>
      <c r="G86" s="150" t="s">
        <v>4030</v>
      </c>
      <c r="H86" s="150" t="s">
        <v>4011</v>
      </c>
      <c r="L86" s="152"/>
      <c r="M86" s="152"/>
      <c r="N86" s="152"/>
      <c r="O86" s="150" t="s">
        <v>4030</v>
      </c>
      <c r="P86" s="150" t="s">
        <v>4011</v>
      </c>
    </row>
    <row r="87" spans="4:17">
      <c r="D87" s="152"/>
      <c r="E87" s="152"/>
      <c r="F87" s="152" t="s">
        <v>4031</v>
      </c>
      <c r="G87" s="150" t="s">
        <v>4032</v>
      </c>
      <c r="H87" s="150" t="s">
        <v>4009</v>
      </c>
      <c r="I87" s="150" t="s">
        <v>3927</v>
      </c>
      <c r="L87" s="152"/>
      <c r="M87" s="152"/>
      <c r="N87" s="152" t="s">
        <v>4031</v>
      </c>
      <c r="O87" s="150" t="s">
        <v>4032</v>
      </c>
      <c r="P87" s="150" t="s">
        <v>4009</v>
      </c>
      <c r="Q87" s="150" t="s">
        <v>3927</v>
      </c>
    </row>
    <row r="88" spans="4:17">
      <c r="D88" s="152"/>
      <c r="E88" s="152"/>
      <c r="F88" s="152"/>
      <c r="G88" s="150" t="s">
        <v>4033</v>
      </c>
      <c r="H88" s="150" t="s">
        <v>4034</v>
      </c>
      <c r="L88" s="152"/>
      <c r="M88" s="152"/>
      <c r="N88" s="152"/>
      <c r="O88" s="150" t="s">
        <v>4033</v>
      </c>
      <c r="P88" s="150" t="s">
        <v>4034</v>
      </c>
    </row>
    <row r="89" spans="4:17">
      <c r="D89" s="152"/>
      <c r="E89" s="152"/>
      <c r="F89" s="152"/>
      <c r="G89" s="153" t="s">
        <v>4035</v>
      </c>
      <c r="H89" s="153" t="s">
        <v>4013</v>
      </c>
      <c r="I89" s="150" t="s">
        <v>3932</v>
      </c>
      <c r="L89" s="152"/>
      <c r="M89" s="152"/>
      <c r="N89" s="152"/>
      <c r="O89" s="153" t="s">
        <v>4035</v>
      </c>
      <c r="P89" s="153" t="s">
        <v>4013</v>
      </c>
      <c r="Q89" s="150" t="s">
        <v>3932</v>
      </c>
    </row>
    <row r="90" spans="4:17">
      <c r="D90" s="152"/>
      <c r="L90" s="152"/>
    </row>
    <row r="91" spans="4:17">
      <c r="D91" s="152"/>
      <c r="E91" s="157" t="s">
        <v>4036</v>
      </c>
      <c r="F91" s="150" t="s">
        <v>3957</v>
      </c>
      <c r="G91" s="150" t="s">
        <v>4037</v>
      </c>
      <c r="H91" s="150" t="s">
        <v>4004</v>
      </c>
      <c r="I91" s="150" t="s">
        <v>3920</v>
      </c>
      <c r="L91" s="152"/>
      <c r="M91" s="157" t="s">
        <v>4036</v>
      </c>
      <c r="N91" s="150" t="s">
        <v>3957</v>
      </c>
      <c r="O91" s="150" t="s">
        <v>4037</v>
      </c>
      <c r="P91" s="150" t="s">
        <v>4004</v>
      </c>
      <c r="Q91" s="150" t="s">
        <v>3920</v>
      </c>
    </row>
    <row r="92" spans="4:17">
      <c r="D92" s="152"/>
      <c r="E92" s="157"/>
      <c r="F92" s="152" t="s">
        <v>3959</v>
      </c>
      <c r="G92" s="150" t="s">
        <v>4038</v>
      </c>
      <c r="H92" s="150" t="s">
        <v>4039</v>
      </c>
      <c r="I92" s="150" t="s">
        <v>3920</v>
      </c>
      <c r="L92" s="152"/>
      <c r="M92" s="157"/>
      <c r="N92" s="152" t="s">
        <v>3959</v>
      </c>
      <c r="O92" s="150" t="s">
        <v>4038</v>
      </c>
      <c r="P92" s="150" t="s">
        <v>4039</v>
      </c>
      <c r="Q92" s="150" t="s">
        <v>3920</v>
      </c>
    </row>
    <row r="93" spans="4:17">
      <c r="D93" s="152"/>
      <c r="E93" s="157"/>
      <c r="F93" s="152"/>
      <c r="G93" s="150" t="s">
        <v>4040</v>
      </c>
      <c r="H93" s="150" t="s">
        <v>4039</v>
      </c>
      <c r="I93" s="150" t="s">
        <v>3923</v>
      </c>
      <c r="L93" s="152"/>
      <c r="M93" s="157"/>
      <c r="N93" s="152"/>
      <c r="O93" s="150" t="s">
        <v>4040</v>
      </c>
      <c r="P93" s="150" t="s">
        <v>4039</v>
      </c>
      <c r="Q93" s="150" t="s">
        <v>3923</v>
      </c>
    </row>
    <row r="94" spans="4:17">
      <c r="D94" s="152"/>
      <c r="E94" s="152"/>
      <c r="F94" s="152"/>
      <c r="G94" s="150"/>
      <c r="H94" s="150"/>
      <c r="I94" s="150"/>
      <c r="L94" s="152"/>
      <c r="M94" s="152"/>
      <c r="N94" s="152"/>
      <c r="O94" s="150"/>
      <c r="P94" s="150"/>
      <c r="Q94" s="150"/>
    </row>
    <row r="95" spans="4:17">
      <c r="D95" s="150" t="s">
        <v>265</v>
      </c>
      <c r="E95" s="150" t="s">
        <v>3909</v>
      </c>
      <c r="F95" s="150" t="s">
        <v>3910</v>
      </c>
      <c r="G95" s="150" t="s">
        <v>3911</v>
      </c>
      <c r="H95" s="150" t="s">
        <v>3912</v>
      </c>
      <c r="I95" s="150" t="s">
        <v>3913</v>
      </c>
      <c r="L95" s="150" t="s">
        <v>265</v>
      </c>
      <c r="M95" s="150" t="s">
        <v>3909</v>
      </c>
      <c r="N95" s="150" t="s">
        <v>3910</v>
      </c>
      <c r="O95" s="150" t="s">
        <v>3911</v>
      </c>
      <c r="P95" s="150" t="s">
        <v>3912</v>
      </c>
      <c r="Q95" s="150" t="s">
        <v>3913</v>
      </c>
    </row>
    <row r="97" spans="4:17">
      <c r="D97" s="152" t="s">
        <v>4041</v>
      </c>
      <c r="E97" s="152" t="s">
        <v>4042</v>
      </c>
      <c r="F97" s="152" t="s">
        <v>4043</v>
      </c>
      <c r="G97" s="150" t="s">
        <v>4044</v>
      </c>
      <c r="H97" s="150" t="s">
        <v>3917</v>
      </c>
      <c r="L97" s="152" t="s">
        <v>4041</v>
      </c>
      <c r="M97" s="152" t="s">
        <v>4042</v>
      </c>
      <c r="N97" s="152" t="s">
        <v>4043</v>
      </c>
      <c r="O97" s="150" t="s">
        <v>4044</v>
      </c>
      <c r="P97" s="150" t="s">
        <v>3917</v>
      </c>
    </row>
    <row r="98" spans="4:17">
      <c r="D98" s="152"/>
      <c r="E98" s="152"/>
      <c r="F98" s="152"/>
      <c r="G98" s="150" t="s">
        <v>4045</v>
      </c>
      <c r="H98" s="150" t="s">
        <v>4046</v>
      </c>
      <c r="I98" s="150" t="s">
        <v>3920</v>
      </c>
      <c r="L98" s="152"/>
      <c r="M98" s="152"/>
      <c r="N98" s="152"/>
      <c r="O98" s="150" t="s">
        <v>4045</v>
      </c>
      <c r="P98" s="150" t="s">
        <v>4046</v>
      </c>
      <c r="Q98" s="150" t="s">
        <v>3920</v>
      </c>
    </row>
    <row r="99" spans="4:17">
      <c r="D99" s="152"/>
      <c r="E99" s="152"/>
      <c r="F99" s="152" t="s">
        <v>4047</v>
      </c>
      <c r="G99" s="150" t="s">
        <v>4048</v>
      </c>
      <c r="H99" s="150" t="s">
        <v>3917</v>
      </c>
      <c r="I99" s="150"/>
      <c r="L99" s="152"/>
      <c r="M99" s="152"/>
      <c r="N99" s="152" t="s">
        <v>4047</v>
      </c>
      <c r="O99" s="150" t="s">
        <v>4048</v>
      </c>
      <c r="P99" s="150" t="s">
        <v>3917</v>
      </c>
      <c r="Q99" s="150"/>
    </row>
    <row r="100" spans="4:17">
      <c r="D100" s="152"/>
      <c r="E100" s="152"/>
      <c r="F100" s="152"/>
      <c r="G100" s="150" t="s">
        <v>4049</v>
      </c>
      <c r="H100" s="150" t="s">
        <v>4050</v>
      </c>
      <c r="I100" s="150" t="s">
        <v>3923</v>
      </c>
      <c r="L100" s="152"/>
      <c r="M100" s="152"/>
      <c r="N100" s="152"/>
      <c r="O100" s="150" t="s">
        <v>4049</v>
      </c>
      <c r="P100" s="150" t="s">
        <v>4050</v>
      </c>
      <c r="Q100" s="150" t="s">
        <v>3923</v>
      </c>
    </row>
    <row r="101" spans="4:17">
      <c r="D101" s="152"/>
      <c r="E101" s="152"/>
      <c r="F101" s="152" t="s">
        <v>4051</v>
      </c>
      <c r="G101" s="150" t="s">
        <v>4052</v>
      </c>
      <c r="H101" s="150" t="s">
        <v>4053</v>
      </c>
      <c r="I101" s="150" t="s">
        <v>3927</v>
      </c>
      <c r="L101" s="152"/>
      <c r="M101" s="152"/>
      <c r="N101" s="152" t="s">
        <v>4051</v>
      </c>
      <c r="O101" s="150" t="s">
        <v>4052</v>
      </c>
      <c r="P101" s="150" t="s">
        <v>4053</v>
      </c>
      <c r="Q101" s="150" t="s">
        <v>3927</v>
      </c>
    </row>
    <row r="102" spans="4:17">
      <c r="D102" s="152"/>
      <c r="E102" s="152"/>
      <c r="F102" s="152"/>
      <c r="G102" s="150" t="s">
        <v>4054</v>
      </c>
      <c r="H102" s="150" t="s">
        <v>4055</v>
      </c>
      <c r="L102" s="152"/>
      <c r="M102" s="152"/>
      <c r="N102" s="152"/>
      <c r="O102" s="150" t="s">
        <v>4054</v>
      </c>
      <c r="P102" s="150" t="s">
        <v>4055</v>
      </c>
    </row>
    <row r="103" spans="4:17">
      <c r="D103" s="152"/>
      <c r="E103" s="152"/>
      <c r="F103" s="152"/>
      <c r="G103" s="153" t="s">
        <v>4056</v>
      </c>
      <c r="H103" s="153" t="s">
        <v>4057</v>
      </c>
      <c r="I103" s="150" t="s">
        <v>3932</v>
      </c>
      <c r="L103" s="152"/>
      <c r="M103" s="152"/>
      <c r="N103" s="152"/>
      <c r="O103" s="153" t="s">
        <v>4056</v>
      </c>
      <c r="P103" s="153" t="s">
        <v>4057</v>
      </c>
      <c r="Q103" s="150" t="s">
        <v>3932</v>
      </c>
    </row>
    <row r="104" spans="4:17">
      <c r="D104" s="152"/>
      <c r="L104" s="152"/>
    </row>
    <row r="105" spans="4:17">
      <c r="D105" s="152"/>
      <c r="E105" s="152" t="s">
        <v>4058</v>
      </c>
      <c r="F105" s="150" t="s">
        <v>4059</v>
      </c>
      <c r="G105" s="150" t="s">
        <v>4060</v>
      </c>
      <c r="H105" s="150" t="s">
        <v>4046</v>
      </c>
      <c r="I105" t="s">
        <v>3920</v>
      </c>
      <c r="L105" s="152"/>
      <c r="M105" s="152" t="s">
        <v>4058</v>
      </c>
      <c r="N105" s="150" t="s">
        <v>4059</v>
      </c>
      <c r="O105" s="150" t="s">
        <v>4060</v>
      </c>
      <c r="P105" s="150" t="s">
        <v>4046</v>
      </c>
      <c r="Q105" t="s">
        <v>3920</v>
      </c>
    </row>
    <row r="106" spans="4:17">
      <c r="D106" s="152"/>
      <c r="E106" s="152"/>
      <c r="F106" s="152" t="s">
        <v>4061</v>
      </c>
      <c r="G106" s="156" t="s">
        <v>4062</v>
      </c>
      <c r="H106" s="150" t="s">
        <v>3917</v>
      </c>
      <c r="L106" s="152"/>
      <c r="M106" s="152"/>
      <c r="N106" s="152" t="s">
        <v>4061</v>
      </c>
      <c r="O106" s="156" t="s">
        <v>4062</v>
      </c>
      <c r="P106" s="150" t="s">
        <v>3917</v>
      </c>
    </row>
    <row r="107" spans="4:17">
      <c r="D107" s="152"/>
      <c r="E107" s="152"/>
      <c r="F107" s="152"/>
      <c r="G107" s="150" t="s">
        <v>4063</v>
      </c>
      <c r="H107" s="150" t="s">
        <v>4050</v>
      </c>
      <c r="I107" s="150" t="s">
        <v>3923</v>
      </c>
      <c r="L107" s="152"/>
      <c r="M107" s="152"/>
      <c r="N107" s="152"/>
      <c r="O107" s="150" t="s">
        <v>4063</v>
      </c>
      <c r="P107" s="150" t="s">
        <v>4050</v>
      </c>
      <c r="Q107" s="150" t="s">
        <v>3923</v>
      </c>
    </row>
    <row r="108" spans="4:17">
      <c r="D108" s="152"/>
      <c r="E108" s="152"/>
      <c r="F108" s="152" t="s">
        <v>4064</v>
      </c>
      <c r="G108" s="150" t="s">
        <v>4065</v>
      </c>
      <c r="H108" s="150" t="s">
        <v>4053</v>
      </c>
      <c r="I108" s="150" t="s">
        <v>3927</v>
      </c>
      <c r="L108" s="152"/>
      <c r="M108" s="152"/>
      <c r="N108" s="152" t="s">
        <v>4064</v>
      </c>
      <c r="O108" s="150" t="s">
        <v>4065</v>
      </c>
      <c r="P108" s="150" t="s">
        <v>4053</v>
      </c>
      <c r="Q108" s="150" t="s">
        <v>3927</v>
      </c>
    </row>
    <row r="109" spans="4:17">
      <c r="D109" s="152"/>
      <c r="E109" s="152"/>
      <c r="F109" s="152"/>
      <c r="G109" s="150" t="s">
        <v>4066</v>
      </c>
      <c r="H109" s="150" t="s">
        <v>4055</v>
      </c>
      <c r="L109" s="152"/>
      <c r="M109" s="152"/>
      <c r="N109" s="152"/>
      <c r="O109" s="150" t="s">
        <v>4066</v>
      </c>
      <c r="P109" s="150" t="s">
        <v>4055</v>
      </c>
    </row>
    <row r="110" spans="4:17">
      <c r="D110" s="152"/>
      <c r="E110" s="152"/>
      <c r="F110" s="152"/>
      <c r="G110" s="153" t="s">
        <v>4067</v>
      </c>
      <c r="H110" s="153" t="s">
        <v>4057</v>
      </c>
      <c r="I110" s="150" t="s">
        <v>3932</v>
      </c>
      <c r="L110" s="152"/>
      <c r="M110" s="152"/>
      <c r="N110" s="152"/>
      <c r="O110" s="153" t="s">
        <v>4067</v>
      </c>
      <c r="P110" s="153" t="s">
        <v>4057</v>
      </c>
      <c r="Q110" s="150" t="s">
        <v>3932</v>
      </c>
    </row>
    <row r="111" spans="4:17">
      <c r="D111" s="152"/>
      <c r="L111" s="152"/>
    </row>
    <row r="112" spans="4:17">
      <c r="D112" s="152"/>
      <c r="E112" s="152" t="s">
        <v>311</v>
      </c>
      <c r="F112" s="152" t="s">
        <v>4068</v>
      </c>
      <c r="G112" s="156" t="s">
        <v>4069</v>
      </c>
      <c r="H112" s="150" t="s">
        <v>3917</v>
      </c>
      <c r="L112" s="152"/>
      <c r="M112" s="152" t="s">
        <v>311</v>
      </c>
      <c r="N112" s="152" t="s">
        <v>4068</v>
      </c>
      <c r="O112" s="156" t="s">
        <v>4069</v>
      </c>
      <c r="P112" s="150" t="s">
        <v>3917</v>
      </c>
    </row>
    <row r="113" spans="4:17">
      <c r="D113" s="152"/>
      <c r="E113" s="152"/>
      <c r="F113" s="152"/>
      <c r="G113" s="150" t="s">
        <v>4070</v>
      </c>
      <c r="H113" s="150" t="s">
        <v>4046</v>
      </c>
      <c r="I113" s="150" t="s">
        <v>3920</v>
      </c>
      <c r="L113" s="152"/>
      <c r="M113" s="152"/>
      <c r="N113" s="152"/>
      <c r="O113" s="150" t="s">
        <v>4070</v>
      </c>
      <c r="P113" s="150" t="s">
        <v>4046</v>
      </c>
      <c r="Q113" s="150" t="s">
        <v>3920</v>
      </c>
    </row>
    <row r="114" spans="4:17">
      <c r="D114" s="152"/>
      <c r="E114" s="152"/>
      <c r="F114" s="152" t="s">
        <v>4071</v>
      </c>
      <c r="G114" s="150" t="s">
        <v>4072</v>
      </c>
      <c r="H114" s="150" t="s">
        <v>3917</v>
      </c>
      <c r="L114" s="152"/>
      <c r="M114" s="152"/>
      <c r="N114" s="152" t="s">
        <v>4071</v>
      </c>
      <c r="O114" s="150" t="s">
        <v>4072</v>
      </c>
      <c r="P114" s="150" t="s">
        <v>3917</v>
      </c>
    </row>
    <row r="115" spans="4:17">
      <c r="D115" s="152"/>
      <c r="E115" s="152"/>
      <c r="F115" s="152"/>
      <c r="G115" s="150" t="s">
        <v>4073</v>
      </c>
      <c r="H115" s="150" t="s">
        <v>4053</v>
      </c>
      <c r="I115" s="150" t="s">
        <v>3927</v>
      </c>
      <c r="L115" s="152"/>
      <c r="M115" s="152"/>
      <c r="N115" s="152"/>
      <c r="O115" s="150" t="s">
        <v>4073</v>
      </c>
      <c r="P115" s="150" t="s">
        <v>4053</v>
      </c>
      <c r="Q115" s="150" t="s">
        <v>3927</v>
      </c>
    </row>
    <row r="116" spans="4:17">
      <c r="D116" s="152"/>
      <c r="E116" s="152"/>
      <c r="F116" s="152" t="s">
        <v>4074</v>
      </c>
      <c r="G116" s="150" t="s">
        <v>4075</v>
      </c>
      <c r="H116" s="150" t="s">
        <v>4053</v>
      </c>
      <c r="I116" s="150" t="s">
        <v>3927</v>
      </c>
      <c r="L116" s="152"/>
      <c r="M116" s="152"/>
      <c r="N116" s="152" t="s">
        <v>4074</v>
      </c>
      <c r="O116" s="150" t="s">
        <v>4075</v>
      </c>
      <c r="P116" s="150" t="s">
        <v>4053</v>
      </c>
      <c r="Q116" s="150" t="s">
        <v>3927</v>
      </c>
    </row>
    <row r="117" spans="4:17">
      <c r="D117" s="152"/>
      <c r="E117" s="152"/>
      <c r="F117" s="152"/>
      <c r="G117" s="150" t="s">
        <v>4076</v>
      </c>
      <c r="H117" s="150" t="s">
        <v>4077</v>
      </c>
      <c r="I117" s="150"/>
      <c r="L117" s="152"/>
      <c r="M117" s="152"/>
      <c r="N117" s="152"/>
      <c r="O117" s="150" t="s">
        <v>4076</v>
      </c>
      <c r="P117" s="150" t="s">
        <v>4077</v>
      </c>
      <c r="Q117" s="150"/>
    </row>
    <row r="118" spans="4:17">
      <c r="D118" s="152"/>
      <c r="E118" s="152"/>
      <c r="F118" s="152"/>
      <c r="G118" s="153" t="s">
        <v>4078</v>
      </c>
      <c r="H118" s="153" t="s">
        <v>4057</v>
      </c>
      <c r="I118" s="150" t="s">
        <v>3932</v>
      </c>
      <c r="L118" s="152"/>
      <c r="M118" s="152"/>
      <c r="N118" s="152"/>
      <c r="O118" s="153" t="s">
        <v>4078</v>
      </c>
      <c r="P118" s="153" t="s">
        <v>4057</v>
      </c>
      <c r="Q118" s="150" t="s">
        <v>3932</v>
      </c>
    </row>
    <row r="119" spans="4:17">
      <c r="D119" s="152"/>
      <c r="L119" s="152"/>
    </row>
    <row r="120" spans="4:17">
      <c r="D120" s="152"/>
      <c r="E120" s="154" t="s">
        <v>3956</v>
      </c>
      <c r="F120" s="150" t="s">
        <v>3957</v>
      </c>
      <c r="G120" s="150" t="s">
        <v>3958</v>
      </c>
      <c r="H120" s="150" t="s">
        <v>3917</v>
      </c>
      <c r="L120" s="152"/>
      <c r="M120" s="154" t="s">
        <v>3956</v>
      </c>
      <c r="N120" s="150" t="s">
        <v>3957</v>
      </c>
      <c r="O120" s="150" t="s">
        <v>3958</v>
      </c>
      <c r="P120" s="150" t="s">
        <v>3917</v>
      </c>
    </row>
    <row r="121" spans="4:17">
      <c r="D121" s="152"/>
      <c r="E121" s="154"/>
      <c r="F121" s="152" t="s">
        <v>3959</v>
      </c>
      <c r="G121" s="152" t="s">
        <v>3960</v>
      </c>
      <c r="H121" s="150" t="s">
        <v>3961</v>
      </c>
      <c r="I121" s="150" t="s">
        <v>3927</v>
      </c>
      <c r="L121" s="152"/>
      <c r="M121" s="154"/>
      <c r="N121" s="152" t="s">
        <v>3959</v>
      </c>
      <c r="O121" s="152" t="s">
        <v>3960</v>
      </c>
      <c r="P121" s="150" t="s">
        <v>3961</v>
      </c>
      <c r="Q121" s="150" t="s">
        <v>3927</v>
      </c>
    </row>
    <row r="122" spans="4:17">
      <c r="D122" s="152"/>
      <c r="E122" s="154"/>
      <c r="F122" s="152"/>
      <c r="G122" s="152"/>
      <c r="H122" s="150" t="s">
        <v>3962</v>
      </c>
      <c r="L122" s="152"/>
      <c r="M122" s="154"/>
      <c r="N122" s="152"/>
      <c r="O122" s="152"/>
      <c r="P122" s="150" t="s">
        <v>3962</v>
      </c>
    </row>
  </sheetData>
  <mergeCells count="114">
    <mergeCell ref="D12:D37"/>
    <mergeCell ref="D41:D65"/>
    <mergeCell ref="D69:D93"/>
    <mergeCell ref="D97:D122"/>
    <mergeCell ref="E12:E17"/>
    <mergeCell ref="E19:E24"/>
    <mergeCell ref="E26:E33"/>
    <mergeCell ref="E35:E37"/>
    <mergeCell ref="E41:E45"/>
    <mergeCell ref="E47:E53"/>
    <mergeCell ref="E55:E61"/>
    <mergeCell ref="E63:E65"/>
    <mergeCell ref="E69:E74"/>
    <mergeCell ref="E76:E82"/>
    <mergeCell ref="E84:E89"/>
    <mergeCell ref="E91:E93"/>
    <mergeCell ref="E97:E103"/>
    <mergeCell ref="E105:E110"/>
    <mergeCell ref="E112:E118"/>
    <mergeCell ref="E120:E122"/>
    <mergeCell ref="F12:F14"/>
    <mergeCell ref="F15:F17"/>
    <mergeCell ref="F19:F20"/>
    <mergeCell ref="F22:F24"/>
    <mergeCell ref="F26:F27"/>
    <mergeCell ref="F28:F30"/>
    <mergeCell ref="F31:F33"/>
    <mergeCell ref="F36:F37"/>
    <mergeCell ref="F41:F42"/>
    <mergeCell ref="F43:F45"/>
    <mergeCell ref="F47:F48"/>
    <mergeCell ref="F49:F50"/>
    <mergeCell ref="F51:F53"/>
    <mergeCell ref="F55:F56"/>
    <mergeCell ref="F57:F58"/>
    <mergeCell ref="F59:F61"/>
    <mergeCell ref="F64:F65"/>
    <mergeCell ref="F70:F71"/>
    <mergeCell ref="F72:F74"/>
    <mergeCell ref="F76:F77"/>
    <mergeCell ref="F78:F79"/>
    <mergeCell ref="F80:F82"/>
    <mergeCell ref="F85:F86"/>
    <mergeCell ref="F87:F89"/>
    <mergeCell ref="F92:F93"/>
    <mergeCell ref="F97:F98"/>
    <mergeCell ref="F99:F100"/>
    <mergeCell ref="F101:F103"/>
    <mergeCell ref="F106:F107"/>
    <mergeCell ref="F108:F110"/>
    <mergeCell ref="F112:F113"/>
    <mergeCell ref="F114:F115"/>
    <mergeCell ref="F116:F118"/>
    <mergeCell ref="F121:F122"/>
    <mergeCell ref="G36:G37"/>
    <mergeCell ref="G64:G65"/>
    <mergeCell ref="G121:G122"/>
    <mergeCell ref="L12:L37"/>
    <mergeCell ref="L41:L65"/>
    <mergeCell ref="L69:L93"/>
    <mergeCell ref="L97:L122"/>
    <mergeCell ref="M12:M17"/>
    <mergeCell ref="M19:M24"/>
    <mergeCell ref="M26:M33"/>
    <mergeCell ref="M35:M37"/>
    <mergeCell ref="M41:M45"/>
    <mergeCell ref="M47:M53"/>
    <mergeCell ref="M55:M61"/>
    <mergeCell ref="M63:M65"/>
    <mergeCell ref="M69:M74"/>
    <mergeCell ref="M76:M82"/>
    <mergeCell ref="M84:M89"/>
    <mergeCell ref="M91:M93"/>
    <mergeCell ref="M97:M103"/>
    <mergeCell ref="M105:M110"/>
    <mergeCell ref="M112:M118"/>
    <mergeCell ref="M120:M122"/>
    <mergeCell ref="N12:N14"/>
    <mergeCell ref="N15:N17"/>
    <mergeCell ref="N19:N20"/>
    <mergeCell ref="N22:N24"/>
    <mergeCell ref="N26:N27"/>
    <mergeCell ref="N28:N30"/>
    <mergeCell ref="N31:N33"/>
    <mergeCell ref="N36:N37"/>
    <mergeCell ref="N41:N42"/>
    <mergeCell ref="N43:N45"/>
    <mergeCell ref="N47:N48"/>
    <mergeCell ref="N49:N50"/>
    <mergeCell ref="N51:N53"/>
    <mergeCell ref="N55:N56"/>
    <mergeCell ref="N57:N58"/>
    <mergeCell ref="N59:N61"/>
    <mergeCell ref="N64:N65"/>
    <mergeCell ref="N70:N71"/>
    <mergeCell ref="N72:N74"/>
    <mergeCell ref="N76:N77"/>
    <mergeCell ref="N78:N79"/>
    <mergeCell ref="N80:N82"/>
    <mergeCell ref="N85:N86"/>
    <mergeCell ref="N87:N89"/>
    <mergeCell ref="N92:N93"/>
    <mergeCell ref="N97:N98"/>
    <mergeCell ref="N99:N100"/>
    <mergeCell ref="N101:N103"/>
    <mergeCell ref="N106:N107"/>
    <mergeCell ref="N108:N110"/>
    <mergeCell ref="N112:N113"/>
    <mergeCell ref="N114:N115"/>
    <mergeCell ref="N116:N118"/>
    <mergeCell ref="N121:N122"/>
    <mergeCell ref="O36:O37"/>
    <mergeCell ref="O64:O65"/>
    <mergeCell ref="O121:O122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39"/>
  <sheetViews>
    <sheetView zoomScale="70" zoomScaleNormal="70" workbookViewId="0">
      <selection activeCell="G24" sqref="G24"/>
    </sheetView>
  </sheetViews>
  <sheetFormatPr defaultColWidth="9" defaultRowHeight="13.5"/>
  <cols>
    <col min="3" max="8" width="15.625" customWidth="1"/>
    <col min="19" max="19" width="120.625" style="143" customWidth="1"/>
    <col min="20" max="20" width="12.625" customWidth="1"/>
  </cols>
  <sheetData>
    <row r="2" spans="3:20">
      <c r="J2" s="144" t="s">
        <v>4079</v>
      </c>
      <c r="K2" s="41"/>
      <c r="L2" s="144" t="s">
        <v>954</v>
      </c>
      <c r="M2" s="144" t="s">
        <v>4080</v>
      </c>
      <c r="N2" s="144" t="s">
        <v>4081</v>
      </c>
      <c r="O2" s="144" t="s">
        <v>4082</v>
      </c>
      <c r="P2" s="144" t="s">
        <v>4083</v>
      </c>
      <c r="R2" s="145" t="s">
        <v>4084</v>
      </c>
    </row>
    <row r="3" spans="3:20">
      <c r="R3" s="144" t="s">
        <v>4085</v>
      </c>
      <c r="S3" s="145" t="s">
        <v>4086</v>
      </c>
      <c r="T3" s="26" t="s">
        <v>4087</v>
      </c>
    </row>
    <row r="4" spans="3:20">
      <c r="J4">
        <v>0</v>
      </c>
      <c r="R4" s="41">
        <v>1</v>
      </c>
      <c r="S4" s="146" t="s">
        <v>4088</v>
      </c>
      <c r="T4" s="26" t="s">
        <v>4089</v>
      </c>
    </row>
    <row r="5" spans="3:20">
      <c r="C5" s="144" t="s">
        <v>4090</v>
      </c>
      <c r="D5" s="41" t="s">
        <v>4091</v>
      </c>
      <c r="E5" s="41" t="s">
        <v>4092</v>
      </c>
      <c r="F5" s="41" t="s">
        <v>4093</v>
      </c>
      <c r="G5" s="41" t="s">
        <v>4094</v>
      </c>
      <c r="H5" s="41" t="s">
        <v>4095</v>
      </c>
      <c r="J5" s="26" t="s">
        <v>4096</v>
      </c>
      <c r="L5" s="41">
        <v>1</v>
      </c>
      <c r="M5" s="41">
        <v>6</v>
      </c>
      <c r="N5" s="41">
        <v>10</v>
      </c>
      <c r="O5" s="41">
        <f t="shared" ref="O5:O10" si="0">L5*N5</f>
        <v>10</v>
      </c>
      <c r="P5" s="41">
        <f t="shared" ref="P5:P10" si="1">M5*N5</f>
        <v>60</v>
      </c>
      <c r="R5" s="41">
        <v>2</v>
      </c>
      <c r="S5" s="146" t="s">
        <v>4097</v>
      </c>
      <c r="T5" s="26" t="s">
        <v>4089</v>
      </c>
    </row>
    <row r="6" spans="3:20">
      <c r="C6" s="41">
        <v>50</v>
      </c>
      <c r="D6" s="41">
        <v>30</v>
      </c>
      <c r="E6" s="41">
        <f>D6/100</f>
        <v>0.3</v>
      </c>
      <c r="F6" s="41">
        <f>E6*3</f>
        <v>0.9</v>
      </c>
      <c r="G6" s="41">
        <f t="shared" ref="G6:H8" si="2">E6*27</f>
        <v>8.1</v>
      </c>
      <c r="H6" s="41">
        <f t="shared" si="2"/>
        <v>24.3</v>
      </c>
      <c r="J6" s="26" t="s">
        <v>4098</v>
      </c>
      <c r="L6" s="41">
        <v>30</v>
      </c>
      <c r="M6" s="41">
        <v>3</v>
      </c>
      <c r="N6" s="41">
        <v>10</v>
      </c>
      <c r="O6" s="41">
        <f t="shared" si="0"/>
        <v>300</v>
      </c>
      <c r="P6" s="41">
        <f t="shared" si="1"/>
        <v>30</v>
      </c>
      <c r="R6" s="41">
        <v>3</v>
      </c>
      <c r="S6" s="147" t="s">
        <v>4099</v>
      </c>
      <c r="T6" s="148" t="s">
        <v>4100</v>
      </c>
    </row>
    <row r="7" spans="3:20">
      <c r="C7" s="41">
        <v>10</v>
      </c>
      <c r="D7" s="41">
        <v>60</v>
      </c>
      <c r="E7" s="41">
        <f>D7/100</f>
        <v>0.6</v>
      </c>
      <c r="F7" s="41">
        <f>E7*3</f>
        <v>1.8</v>
      </c>
      <c r="G7" s="41">
        <f t="shared" si="2"/>
        <v>16.2</v>
      </c>
      <c r="H7" s="41">
        <f t="shared" si="2"/>
        <v>48.6</v>
      </c>
      <c r="J7" s="26" t="s">
        <v>4101</v>
      </c>
      <c r="L7" s="41">
        <v>30</v>
      </c>
      <c r="M7" s="41">
        <v>3</v>
      </c>
      <c r="N7" s="41">
        <v>10</v>
      </c>
      <c r="O7" s="41">
        <f t="shared" si="0"/>
        <v>300</v>
      </c>
      <c r="P7" s="41">
        <f t="shared" si="1"/>
        <v>30</v>
      </c>
      <c r="R7" s="41">
        <v>4</v>
      </c>
      <c r="S7" s="147" t="s">
        <v>4102</v>
      </c>
      <c r="T7" s="148" t="s">
        <v>4100</v>
      </c>
    </row>
    <row r="8" spans="3:20">
      <c r="C8" s="41">
        <v>150</v>
      </c>
      <c r="D8" s="41">
        <v>90</v>
      </c>
      <c r="E8" s="41">
        <f>D8/100</f>
        <v>0.9</v>
      </c>
      <c r="F8" s="41">
        <f>E8*3</f>
        <v>2.7</v>
      </c>
      <c r="G8" s="41">
        <f t="shared" si="2"/>
        <v>24.3</v>
      </c>
      <c r="H8" s="41">
        <f t="shared" si="2"/>
        <v>72.9</v>
      </c>
      <c r="J8" s="26" t="s">
        <v>4103</v>
      </c>
      <c r="L8" s="41">
        <v>50</v>
      </c>
      <c r="M8" s="41">
        <v>1</v>
      </c>
      <c r="N8" s="41">
        <v>10</v>
      </c>
      <c r="O8" s="41">
        <f t="shared" si="0"/>
        <v>500</v>
      </c>
      <c r="P8" s="41">
        <f t="shared" si="1"/>
        <v>10</v>
      </c>
      <c r="R8" s="41">
        <v>5</v>
      </c>
      <c r="S8" s="149" t="s">
        <v>4104</v>
      </c>
      <c r="T8" s="26" t="s">
        <v>4105</v>
      </c>
    </row>
    <row r="9" spans="3:20">
      <c r="C9" s="144" t="s">
        <v>4106</v>
      </c>
      <c r="D9" s="41" t="s">
        <v>4091</v>
      </c>
      <c r="E9" s="41" t="s">
        <v>4092</v>
      </c>
      <c r="F9" s="41" t="s">
        <v>4093</v>
      </c>
      <c r="G9" s="41" t="s">
        <v>4094</v>
      </c>
      <c r="H9" s="41" t="s">
        <v>4095</v>
      </c>
      <c r="J9" s="26" t="s">
        <v>1069</v>
      </c>
      <c r="L9" s="41">
        <v>5</v>
      </c>
      <c r="M9" s="41">
        <v>1</v>
      </c>
      <c r="N9" s="41">
        <v>10</v>
      </c>
      <c r="O9" s="41">
        <f t="shared" si="0"/>
        <v>50</v>
      </c>
      <c r="P9" s="41">
        <f t="shared" si="1"/>
        <v>10</v>
      </c>
      <c r="R9" s="41">
        <v>6</v>
      </c>
      <c r="S9" s="149" t="s">
        <v>4107</v>
      </c>
      <c r="T9" s="26" t="s">
        <v>4105</v>
      </c>
    </row>
    <row r="10" spans="3:20">
      <c r="C10" s="41">
        <v>5000</v>
      </c>
      <c r="D10" s="41">
        <v>500</v>
      </c>
      <c r="E10" s="41">
        <f>D10/100</f>
        <v>5</v>
      </c>
      <c r="F10" s="41">
        <f>E10*3</f>
        <v>15</v>
      </c>
      <c r="G10" s="41">
        <f t="shared" ref="G10:H12" si="3">E10*4</f>
        <v>20</v>
      </c>
      <c r="H10" s="41">
        <f t="shared" si="3"/>
        <v>60</v>
      </c>
      <c r="J10" s="26" t="s">
        <v>4108</v>
      </c>
      <c r="L10" s="41">
        <v>1</v>
      </c>
      <c r="M10" s="41">
        <v>4</v>
      </c>
      <c r="N10" s="41">
        <v>15</v>
      </c>
      <c r="O10" s="41">
        <f t="shared" si="0"/>
        <v>15</v>
      </c>
      <c r="P10" s="41">
        <f t="shared" si="1"/>
        <v>60</v>
      </c>
      <c r="R10" s="41">
        <v>7</v>
      </c>
      <c r="S10" s="146" t="s">
        <v>4109</v>
      </c>
      <c r="T10" s="26" t="s">
        <v>4089</v>
      </c>
    </row>
    <row r="11" spans="3:20">
      <c r="C11" s="41">
        <v>10000</v>
      </c>
      <c r="D11" s="41">
        <v>800</v>
      </c>
      <c r="E11" s="41">
        <f>D11/100</f>
        <v>8</v>
      </c>
      <c r="F11" s="41">
        <f>E11*3</f>
        <v>24</v>
      </c>
      <c r="G11" s="41">
        <f t="shared" si="3"/>
        <v>32</v>
      </c>
      <c r="H11" s="41">
        <f t="shared" si="3"/>
        <v>96</v>
      </c>
      <c r="L11" s="41"/>
      <c r="M11" s="41"/>
      <c r="N11" s="41"/>
      <c r="O11" s="41"/>
      <c r="P11" s="41"/>
      <c r="R11" s="41">
        <v>8</v>
      </c>
      <c r="S11" s="146" t="s">
        <v>4110</v>
      </c>
      <c r="T11" s="26" t="s">
        <v>4089</v>
      </c>
    </row>
    <row r="12" spans="3:20">
      <c r="C12" s="41">
        <v>30000</v>
      </c>
      <c r="D12" s="41">
        <v>4000</v>
      </c>
      <c r="E12" s="41">
        <f>D12/100</f>
        <v>40</v>
      </c>
      <c r="F12" s="41">
        <f>E12*3</f>
        <v>120</v>
      </c>
      <c r="G12" s="41">
        <f t="shared" si="3"/>
        <v>160</v>
      </c>
      <c r="H12" s="41">
        <f t="shared" si="3"/>
        <v>480</v>
      </c>
      <c r="J12">
        <v>60</v>
      </c>
      <c r="L12" s="41"/>
      <c r="M12" s="41"/>
      <c r="N12" s="41"/>
      <c r="O12" s="41"/>
      <c r="P12" s="41"/>
      <c r="R12" s="41">
        <v>9</v>
      </c>
      <c r="S12" s="146" t="s">
        <v>4111</v>
      </c>
      <c r="T12" s="26" t="s">
        <v>4089</v>
      </c>
    </row>
    <row r="13" spans="3:20">
      <c r="C13" s="144" t="s">
        <v>4112</v>
      </c>
      <c r="D13" s="41" t="s">
        <v>4091</v>
      </c>
      <c r="E13" s="41" t="s">
        <v>4092</v>
      </c>
      <c r="F13" s="41" t="s">
        <v>4093</v>
      </c>
      <c r="G13" s="41" t="s">
        <v>4094</v>
      </c>
      <c r="H13" s="41" t="s">
        <v>4095</v>
      </c>
      <c r="J13" s="26" t="s">
        <v>1098</v>
      </c>
      <c r="L13" s="41">
        <v>5</v>
      </c>
      <c r="M13" s="41">
        <v>2</v>
      </c>
      <c r="N13" s="41">
        <v>5</v>
      </c>
      <c r="O13" s="41">
        <f t="shared" ref="O13:O18" si="4">L13*N13</f>
        <v>25</v>
      </c>
      <c r="P13" s="41">
        <f t="shared" ref="P13:P18" si="5">M13*N13</f>
        <v>10</v>
      </c>
      <c r="R13" s="41">
        <v>10</v>
      </c>
      <c r="S13" s="146" t="s">
        <v>4113</v>
      </c>
      <c r="T13" s="26" t="s">
        <v>4089</v>
      </c>
    </row>
    <row r="14" spans="3:20">
      <c r="C14" s="41">
        <v>30</v>
      </c>
      <c r="D14" s="41">
        <v>500</v>
      </c>
      <c r="E14" s="41">
        <f>D14/100</f>
        <v>5</v>
      </c>
      <c r="F14" s="41">
        <f>E14*3</f>
        <v>15</v>
      </c>
      <c r="G14" s="41">
        <f t="shared" ref="G14:H16" si="6">E14*4</f>
        <v>20</v>
      </c>
      <c r="H14" s="41">
        <f t="shared" si="6"/>
        <v>60</v>
      </c>
      <c r="J14" s="26" t="s">
        <v>1090</v>
      </c>
      <c r="L14" s="41">
        <v>3</v>
      </c>
      <c r="M14" s="41">
        <v>2</v>
      </c>
      <c r="N14" s="41">
        <v>5</v>
      </c>
      <c r="O14" s="41">
        <f t="shared" si="4"/>
        <v>15</v>
      </c>
      <c r="P14" s="41">
        <f t="shared" si="5"/>
        <v>10</v>
      </c>
      <c r="R14" s="41">
        <v>11</v>
      </c>
      <c r="S14" s="146" t="s">
        <v>4114</v>
      </c>
      <c r="T14" s="26" t="s">
        <v>4089</v>
      </c>
    </row>
    <row r="15" spans="3:20">
      <c r="C15" s="41">
        <v>198</v>
      </c>
      <c r="D15" s="41">
        <v>800</v>
      </c>
      <c r="E15" s="41">
        <f>D15/100</f>
        <v>8</v>
      </c>
      <c r="F15" s="41">
        <f>E15*3</f>
        <v>24</v>
      </c>
      <c r="G15" s="41">
        <f t="shared" si="6"/>
        <v>32</v>
      </c>
      <c r="H15" s="41">
        <f t="shared" si="6"/>
        <v>96</v>
      </c>
      <c r="J15" s="26" t="s">
        <v>1137</v>
      </c>
      <c r="L15" s="41">
        <v>1</v>
      </c>
      <c r="M15" s="41">
        <v>2</v>
      </c>
      <c r="N15" s="41">
        <v>10</v>
      </c>
      <c r="O15" s="41">
        <f t="shared" si="4"/>
        <v>10</v>
      </c>
      <c r="P15" s="41">
        <f t="shared" si="5"/>
        <v>20</v>
      </c>
      <c r="R15" s="41">
        <v>12</v>
      </c>
      <c r="S15" s="146" t="s">
        <v>4115</v>
      </c>
      <c r="T15" s="26" t="s">
        <v>4089</v>
      </c>
    </row>
    <row r="16" spans="3:20">
      <c r="C16" s="41">
        <v>648</v>
      </c>
      <c r="D16" s="41">
        <v>4000</v>
      </c>
      <c r="E16" s="41">
        <f>D16/100</f>
        <v>40</v>
      </c>
      <c r="F16" s="41">
        <f>E16*3</f>
        <v>120</v>
      </c>
      <c r="G16" s="41">
        <f t="shared" si="6"/>
        <v>160</v>
      </c>
      <c r="H16" s="41">
        <f t="shared" si="6"/>
        <v>480</v>
      </c>
      <c r="J16" s="26" t="s">
        <v>4116</v>
      </c>
      <c r="L16" s="41">
        <v>1</v>
      </c>
      <c r="M16" s="41">
        <v>2</v>
      </c>
      <c r="N16" s="41">
        <v>5</v>
      </c>
      <c r="O16" s="41">
        <f t="shared" si="4"/>
        <v>5</v>
      </c>
      <c r="P16" s="41">
        <f t="shared" si="5"/>
        <v>10</v>
      </c>
      <c r="R16" s="41">
        <v>13</v>
      </c>
      <c r="S16" s="146" t="s">
        <v>4117</v>
      </c>
      <c r="T16" s="26" t="s">
        <v>4089</v>
      </c>
    </row>
    <row r="17" spans="2:20">
      <c r="C17" s="144" t="s">
        <v>4118</v>
      </c>
      <c r="D17" s="41" t="s">
        <v>4091</v>
      </c>
      <c r="E17" s="41" t="s">
        <v>4092</v>
      </c>
      <c r="F17" s="41" t="s">
        <v>4093</v>
      </c>
      <c r="G17" s="41" t="s">
        <v>4094</v>
      </c>
      <c r="H17" s="41" t="s">
        <v>4095</v>
      </c>
      <c r="J17" s="26" t="s">
        <v>4119</v>
      </c>
      <c r="L17" s="41">
        <v>1</v>
      </c>
      <c r="M17" s="41">
        <v>4</v>
      </c>
      <c r="N17" s="41">
        <v>20</v>
      </c>
      <c r="O17" s="41">
        <f t="shared" si="4"/>
        <v>20</v>
      </c>
      <c r="P17" s="41">
        <f t="shared" si="5"/>
        <v>80</v>
      </c>
      <c r="R17" s="41">
        <v>14</v>
      </c>
      <c r="S17" s="146" t="s">
        <v>4120</v>
      </c>
      <c r="T17" s="26" t="s">
        <v>4089</v>
      </c>
    </row>
    <row r="18" spans="2:20">
      <c r="C18" s="41">
        <v>10</v>
      </c>
      <c r="D18" s="41">
        <f>C18*2</f>
        <v>20</v>
      </c>
      <c r="E18" s="41">
        <f>D18/100</f>
        <v>0.2</v>
      </c>
      <c r="F18" s="41">
        <f>E18*3</f>
        <v>0.6</v>
      </c>
      <c r="G18" s="41">
        <f t="shared" ref="G18:H22" si="7">E18*27</f>
        <v>5.4</v>
      </c>
      <c r="H18" s="41">
        <f t="shared" si="7"/>
        <v>16.2</v>
      </c>
      <c r="J18" s="26" t="s">
        <v>1121</v>
      </c>
      <c r="L18" s="41">
        <v>10</v>
      </c>
      <c r="M18" s="41">
        <v>4</v>
      </c>
      <c r="N18" s="41">
        <v>10</v>
      </c>
      <c r="O18" s="41">
        <f t="shared" si="4"/>
        <v>100</v>
      </c>
      <c r="P18" s="41">
        <f t="shared" si="5"/>
        <v>40</v>
      </c>
      <c r="R18" s="41">
        <v>15</v>
      </c>
      <c r="S18" s="146" t="s">
        <v>4121</v>
      </c>
      <c r="T18" s="26" t="s">
        <v>4089</v>
      </c>
    </row>
    <row r="19" spans="2:20">
      <c r="C19" s="41">
        <v>15</v>
      </c>
      <c r="D19" s="41">
        <f>C19*2</f>
        <v>30</v>
      </c>
      <c r="E19" s="41">
        <f>D19/100</f>
        <v>0.3</v>
      </c>
      <c r="F19" s="41">
        <f>E19*3</f>
        <v>0.9</v>
      </c>
      <c r="G19" s="41">
        <f t="shared" si="7"/>
        <v>8.1</v>
      </c>
      <c r="H19" s="41">
        <f t="shared" si="7"/>
        <v>24.3</v>
      </c>
      <c r="L19" s="41"/>
      <c r="M19" s="41"/>
      <c r="N19" s="41"/>
      <c r="O19" s="41"/>
      <c r="P19" s="41"/>
      <c r="R19" s="41">
        <v>16</v>
      </c>
      <c r="S19" s="146" t="s">
        <v>4122</v>
      </c>
      <c r="T19" s="26" t="s">
        <v>4089</v>
      </c>
    </row>
    <row r="20" spans="2:20">
      <c r="C20" s="41">
        <v>25</v>
      </c>
      <c r="D20" s="41">
        <f>C20*2</f>
        <v>50</v>
      </c>
      <c r="E20" s="41">
        <f>D20/100</f>
        <v>0.5</v>
      </c>
      <c r="F20" s="41">
        <f>E20*3</f>
        <v>1.5</v>
      </c>
      <c r="G20" s="41">
        <f t="shared" si="7"/>
        <v>13.5</v>
      </c>
      <c r="H20" s="41">
        <f t="shared" si="7"/>
        <v>40.5</v>
      </c>
      <c r="J20">
        <v>180</v>
      </c>
      <c r="L20" s="41"/>
      <c r="M20" s="41"/>
      <c r="N20" s="41"/>
      <c r="O20" s="41"/>
      <c r="P20" s="41"/>
      <c r="R20" s="41">
        <v>17</v>
      </c>
      <c r="S20" s="146" t="s">
        <v>4123</v>
      </c>
      <c r="T20" s="26" t="s">
        <v>4089</v>
      </c>
    </row>
    <row r="21" spans="2:20">
      <c r="C21" s="41">
        <v>40</v>
      </c>
      <c r="D21" s="41">
        <f>C21*2</f>
        <v>80</v>
      </c>
      <c r="E21" s="41">
        <f>D21/100</f>
        <v>0.8</v>
      </c>
      <c r="F21" s="41">
        <f>E21*3</f>
        <v>2.4</v>
      </c>
      <c r="G21" s="41">
        <f t="shared" si="7"/>
        <v>21.6</v>
      </c>
      <c r="H21" s="41">
        <f t="shared" si="7"/>
        <v>64.8</v>
      </c>
      <c r="J21" s="26" t="s">
        <v>4124</v>
      </c>
      <c r="L21" s="41">
        <v>1</v>
      </c>
      <c r="M21" s="41">
        <v>20</v>
      </c>
      <c r="N21" s="41">
        <v>1</v>
      </c>
      <c r="O21" s="41">
        <f t="shared" ref="O21:O26" si="8">L21*N21</f>
        <v>1</v>
      </c>
      <c r="P21" s="41">
        <f t="shared" ref="P21:P26" si="9">M21*N21</f>
        <v>20</v>
      </c>
    </row>
    <row r="22" spans="2:20">
      <c r="C22" s="41">
        <v>50</v>
      </c>
      <c r="D22" s="41">
        <f>C22*2</f>
        <v>100</v>
      </c>
      <c r="E22" s="41">
        <f>D22/100</f>
        <v>1</v>
      </c>
      <c r="F22" s="41">
        <f>E22*3</f>
        <v>3</v>
      </c>
      <c r="G22" s="41">
        <f t="shared" si="7"/>
        <v>27</v>
      </c>
      <c r="H22" s="41">
        <f t="shared" si="7"/>
        <v>81</v>
      </c>
      <c r="J22" s="26" t="s">
        <v>1114</v>
      </c>
      <c r="L22" s="41">
        <v>3</v>
      </c>
      <c r="M22" s="41">
        <v>10</v>
      </c>
      <c r="N22" s="41">
        <v>1</v>
      </c>
      <c r="O22" s="41">
        <f t="shared" si="8"/>
        <v>3</v>
      </c>
      <c r="P22" s="41">
        <f t="shared" si="9"/>
        <v>10</v>
      </c>
    </row>
    <row r="23" spans="2:20">
      <c r="C23" s="144" t="s">
        <v>4125</v>
      </c>
      <c r="D23" s="41" t="s">
        <v>4091</v>
      </c>
      <c r="E23" s="41" t="s">
        <v>4092</v>
      </c>
      <c r="F23" s="41" t="s">
        <v>4093</v>
      </c>
      <c r="J23" s="26" t="s">
        <v>4126</v>
      </c>
      <c r="L23" s="41">
        <v>1</v>
      </c>
      <c r="M23" s="41">
        <v>40</v>
      </c>
      <c r="N23" s="41">
        <v>3</v>
      </c>
      <c r="O23" s="41">
        <f t="shared" si="8"/>
        <v>3</v>
      </c>
      <c r="P23" s="41">
        <f t="shared" si="9"/>
        <v>120</v>
      </c>
    </row>
    <row r="24" spans="2:20">
      <c r="B24" s="148" t="s">
        <v>4127</v>
      </c>
      <c r="C24" s="41">
        <v>100</v>
      </c>
      <c r="D24" s="41">
        <f>C24</f>
        <v>100</v>
      </c>
      <c r="E24" s="41">
        <f>D24/100</f>
        <v>1</v>
      </c>
      <c r="F24" s="41">
        <f>E24*3</f>
        <v>3</v>
      </c>
      <c r="J24" s="26" t="s">
        <v>4128</v>
      </c>
      <c r="L24" s="41">
        <v>1</v>
      </c>
      <c r="M24" s="41">
        <v>40</v>
      </c>
      <c r="N24" s="41">
        <v>3</v>
      </c>
      <c r="O24" s="41">
        <f t="shared" si="8"/>
        <v>3</v>
      </c>
      <c r="P24" s="41">
        <f t="shared" si="9"/>
        <v>120</v>
      </c>
    </row>
    <row r="25" spans="2:20">
      <c r="C25" s="41"/>
      <c r="D25" s="41"/>
      <c r="E25" s="41"/>
      <c r="F25" s="41"/>
      <c r="J25" s="26" t="s">
        <v>4129</v>
      </c>
      <c r="L25" s="41">
        <v>1</v>
      </c>
      <c r="M25" s="41">
        <v>4</v>
      </c>
      <c r="N25" s="41">
        <v>6</v>
      </c>
      <c r="O25" s="41">
        <f t="shared" si="8"/>
        <v>6</v>
      </c>
      <c r="P25" s="41">
        <f t="shared" si="9"/>
        <v>24</v>
      </c>
    </row>
    <row r="26" spans="2:20">
      <c r="B26" s="148" t="s">
        <v>4130</v>
      </c>
      <c r="C26" s="144" t="s">
        <v>4131</v>
      </c>
      <c r="D26" s="41">
        <v>1</v>
      </c>
      <c r="E26" s="41">
        <v>0.01</v>
      </c>
      <c r="F26" s="41">
        <v>0.03</v>
      </c>
      <c r="J26" s="26" t="s">
        <v>4132</v>
      </c>
      <c r="L26" s="41">
        <v>1</v>
      </c>
      <c r="M26" s="41">
        <v>2</v>
      </c>
      <c r="N26" s="41">
        <v>3</v>
      </c>
      <c r="O26" s="41">
        <f t="shared" si="8"/>
        <v>3</v>
      </c>
      <c r="P26" s="41">
        <f t="shared" si="9"/>
        <v>6</v>
      </c>
    </row>
    <row r="27" spans="2:20">
      <c r="C27" s="41"/>
      <c r="D27" s="41"/>
      <c r="E27" s="41"/>
      <c r="F27" s="41"/>
      <c r="L27" s="41"/>
      <c r="M27" s="41"/>
      <c r="N27" s="41"/>
      <c r="O27" s="41"/>
      <c r="P27" s="41"/>
    </row>
    <row r="28" spans="2:20">
      <c r="C28" s="41"/>
      <c r="D28" s="41"/>
      <c r="E28" s="41"/>
      <c r="F28" s="41"/>
      <c r="J28">
        <v>300</v>
      </c>
      <c r="L28" s="41"/>
      <c r="M28" s="41"/>
      <c r="N28" s="41"/>
      <c r="O28" s="41"/>
      <c r="P28" s="41"/>
    </row>
    <row r="29" spans="2:20">
      <c r="C29" s="148" t="s">
        <v>4133</v>
      </c>
      <c r="D29" s="145" t="s">
        <v>4134</v>
      </c>
      <c r="E29" s="144" t="s">
        <v>4135</v>
      </c>
      <c r="F29" s="41"/>
      <c r="J29" s="26" t="s">
        <v>4136</v>
      </c>
      <c r="L29" s="41">
        <v>1</v>
      </c>
      <c r="M29" s="41">
        <v>40</v>
      </c>
      <c r="N29" s="41">
        <v>5</v>
      </c>
      <c r="O29" s="41">
        <f t="shared" ref="O29:O34" si="10">L29*N29</f>
        <v>5</v>
      </c>
      <c r="P29" s="41">
        <f t="shared" ref="P29:P34" si="11">M29*N29</f>
        <v>200</v>
      </c>
    </row>
    <row r="30" spans="2:20">
      <c r="C30" s="148"/>
      <c r="D30" s="145"/>
      <c r="E30" s="144"/>
      <c r="F30" s="41"/>
      <c r="J30" s="26" t="s">
        <v>4137</v>
      </c>
      <c r="L30" s="41">
        <v>1</v>
      </c>
      <c r="M30" s="41">
        <v>100</v>
      </c>
      <c r="N30" s="41">
        <v>1</v>
      </c>
      <c r="O30" s="41">
        <f t="shared" si="10"/>
        <v>1</v>
      </c>
      <c r="P30" s="41">
        <f t="shared" si="11"/>
        <v>100</v>
      </c>
    </row>
    <row r="31" spans="2:20">
      <c r="G31" s="41" t="s">
        <v>4094</v>
      </c>
      <c r="J31" s="26" t="s">
        <v>4138</v>
      </c>
      <c r="L31" s="41">
        <v>1</v>
      </c>
      <c r="M31" s="41">
        <v>60</v>
      </c>
      <c r="N31" s="41">
        <v>3</v>
      </c>
      <c r="O31" s="41">
        <f t="shared" si="10"/>
        <v>3</v>
      </c>
      <c r="P31" s="41">
        <f t="shared" si="11"/>
        <v>180</v>
      </c>
    </row>
    <row r="32" spans="2:20">
      <c r="C32" s="26" t="s">
        <v>4139</v>
      </c>
      <c r="D32" s="26" t="s">
        <v>4140</v>
      </c>
      <c r="E32" s="26" t="s">
        <v>4141</v>
      </c>
      <c r="F32" s="26" t="s">
        <v>4142</v>
      </c>
      <c r="G32" s="41">
        <f>G8+G12+G22</f>
        <v>211.3</v>
      </c>
      <c r="J32" s="26" t="s">
        <v>4143</v>
      </c>
      <c r="L32" s="41">
        <v>1</v>
      </c>
      <c r="M32" s="41">
        <v>40</v>
      </c>
      <c r="N32" s="41">
        <v>3</v>
      </c>
      <c r="O32" s="41">
        <f t="shared" si="10"/>
        <v>3</v>
      </c>
      <c r="P32" s="41">
        <f t="shared" si="11"/>
        <v>120</v>
      </c>
    </row>
    <row r="33" customFormat="1" spans="3:16">
      <c r="C33" s="26" t="s">
        <v>4144</v>
      </c>
      <c r="D33" s="26" t="s">
        <v>4140</v>
      </c>
      <c r="E33" s="26" t="s">
        <v>4141</v>
      </c>
      <c r="F33" s="26" t="s">
        <v>4142</v>
      </c>
      <c r="G33" s="144" t="s">
        <v>4145</v>
      </c>
      <c r="J33" s="26" t="s">
        <v>4146</v>
      </c>
      <c r="L33" s="41">
        <v>1</v>
      </c>
      <c r="M33" s="41">
        <v>70</v>
      </c>
      <c r="N33" s="41">
        <v>2</v>
      </c>
      <c r="O33" s="41">
        <f t="shared" si="10"/>
        <v>2</v>
      </c>
      <c r="P33" s="41">
        <f t="shared" si="11"/>
        <v>140</v>
      </c>
    </row>
    <row r="34" customFormat="1" spans="3:16">
      <c r="C34" s="26" t="s">
        <v>4147</v>
      </c>
      <c r="D34" s="26" t="s">
        <v>4140</v>
      </c>
      <c r="E34" s="26" t="s">
        <v>4141</v>
      </c>
      <c r="F34" s="26" t="s">
        <v>4142</v>
      </c>
      <c r="G34" s="41">
        <f>G32*3</f>
        <v>633.9</v>
      </c>
      <c r="J34" s="26" t="s">
        <v>4148</v>
      </c>
      <c r="L34" s="41">
        <v>1</v>
      </c>
      <c r="M34" s="41">
        <v>70</v>
      </c>
      <c r="N34" s="41">
        <v>3</v>
      </c>
      <c r="O34" s="41">
        <f t="shared" si="10"/>
        <v>3</v>
      </c>
      <c r="P34" s="41">
        <f t="shared" si="11"/>
        <v>210</v>
      </c>
    </row>
    <row r="35" customFormat="1" spans="3:16">
      <c r="C35" s="26" t="s">
        <v>4149</v>
      </c>
      <c r="D35" t="s">
        <v>4140</v>
      </c>
      <c r="E35" t="s">
        <v>4141</v>
      </c>
      <c r="F35" t="s">
        <v>4142</v>
      </c>
      <c r="G35" s="144" t="s">
        <v>4150</v>
      </c>
    </row>
    <row r="36" customFormat="1" spans="3:16">
      <c r="D36" s="26"/>
      <c r="F36" s="26"/>
      <c r="G36" s="41"/>
    </row>
    <row r="37" customFormat="1" spans="3:16">
      <c r="C37" s="26"/>
      <c r="D37" s="26"/>
      <c r="E37" s="26"/>
      <c r="F37" s="26"/>
      <c r="G37" s="144"/>
    </row>
    <row r="38" customFormat="1" spans="3:16">
      <c r="C38" s="26"/>
      <c r="D38" s="26"/>
      <c r="F38" s="26"/>
      <c r="G38" s="41"/>
    </row>
    <row r="39" customFormat="1" spans="3:16">
      <c r="C39" s="26"/>
      <c r="D39" s="26"/>
      <c r="E39" s="26"/>
      <c r="F39" s="26"/>
      <c r="G39" s="144"/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56"/>
  <sheetViews>
    <sheetView workbookViewId="0">
      <selection activeCell="K21" sqref="K21"/>
    </sheetView>
  </sheetViews>
  <sheetFormatPr defaultColWidth="9" defaultRowHeight="13.5"/>
  <cols>
    <col min="1" max="1" width="3.125" style="112" customWidth="1"/>
    <col min="2" max="2" width="11.5" style="112" customWidth="1"/>
    <col min="3" max="3" width="13.75" style="112" customWidth="1"/>
    <col min="4" max="5" width="9.375" style="112" customWidth="1"/>
    <col min="6" max="6" width="11.5" style="112" customWidth="1"/>
    <col min="7" max="7" width="3.625" style="112" customWidth="1"/>
    <col min="8" max="8" width="13.625" style="112" customWidth="1"/>
    <col min="9" max="11" width="10.625" style="112" customWidth="1"/>
    <col min="12" max="12" width="3.625" style="112" customWidth="1"/>
    <col min="13" max="13" width="13.625" style="112" customWidth="1"/>
    <col min="14" max="16" width="10.625" style="112" customWidth="1"/>
    <col min="17" max="17" width="3.625" style="112" customWidth="1"/>
    <col min="18" max="18" width="13.625" style="112" customWidth="1"/>
    <col min="19" max="21" width="10.625" style="112" customWidth="1"/>
    <col min="22" max="22" width="3.625" style="112" customWidth="1"/>
    <col min="23" max="23" width="13.625" style="112" customWidth="1"/>
    <col min="24" max="26" width="10.625" style="112" customWidth="1"/>
    <col min="27" max="16384" width="9" style="112"/>
  </cols>
  <sheetData>
    <row r="1" ht="14.25"/>
    <row r="2" spans="2:26">
      <c r="B2" s="113" t="s">
        <v>871</v>
      </c>
      <c r="C2" s="114" t="s">
        <v>872</v>
      </c>
      <c r="D2" s="115" t="s">
        <v>873</v>
      </c>
      <c r="E2" s="115" t="s">
        <v>874</v>
      </c>
      <c r="F2" s="116" t="s">
        <v>875</v>
      </c>
      <c r="H2" s="117" t="s">
        <v>4151</v>
      </c>
      <c r="I2" s="118" t="s">
        <v>689</v>
      </c>
      <c r="J2" s="118" t="s">
        <v>690</v>
      </c>
      <c r="K2" s="119" t="s">
        <v>691</v>
      </c>
      <c r="L2" s="120"/>
      <c r="M2" s="117" t="s">
        <v>4152</v>
      </c>
      <c r="N2" s="75" t="s">
        <v>689</v>
      </c>
      <c r="O2" s="75" t="s">
        <v>690</v>
      </c>
      <c r="P2" s="76" t="s">
        <v>691</v>
      </c>
      <c r="Q2" s="120"/>
      <c r="R2" s="121" t="s">
        <v>4153</v>
      </c>
      <c r="S2" s="75" t="s">
        <v>689</v>
      </c>
      <c r="T2" s="75" t="s">
        <v>690</v>
      </c>
      <c r="U2" s="76" t="s">
        <v>691</v>
      </c>
      <c r="W2" s="121" t="s">
        <v>4154</v>
      </c>
      <c r="X2" s="75" t="s">
        <v>689</v>
      </c>
      <c r="Y2" s="75" t="s">
        <v>690</v>
      </c>
      <c r="Z2" s="76" t="s">
        <v>691</v>
      </c>
    </row>
    <row r="3" spans="2:26">
      <c r="B3" s="122" t="s">
        <v>883</v>
      </c>
      <c r="C3" s="123">
        <v>35</v>
      </c>
      <c r="D3" s="124">
        <v>20</v>
      </c>
      <c r="E3" s="123"/>
      <c r="F3" s="125">
        <v>1</v>
      </c>
      <c r="H3" s="126" t="s">
        <v>843</v>
      </c>
      <c r="I3" s="127" t="s">
        <v>51</v>
      </c>
      <c r="J3" s="127" t="s">
        <v>66</v>
      </c>
      <c r="K3" s="128" t="s">
        <v>24</v>
      </c>
      <c r="L3" s="129"/>
      <c r="M3" s="126" t="s">
        <v>400</v>
      </c>
      <c r="N3" s="127" t="s">
        <v>48</v>
      </c>
      <c r="O3" s="127" t="s">
        <v>46</v>
      </c>
      <c r="P3" s="130" t="s">
        <v>864</v>
      </c>
      <c r="Q3" s="129"/>
      <c r="R3" s="126" t="s">
        <v>380</v>
      </c>
      <c r="S3" s="127" t="s">
        <v>61</v>
      </c>
      <c r="T3" s="127" t="s">
        <v>36</v>
      </c>
      <c r="U3" s="130" t="s">
        <v>49</v>
      </c>
      <c r="V3" s="131"/>
      <c r="W3" s="126"/>
      <c r="X3" s="127"/>
      <c r="Y3" s="127"/>
      <c r="Z3" s="130"/>
    </row>
    <row r="4" spans="2:26">
      <c r="B4" s="122" t="s">
        <v>887</v>
      </c>
      <c r="C4" s="123">
        <v>49</v>
      </c>
      <c r="D4" s="124">
        <v>25</v>
      </c>
      <c r="E4" s="123"/>
      <c r="F4" s="125">
        <v>1</v>
      </c>
      <c r="H4" s="126" t="s">
        <v>848</v>
      </c>
      <c r="I4" s="127" t="s">
        <v>41</v>
      </c>
      <c r="J4" s="127" t="s">
        <v>58</v>
      </c>
      <c r="K4" s="128" t="s">
        <v>707</v>
      </c>
      <c r="L4" s="129"/>
      <c r="M4" s="126" t="s">
        <v>366</v>
      </c>
      <c r="N4" s="127" t="s">
        <v>53</v>
      </c>
      <c r="O4" s="127" t="s">
        <v>62</v>
      </c>
      <c r="P4" s="130" t="s">
        <v>856</v>
      </c>
      <c r="Q4" s="129"/>
      <c r="R4" s="126" t="s">
        <v>370</v>
      </c>
      <c r="S4" s="127" t="s">
        <v>110</v>
      </c>
      <c r="T4" s="127" t="s">
        <v>699</v>
      </c>
      <c r="U4" s="132" t="s">
        <v>767</v>
      </c>
      <c r="V4" s="131"/>
      <c r="W4" s="126"/>
      <c r="X4" s="127"/>
      <c r="Y4" s="127"/>
      <c r="Z4" s="130"/>
    </row>
    <row r="5" spans="2:26">
      <c r="B5" s="122" t="s">
        <v>888</v>
      </c>
      <c r="C5" s="123">
        <v>69</v>
      </c>
      <c r="D5" s="124">
        <v>35</v>
      </c>
      <c r="E5" s="123"/>
      <c r="F5" s="125">
        <v>1</v>
      </c>
      <c r="H5" s="126" t="s">
        <v>420</v>
      </c>
      <c r="I5" s="127" t="s">
        <v>56</v>
      </c>
      <c r="J5" s="127" t="s">
        <v>38</v>
      </c>
      <c r="K5" s="128" t="s">
        <v>26</v>
      </c>
      <c r="L5" s="129"/>
      <c r="M5" s="126" t="s">
        <v>408</v>
      </c>
      <c r="N5" s="127" t="s">
        <v>43</v>
      </c>
      <c r="O5" s="127" t="s">
        <v>65</v>
      </c>
      <c r="P5" s="130" t="s">
        <v>757</v>
      </c>
      <c r="Q5" s="129"/>
      <c r="R5" s="126" t="s">
        <v>344</v>
      </c>
      <c r="S5" s="127" t="s">
        <v>106</v>
      </c>
      <c r="T5" s="127" t="s">
        <v>117</v>
      </c>
      <c r="U5" s="130" t="s">
        <v>766</v>
      </c>
      <c r="V5" s="131"/>
      <c r="W5" s="126"/>
      <c r="X5" s="127"/>
      <c r="Y5" s="127"/>
      <c r="Z5" s="130"/>
    </row>
    <row r="6" spans="2:26">
      <c r="B6" s="122" t="s">
        <v>889</v>
      </c>
      <c r="C6" s="123">
        <v>97</v>
      </c>
      <c r="D6" s="124">
        <v>50</v>
      </c>
      <c r="E6" s="123"/>
      <c r="F6" s="125">
        <v>1</v>
      </c>
      <c r="H6" s="126" t="s">
        <v>418</v>
      </c>
      <c r="I6" s="127" t="s">
        <v>155</v>
      </c>
      <c r="J6" s="127" t="s">
        <v>42</v>
      </c>
      <c r="K6" s="128" t="s">
        <v>765</v>
      </c>
      <c r="L6" s="129"/>
      <c r="M6" s="126" t="s">
        <v>404</v>
      </c>
      <c r="N6" s="127" t="s">
        <v>709</v>
      </c>
      <c r="O6" s="127" t="s">
        <v>125</v>
      </c>
      <c r="P6" s="130" t="s">
        <v>99</v>
      </c>
      <c r="Q6" s="129"/>
      <c r="R6" s="126" t="s">
        <v>396</v>
      </c>
      <c r="S6" s="127" t="s">
        <v>56</v>
      </c>
      <c r="T6" s="127" t="s">
        <v>61</v>
      </c>
      <c r="U6" s="130" t="s">
        <v>841</v>
      </c>
      <c r="V6" s="131"/>
      <c r="W6" s="126"/>
      <c r="X6" s="127"/>
      <c r="Y6" s="127"/>
      <c r="Z6" s="130"/>
    </row>
    <row r="7" spans="2:26">
      <c r="B7" s="122" t="s">
        <v>892</v>
      </c>
      <c r="C7" s="123">
        <v>136</v>
      </c>
      <c r="D7" s="123">
        <v>0</v>
      </c>
      <c r="E7" s="123">
        <v>1</v>
      </c>
      <c r="F7" s="125">
        <v>2</v>
      </c>
      <c r="H7" s="126" t="s">
        <v>362</v>
      </c>
      <c r="I7" s="127" t="s">
        <v>734</v>
      </c>
      <c r="J7" s="127" t="s">
        <v>124</v>
      </c>
      <c r="K7" s="128" t="s">
        <v>3</v>
      </c>
      <c r="L7" s="129"/>
      <c r="M7" s="126" t="s">
        <v>309</v>
      </c>
      <c r="N7" s="127" t="s">
        <v>121</v>
      </c>
      <c r="O7" s="127" t="s">
        <v>135</v>
      </c>
      <c r="P7" s="130" t="s">
        <v>803</v>
      </c>
      <c r="Q7" s="129"/>
      <c r="R7" s="126" t="s">
        <v>325</v>
      </c>
      <c r="S7" s="127" t="s">
        <v>42</v>
      </c>
      <c r="T7" s="127" t="s">
        <v>47</v>
      </c>
      <c r="U7" s="130" t="s">
        <v>845</v>
      </c>
      <c r="V7" s="131"/>
      <c r="W7" s="126"/>
      <c r="X7" s="127"/>
      <c r="Y7" s="127"/>
      <c r="Z7" s="130"/>
    </row>
    <row r="8" spans="2:26">
      <c r="B8" s="122" t="s">
        <v>893</v>
      </c>
      <c r="C8" s="123">
        <v>191</v>
      </c>
      <c r="D8" s="124">
        <v>95</v>
      </c>
      <c r="E8" s="123"/>
      <c r="F8" s="125">
        <v>2</v>
      </c>
      <c r="H8" s="126" t="s">
        <v>303</v>
      </c>
      <c r="I8" s="127" t="s">
        <v>704</v>
      </c>
      <c r="J8" s="127" t="s">
        <v>724</v>
      </c>
      <c r="K8" s="128" t="s">
        <v>860</v>
      </c>
      <c r="L8" s="129"/>
      <c r="M8" s="126" t="s">
        <v>282</v>
      </c>
      <c r="N8" s="127" t="s">
        <v>738</v>
      </c>
      <c r="O8" s="127" t="s">
        <v>747</v>
      </c>
      <c r="P8" s="130" t="s">
        <v>22</v>
      </c>
      <c r="Q8" s="129"/>
      <c r="R8" s="126" t="s">
        <v>341</v>
      </c>
      <c r="S8" s="127" t="s">
        <v>121</v>
      </c>
      <c r="T8" s="127" t="s">
        <v>51</v>
      </c>
      <c r="U8" s="130" t="s">
        <v>512</v>
      </c>
      <c r="V8" s="131"/>
      <c r="W8" s="126"/>
      <c r="X8" s="127"/>
      <c r="Y8" s="127"/>
      <c r="Z8" s="130"/>
    </row>
    <row r="9" spans="2:26">
      <c r="B9" s="122" t="s">
        <v>895</v>
      </c>
      <c r="C9" s="123">
        <v>268</v>
      </c>
      <c r="D9" s="123">
        <v>0</v>
      </c>
      <c r="E9" s="123">
        <v>1</v>
      </c>
      <c r="F9" s="125">
        <v>3</v>
      </c>
      <c r="H9" s="126" t="s">
        <v>360</v>
      </c>
      <c r="I9" s="127" t="s">
        <v>132</v>
      </c>
      <c r="J9" s="127" t="s">
        <v>53</v>
      </c>
      <c r="K9" s="128" t="s">
        <v>732</v>
      </c>
      <c r="L9" s="129"/>
      <c r="M9" s="126" t="s">
        <v>300</v>
      </c>
      <c r="N9" s="127" t="s">
        <v>794</v>
      </c>
      <c r="O9" s="127" t="s">
        <v>753</v>
      </c>
      <c r="P9" s="130" t="s">
        <v>32</v>
      </c>
      <c r="Q9" s="129"/>
      <c r="R9" s="129"/>
      <c r="S9" s="129"/>
      <c r="T9" s="129"/>
      <c r="U9" s="129"/>
      <c r="V9" s="131"/>
    </row>
    <row r="10" spans="2:26">
      <c r="B10" s="122" t="s">
        <v>898</v>
      </c>
      <c r="C10" s="123">
        <v>376</v>
      </c>
      <c r="D10" s="124">
        <v>160</v>
      </c>
      <c r="E10" s="123"/>
      <c r="F10" s="125">
        <v>3</v>
      </c>
      <c r="H10" s="126" t="s">
        <v>416</v>
      </c>
      <c r="I10" s="127" t="s">
        <v>58</v>
      </c>
      <c r="J10" s="127" t="s">
        <v>48</v>
      </c>
      <c r="K10" s="128" t="s">
        <v>2</v>
      </c>
      <c r="L10" s="129"/>
      <c r="M10" s="126" t="s">
        <v>350</v>
      </c>
      <c r="N10" s="127" t="s">
        <v>791</v>
      </c>
      <c r="O10" s="127" t="s">
        <v>743</v>
      </c>
      <c r="P10" s="130" t="s">
        <v>18</v>
      </c>
      <c r="Q10" s="129"/>
      <c r="R10" s="129"/>
      <c r="S10" s="129"/>
      <c r="T10" s="129"/>
      <c r="U10" s="129"/>
      <c r="V10" s="131"/>
    </row>
    <row r="11" spans="2:26">
      <c r="B11" s="122" t="s">
        <v>901</v>
      </c>
      <c r="C11" s="123">
        <v>526</v>
      </c>
      <c r="D11" s="123">
        <v>0</v>
      </c>
      <c r="E11" s="123">
        <v>1</v>
      </c>
      <c r="F11" s="125">
        <v>5</v>
      </c>
      <c r="H11" s="126" t="s">
        <v>428</v>
      </c>
      <c r="I11" s="127" t="s">
        <v>46</v>
      </c>
      <c r="J11" s="127" t="s">
        <v>58</v>
      </c>
      <c r="K11" s="128" t="s">
        <v>2</v>
      </c>
      <c r="L11" s="129"/>
      <c r="M11" s="126" t="s">
        <v>378</v>
      </c>
      <c r="N11" s="127" t="s">
        <v>807</v>
      </c>
      <c r="O11" s="127" t="s">
        <v>701</v>
      </c>
      <c r="P11" s="130" t="s">
        <v>59</v>
      </c>
      <c r="Q11" s="129"/>
      <c r="R11" s="129"/>
      <c r="S11" s="129"/>
      <c r="T11" s="129"/>
      <c r="U11" s="129"/>
      <c r="V11" s="131"/>
    </row>
    <row r="12" spans="2:26">
      <c r="B12" s="133" t="s">
        <v>904</v>
      </c>
      <c r="C12" s="123">
        <v>188</v>
      </c>
      <c r="D12" s="123">
        <v>40</v>
      </c>
      <c r="E12" s="123"/>
      <c r="F12" s="125">
        <v>5</v>
      </c>
      <c r="H12" s="126" t="s">
        <v>273</v>
      </c>
      <c r="I12" s="127" t="s">
        <v>36</v>
      </c>
      <c r="J12" s="127" t="s">
        <v>41</v>
      </c>
      <c r="K12" s="128" t="s">
        <v>750</v>
      </c>
      <c r="L12" s="129"/>
      <c r="M12" s="126" t="s">
        <v>415</v>
      </c>
      <c r="N12" s="127" t="s">
        <v>57</v>
      </c>
      <c r="O12" s="127" t="s">
        <v>65</v>
      </c>
      <c r="P12" s="130" t="s">
        <v>73</v>
      </c>
      <c r="Q12" s="129"/>
      <c r="R12" s="129"/>
      <c r="S12" s="129"/>
      <c r="T12" s="129"/>
      <c r="U12" s="129"/>
      <c r="V12" s="131"/>
    </row>
    <row r="13" spans="2:26">
      <c r="B13" s="133" t="s">
        <v>908</v>
      </c>
      <c r="C13" s="123">
        <v>188</v>
      </c>
      <c r="D13" s="123">
        <v>40</v>
      </c>
      <c r="E13" s="123"/>
      <c r="F13" s="125">
        <v>6</v>
      </c>
      <c r="H13" s="126" t="s">
        <v>424</v>
      </c>
      <c r="I13" s="127" t="s">
        <v>46</v>
      </c>
      <c r="J13" s="127" t="s">
        <v>155</v>
      </c>
      <c r="K13" s="128" t="s">
        <v>39</v>
      </c>
      <c r="L13" s="129"/>
      <c r="M13" s="126" t="s">
        <v>364</v>
      </c>
      <c r="N13" s="127" t="s">
        <v>713</v>
      </c>
      <c r="O13" s="127" t="s">
        <v>813</v>
      </c>
      <c r="P13" s="130" t="s">
        <v>870</v>
      </c>
      <c r="Q13" s="129"/>
      <c r="R13" s="129"/>
      <c r="S13" s="129"/>
      <c r="T13" s="129"/>
      <c r="U13" s="129"/>
      <c r="V13" s="131"/>
    </row>
    <row r="14" spans="2:26">
      <c r="B14" s="133" t="s">
        <v>911</v>
      </c>
      <c r="C14" s="123">
        <v>188</v>
      </c>
      <c r="D14" s="123">
        <v>40</v>
      </c>
      <c r="E14" s="123"/>
      <c r="F14" s="125">
        <v>6</v>
      </c>
      <c r="H14" s="126" t="s">
        <v>279</v>
      </c>
      <c r="I14" s="127" t="s">
        <v>57</v>
      </c>
      <c r="J14" s="127" t="s">
        <v>110</v>
      </c>
      <c r="K14" s="128" t="s">
        <v>698</v>
      </c>
      <c r="L14" s="129"/>
      <c r="M14" s="126" t="s">
        <v>348</v>
      </c>
      <c r="N14" s="127" t="s">
        <v>710</v>
      </c>
      <c r="O14" s="127" t="s">
        <v>742</v>
      </c>
      <c r="P14" s="130" t="s">
        <v>882</v>
      </c>
      <c r="Q14" s="129"/>
      <c r="R14" s="129"/>
      <c r="S14" s="129"/>
      <c r="T14" s="129"/>
      <c r="U14" s="129"/>
      <c r="V14" s="131"/>
    </row>
    <row r="15" spans="2:26">
      <c r="B15" s="134" t="s">
        <v>914</v>
      </c>
      <c r="C15" s="123">
        <v>188</v>
      </c>
      <c r="D15" s="123">
        <v>40</v>
      </c>
      <c r="E15" s="123"/>
      <c r="F15" s="125">
        <v>7</v>
      </c>
      <c r="H15" s="126" t="s">
        <v>285</v>
      </c>
      <c r="I15" s="127" t="s">
        <v>135</v>
      </c>
      <c r="J15" s="127" t="s">
        <v>738</v>
      </c>
      <c r="K15" s="128" t="s">
        <v>9</v>
      </c>
      <c r="L15" s="129"/>
      <c r="M15" s="126" t="s">
        <v>886</v>
      </c>
      <c r="N15" s="127" t="s">
        <v>51</v>
      </c>
      <c r="O15" s="127" t="s">
        <v>66</v>
      </c>
      <c r="P15" s="130" t="s">
        <v>24</v>
      </c>
      <c r="Q15" s="129"/>
      <c r="R15" s="129"/>
      <c r="S15" s="129"/>
      <c r="T15" s="129"/>
      <c r="U15" s="129"/>
      <c r="V15" s="131"/>
    </row>
    <row r="16" spans="2:26">
      <c r="B16" s="134" t="s">
        <v>917</v>
      </c>
      <c r="C16" s="123">
        <v>188</v>
      </c>
      <c r="D16" s="123">
        <v>40</v>
      </c>
      <c r="E16" s="123"/>
      <c r="F16" s="125">
        <v>0</v>
      </c>
      <c r="H16" s="126" t="s">
        <v>327</v>
      </c>
      <c r="I16" s="127" t="s">
        <v>747</v>
      </c>
      <c r="J16" s="127" t="s">
        <v>106</v>
      </c>
      <c r="K16" s="128" t="s">
        <v>781</v>
      </c>
      <c r="L16" s="129"/>
      <c r="M16" s="126" t="s">
        <v>346</v>
      </c>
      <c r="N16" s="127" t="s">
        <v>56</v>
      </c>
      <c r="O16" s="127" t="s">
        <v>38</v>
      </c>
      <c r="P16" s="130" t="s">
        <v>919</v>
      </c>
      <c r="Q16" s="129"/>
      <c r="R16" s="129"/>
      <c r="S16" s="129"/>
      <c r="T16" s="129"/>
      <c r="U16" s="129"/>
      <c r="V16" s="131"/>
    </row>
    <row r="17" spans="2:22">
      <c r="B17" s="133" t="s">
        <v>920</v>
      </c>
      <c r="C17" s="123">
        <v>188</v>
      </c>
      <c r="D17" s="123">
        <v>40</v>
      </c>
      <c r="E17" s="123"/>
      <c r="F17" s="125">
        <v>0</v>
      </c>
      <c r="H17" s="126" t="s">
        <v>865</v>
      </c>
      <c r="I17" s="127" t="s">
        <v>117</v>
      </c>
      <c r="J17" s="127" t="s">
        <v>734</v>
      </c>
      <c r="K17" s="128" t="s">
        <v>720</v>
      </c>
      <c r="L17" s="129"/>
      <c r="M17" s="126" t="s">
        <v>376</v>
      </c>
      <c r="N17" s="127" t="s">
        <v>46</v>
      </c>
      <c r="O17" s="127" t="s">
        <v>43</v>
      </c>
      <c r="P17" s="130" t="s">
        <v>919</v>
      </c>
      <c r="Q17" s="129"/>
      <c r="R17" s="129"/>
      <c r="S17" s="129"/>
      <c r="T17" s="129"/>
      <c r="U17" s="129"/>
      <c r="V17" s="131"/>
    </row>
    <row r="18" spans="2:22">
      <c r="B18" s="133" t="s">
        <v>927</v>
      </c>
      <c r="C18" s="123">
        <v>288</v>
      </c>
      <c r="D18" s="123">
        <v>90</v>
      </c>
      <c r="E18" s="123"/>
      <c r="F18" s="125">
        <v>0</v>
      </c>
      <c r="H18" s="126" t="s">
        <v>332</v>
      </c>
      <c r="I18" s="127" t="s">
        <v>724</v>
      </c>
      <c r="J18" s="127" t="s">
        <v>807</v>
      </c>
      <c r="K18" s="128" t="s">
        <v>866</v>
      </c>
      <c r="L18" s="129"/>
      <c r="M18" s="126" t="s">
        <v>890</v>
      </c>
      <c r="N18" s="127" t="s">
        <v>147</v>
      </c>
      <c r="O18" s="127" t="s">
        <v>699</v>
      </c>
      <c r="P18" s="132" t="s">
        <v>891</v>
      </c>
      <c r="Q18" s="129"/>
      <c r="R18" s="129"/>
      <c r="S18" s="129"/>
      <c r="T18" s="129"/>
      <c r="U18" s="129"/>
      <c r="V18" s="131"/>
    </row>
    <row r="19" spans="2:22">
      <c r="B19" s="134" t="s">
        <v>932</v>
      </c>
      <c r="C19" s="123">
        <v>288</v>
      </c>
      <c r="D19" s="123">
        <v>90</v>
      </c>
      <c r="E19" s="123"/>
      <c r="F19" s="125">
        <v>0</v>
      </c>
      <c r="H19" s="129"/>
      <c r="I19" s="129"/>
      <c r="J19" s="135"/>
      <c r="K19" s="129"/>
      <c r="L19" s="129"/>
      <c r="M19" s="126" t="s">
        <v>402</v>
      </c>
      <c r="N19" s="127" t="s">
        <v>709</v>
      </c>
      <c r="O19" s="127" t="s">
        <v>125</v>
      </c>
      <c r="P19" s="130" t="s">
        <v>777</v>
      </c>
      <c r="Q19" s="129"/>
      <c r="R19" s="129"/>
      <c r="S19" s="129"/>
      <c r="T19" s="129"/>
      <c r="U19" s="129"/>
      <c r="V19" s="131"/>
    </row>
    <row r="20" spans="2:22">
      <c r="B20" s="134" t="s">
        <v>938</v>
      </c>
      <c r="C20" s="123">
        <v>288</v>
      </c>
      <c r="D20" s="123">
        <v>90</v>
      </c>
      <c r="E20" s="123"/>
      <c r="F20" s="125">
        <v>0</v>
      </c>
      <c r="H20" s="129"/>
      <c r="I20" s="129"/>
      <c r="J20" s="135"/>
      <c r="K20" s="129"/>
      <c r="L20" s="129"/>
      <c r="M20" s="126" t="s">
        <v>426</v>
      </c>
      <c r="N20" s="127" t="s">
        <v>124</v>
      </c>
      <c r="O20" s="127" t="s">
        <v>794</v>
      </c>
      <c r="P20" s="130" t="s">
        <v>777</v>
      </c>
      <c r="Q20" s="129"/>
      <c r="R20" s="129"/>
      <c r="S20" s="129"/>
      <c r="T20" s="129"/>
      <c r="U20" s="129"/>
      <c r="V20" s="131"/>
    </row>
    <row r="21" spans="2:22">
      <c r="B21" s="134" t="s">
        <v>941</v>
      </c>
      <c r="C21" s="123">
        <v>288</v>
      </c>
      <c r="D21" s="123">
        <v>90</v>
      </c>
      <c r="E21" s="123"/>
      <c r="F21" s="125">
        <v>0</v>
      </c>
      <c r="H21" s="129"/>
      <c r="I21" s="129"/>
      <c r="J21" s="129"/>
      <c r="K21" s="129"/>
      <c r="L21" s="129"/>
      <c r="M21" s="126" t="s">
        <v>398</v>
      </c>
      <c r="N21" s="127" t="s">
        <v>753</v>
      </c>
      <c r="O21" s="127" t="s">
        <v>791</v>
      </c>
      <c r="P21" s="130" t="s">
        <v>897</v>
      </c>
      <c r="Q21" s="129"/>
      <c r="R21" s="129"/>
      <c r="S21" s="129"/>
      <c r="T21" s="129"/>
      <c r="U21" s="129"/>
      <c r="V21" s="131"/>
    </row>
    <row r="22" ht="14.25" spans="2:22">
      <c r="B22" s="136" t="s">
        <v>226</v>
      </c>
      <c r="C22" s="137">
        <f>SUM(C3:C21)</f>
        <v>4027</v>
      </c>
      <c r="D22" s="137">
        <f>SUM(D3:D21)</f>
        <v>985</v>
      </c>
      <c r="E22" s="137">
        <f>SUM(E3:E21)</f>
        <v>3</v>
      </c>
      <c r="F22" s="138">
        <f>SUM(F3:F21)</f>
        <v>43</v>
      </c>
      <c r="H22" s="129"/>
      <c r="I22" s="129"/>
      <c r="J22" s="129"/>
      <c r="K22" s="129"/>
      <c r="L22" s="129"/>
      <c r="M22" s="126" t="s">
        <v>384</v>
      </c>
      <c r="N22" s="127" t="s">
        <v>743</v>
      </c>
      <c r="O22" s="127" t="s">
        <v>704</v>
      </c>
      <c r="P22" s="130" t="s">
        <v>716</v>
      </c>
      <c r="Q22" s="129"/>
      <c r="R22" s="129"/>
      <c r="S22" s="129"/>
      <c r="T22" s="129"/>
      <c r="U22" s="129"/>
      <c r="V22" s="131"/>
    </row>
    <row r="23" ht="14.25" spans="2:22">
      <c r="B23" s="139"/>
      <c r="C23" s="139"/>
      <c r="D23" s="139"/>
      <c r="E23" s="139"/>
      <c r="F23" s="139"/>
      <c r="H23" s="129"/>
      <c r="I23" s="129"/>
      <c r="J23" s="129"/>
      <c r="K23" s="129"/>
      <c r="L23" s="129"/>
      <c r="M23" s="126" t="s">
        <v>382</v>
      </c>
      <c r="N23" s="127" t="s">
        <v>701</v>
      </c>
      <c r="O23" s="127" t="s">
        <v>713</v>
      </c>
      <c r="P23" s="130" t="s">
        <v>903</v>
      </c>
      <c r="Q23" s="129"/>
      <c r="R23" s="129"/>
      <c r="S23" s="129"/>
      <c r="T23" s="129"/>
      <c r="U23" s="129"/>
      <c r="V23" s="131"/>
    </row>
    <row r="24" spans="2:22">
      <c r="B24" s="113" t="s">
        <v>876</v>
      </c>
      <c r="C24" s="115" t="s">
        <v>877</v>
      </c>
      <c r="D24" s="115" t="s">
        <v>880</v>
      </c>
      <c r="E24" s="115" t="s">
        <v>878</v>
      </c>
      <c r="F24" s="116" t="s">
        <v>879</v>
      </c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</row>
    <row r="25" spans="2:22">
      <c r="B25" s="134">
        <v>1</v>
      </c>
      <c r="C25" s="123">
        <v>3900</v>
      </c>
      <c r="D25" s="123">
        <v>3900</v>
      </c>
      <c r="E25" s="123">
        <v>31200</v>
      </c>
      <c r="F25" s="125">
        <v>7800</v>
      </c>
    </row>
    <row r="26" spans="2:22">
      <c r="B26" s="141">
        <v>2</v>
      </c>
      <c r="C26" s="123">
        <v>4410</v>
      </c>
      <c r="D26" s="123">
        <v>4410</v>
      </c>
      <c r="E26" s="123">
        <v>35280</v>
      </c>
      <c r="F26" s="125">
        <v>8820</v>
      </c>
    </row>
    <row r="27" spans="2:22">
      <c r="B27" s="141">
        <v>3</v>
      </c>
      <c r="C27" s="123">
        <v>5000</v>
      </c>
      <c r="D27" s="123">
        <v>5000</v>
      </c>
      <c r="E27" s="123">
        <v>40000</v>
      </c>
      <c r="F27" s="125">
        <v>10000</v>
      </c>
    </row>
    <row r="28" spans="2:22">
      <c r="B28" s="134">
        <v>4</v>
      </c>
      <c r="C28" s="123">
        <v>5650</v>
      </c>
      <c r="D28" s="123">
        <v>5650</v>
      </c>
      <c r="E28" s="123">
        <v>45200</v>
      </c>
      <c r="F28" s="125">
        <v>11300</v>
      </c>
    </row>
    <row r="29" spans="2:22">
      <c r="B29" s="141">
        <v>5</v>
      </c>
      <c r="C29" s="123">
        <v>6400</v>
      </c>
      <c r="D29" s="123">
        <v>6400</v>
      </c>
      <c r="E29" s="123">
        <v>51200</v>
      </c>
      <c r="F29" s="125">
        <v>12800</v>
      </c>
    </row>
    <row r="30" spans="2:22">
      <c r="B30" s="141">
        <v>6</v>
      </c>
      <c r="C30" s="123">
        <v>7230</v>
      </c>
      <c r="D30" s="123">
        <v>7230</v>
      </c>
      <c r="E30" s="123">
        <v>57840</v>
      </c>
      <c r="F30" s="125">
        <v>14460</v>
      </c>
    </row>
    <row r="31" spans="2:22">
      <c r="B31" s="134">
        <v>7</v>
      </c>
      <c r="C31" s="123">
        <v>8180</v>
      </c>
      <c r="D31" s="123">
        <v>8180</v>
      </c>
      <c r="E31" s="123">
        <v>65440</v>
      </c>
      <c r="F31" s="125">
        <v>16360</v>
      </c>
    </row>
    <row r="32" spans="2:22">
      <c r="B32" s="141">
        <v>8</v>
      </c>
      <c r="C32" s="123">
        <v>9250</v>
      </c>
      <c r="D32" s="123">
        <v>9250</v>
      </c>
      <c r="E32" s="123">
        <v>74000</v>
      </c>
      <c r="F32" s="125">
        <v>18500</v>
      </c>
    </row>
    <row r="33" spans="2:6">
      <c r="B33" s="141">
        <v>9</v>
      </c>
      <c r="C33" s="123">
        <v>10460</v>
      </c>
      <c r="D33" s="123">
        <v>10460</v>
      </c>
      <c r="E33" s="123">
        <v>83680</v>
      </c>
      <c r="F33" s="125">
        <v>20920</v>
      </c>
    </row>
    <row r="34" spans="2:6">
      <c r="B34" s="134">
        <v>10</v>
      </c>
      <c r="C34" s="123">
        <v>11280</v>
      </c>
      <c r="D34" s="123">
        <v>11280</v>
      </c>
      <c r="E34" s="123">
        <v>90240</v>
      </c>
      <c r="F34" s="125">
        <v>22560</v>
      </c>
    </row>
    <row r="35" spans="2:6">
      <c r="B35" s="141">
        <v>11</v>
      </c>
      <c r="C35" s="123">
        <v>14180</v>
      </c>
      <c r="D35" s="123">
        <v>14180</v>
      </c>
      <c r="E35" s="123">
        <v>113440</v>
      </c>
      <c r="F35" s="125">
        <v>28360</v>
      </c>
    </row>
    <row r="36" spans="2:6">
      <c r="B36" s="141">
        <v>12</v>
      </c>
      <c r="C36" s="123">
        <v>17020</v>
      </c>
      <c r="D36" s="123">
        <v>17020</v>
      </c>
      <c r="E36" s="123">
        <v>136160</v>
      </c>
      <c r="F36" s="125">
        <v>34040</v>
      </c>
    </row>
    <row r="37" spans="2:6">
      <c r="B37" s="134">
        <v>13</v>
      </c>
      <c r="C37" s="123">
        <v>20430</v>
      </c>
      <c r="D37" s="123">
        <v>20430</v>
      </c>
      <c r="E37" s="123">
        <v>163440</v>
      </c>
      <c r="F37" s="125">
        <v>40860</v>
      </c>
    </row>
    <row r="38" spans="2:6">
      <c r="B38" s="141">
        <v>14</v>
      </c>
      <c r="C38" s="123">
        <v>24520</v>
      </c>
      <c r="D38" s="123">
        <v>24520</v>
      </c>
      <c r="E38" s="123">
        <v>196160</v>
      </c>
      <c r="F38" s="125">
        <v>49040</v>
      </c>
    </row>
    <row r="39" spans="2:6">
      <c r="B39" s="141">
        <v>15</v>
      </c>
      <c r="C39" s="123">
        <v>29420</v>
      </c>
      <c r="D39" s="123">
        <v>29420</v>
      </c>
      <c r="E39" s="123">
        <v>235360</v>
      </c>
      <c r="F39" s="125">
        <v>58840</v>
      </c>
    </row>
    <row r="40" spans="2:6">
      <c r="B40" s="134">
        <v>16</v>
      </c>
      <c r="C40" s="123">
        <v>35300</v>
      </c>
      <c r="D40" s="123">
        <v>35300</v>
      </c>
      <c r="E40" s="123">
        <v>282400</v>
      </c>
      <c r="F40" s="125">
        <v>70600</v>
      </c>
    </row>
    <row r="41" spans="2:6">
      <c r="B41" s="141">
        <v>17</v>
      </c>
      <c r="C41" s="123">
        <v>42370</v>
      </c>
      <c r="D41" s="123">
        <v>42370</v>
      </c>
      <c r="E41" s="123">
        <v>338960</v>
      </c>
      <c r="F41" s="125">
        <v>84740</v>
      </c>
    </row>
    <row r="42" spans="2:6">
      <c r="B42" s="141">
        <v>18</v>
      </c>
      <c r="C42" s="123">
        <v>50840</v>
      </c>
      <c r="D42" s="123">
        <v>50840</v>
      </c>
      <c r="E42" s="123">
        <v>406720</v>
      </c>
      <c r="F42" s="125">
        <v>101680</v>
      </c>
    </row>
    <row r="43" spans="2:6">
      <c r="B43" s="134">
        <v>19</v>
      </c>
      <c r="C43" s="123">
        <v>61000</v>
      </c>
      <c r="D43" s="123">
        <v>61000</v>
      </c>
      <c r="E43" s="123">
        <v>488000</v>
      </c>
      <c r="F43" s="125">
        <v>122000</v>
      </c>
    </row>
    <row r="44" spans="2:6">
      <c r="B44" s="141">
        <v>20</v>
      </c>
      <c r="C44" s="123">
        <v>73220</v>
      </c>
      <c r="D44" s="123">
        <v>73220</v>
      </c>
      <c r="E44" s="123">
        <v>585760</v>
      </c>
      <c r="F44" s="125">
        <v>146440</v>
      </c>
    </row>
    <row r="45" spans="2:6">
      <c r="B45" s="134" t="s">
        <v>954</v>
      </c>
      <c r="C45" s="123"/>
      <c r="D45" s="123"/>
      <c r="E45" s="123"/>
      <c r="F45" s="125"/>
    </row>
    <row r="46" ht="14.25" spans="2:6">
      <c r="B46" s="136" t="s">
        <v>960</v>
      </c>
      <c r="C46" s="137"/>
      <c r="D46" s="137"/>
      <c r="E46" s="137"/>
      <c r="F46" s="138"/>
    </row>
    <row r="49" spans="2:6">
      <c r="B49" s="2" t="s">
        <v>4155</v>
      </c>
      <c r="C49" s="2" t="s">
        <v>191</v>
      </c>
      <c r="D49" s="2" t="s">
        <v>192</v>
      </c>
      <c r="E49" s="2" t="s">
        <v>189</v>
      </c>
      <c r="F49" s="2" t="s">
        <v>190</v>
      </c>
    </row>
    <row r="50" spans="2:6">
      <c r="B50" s="2" t="s">
        <v>2719</v>
      </c>
      <c r="C50" s="123">
        <v>11280</v>
      </c>
      <c r="D50" s="123">
        <v>11280</v>
      </c>
      <c r="E50" s="123">
        <v>90240</v>
      </c>
      <c r="F50" s="123">
        <v>22560</v>
      </c>
    </row>
    <row r="51" spans="2:6">
      <c r="B51" s="2" t="s">
        <v>902</v>
      </c>
      <c r="C51" s="111">
        <v>16</v>
      </c>
      <c r="D51" s="111">
        <v>6</v>
      </c>
      <c r="E51" s="111">
        <v>21</v>
      </c>
      <c r="F51" s="111">
        <v>0</v>
      </c>
    </row>
    <row r="52" spans="2:6">
      <c r="B52" s="2" t="s">
        <v>905</v>
      </c>
      <c r="C52" s="111">
        <f>C50*C51</f>
        <v>180480</v>
      </c>
      <c r="D52" s="111">
        <f>D50*D51</f>
        <v>67680</v>
      </c>
      <c r="E52" s="111">
        <f>E50*E51</f>
        <v>1895040</v>
      </c>
      <c r="F52" s="111">
        <f>F50*F51</f>
        <v>0</v>
      </c>
    </row>
    <row r="53" ht="14.25" customHeight="1" spans="2:6">
      <c r="B53" s="2"/>
      <c r="C53" s="111"/>
      <c r="D53" s="111"/>
      <c r="E53" s="111"/>
      <c r="F53" s="111"/>
    </row>
    <row r="54" spans="2:6">
      <c r="B54" s="2" t="s">
        <v>4156</v>
      </c>
      <c r="C54" s="123">
        <v>73220</v>
      </c>
      <c r="D54" s="123">
        <v>73220</v>
      </c>
      <c r="E54" s="123">
        <v>585760</v>
      </c>
      <c r="F54" s="123">
        <v>146440</v>
      </c>
    </row>
    <row r="55" spans="2:6">
      <c r="B55" s="2" t="s">
        <v>902</v>
      </c>
      <c r="C55" s="111">
        <v>16</v>
      </c>
      <c r="D55" s="111">
        <v>6</v>
      </c>
      <c r="E55" s="111">
        <v>21</v>
      </c>
      <c r="F55" s="111">
        <v>0</v>
      </c>
    </row>
    <row r="56" spans="2:6">
      <c r="B56" s="2" t="s">
        <v>905</v>
      </c>
      <c r="C56" s="142">
        <f>C54*C55</f>
        <v>1171520</v>
      </c>
      <c r="D56" s="142">
        <f t="shared" ref="D56:F56" si="0">D54*D55</f>
        <v>439320</v>
      </c>
      <c r="E56" s="142">
        <f t="shared" si="0"/>
        <v>12300960</v>
      </c>
      <c r="F56" s="142">
        <f t="shared" si="0"/>
        <v>0</v>
      </c>
    </row>
  </sheetData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K141"/>
  <sheetViews>
    <sheetView workbookViewId="0">
      <selection activeCell="P33" sqref="P33"/>
    </sheetView>
  </sheetViews>
  <sheetFormatPr defaultColWidth="9" defaultRowHeight="13.5"/>
  <cols>
    <col min="1" max="1" width="4.5" style="72" customWidth="1"/>
    <col min="2" max="2" width="7.75" style="73" customWidth="1"/>
    <col min="3" max="6" width="12.625" style="72" customWidth="1"/>
    <col min="7" max="7" width="4.5" style="72" customWidth="1"/>
    <col min="8" max="8" width="11.125" style="73" customWidth="1"/>
    <col min="9" max="9" width="5.625" style="73" customWidth="1"/>
    <col min="10" max="10" width="6.75" style="73" customWidth="1"/>
    <col min="11" max="11" width="8.75" style="72" customWidth="1"/>
    <col min="12" max="12" width="17.25" style="72" customWidth="1"/>
    <col min="13" max="13" width="16" style="72" customWidth="1"/>
    <col min="14" max="14" width="14.75" style="72" customWidth="1"/>
    <col min="15" max="15" width="15.5" style="72" customWidth="1"/>
    <col min="16" max="16" width="5.75" style="72" customWidth="1"/>
    <col min="17" max="18" width="5.625" style="72" customWidth="1"/>
    <col min="19" max="32" width="12.625" style="72" customWidth="1"/>
    <col min="33" max="16384" width="9" style="72"/>
  </cols>
  <sheetData>
    <row r="2" spans="2:26">
      <c r="C2" s="74" t="s">
        <v>191</v>
      </c>
      <c r="D2" s="75" t="s">
        <v>689</v>
      </c>
      <c r="E2" s="75" t="s">
        <v>690</v>
      </c>
      <c r="F2" s="76" t="s">
        <v>691</v>
      </c>
      <c r="G2" s="77"/>
      <c r="H2" s="78" t="s">
        <v>692</v>
      </c>
      <c r="I2" s="78" t="s">
        <v>954</v>
      </c>
      <c r="J2" s="79" t="s">
        <v>4157</v>
      </c>
      <c r="K2" s="77"/>
      <c r="L2" s="77"/>
      <c r="M2" s="80"/>
      <c r="N2" s="80"/>
      <c r="O2" s="80"/>
      <c r="Z2" s="81"/>
    </row>
    <row r="3" spans="2:26">
      <c r="B3" s="73">
        <v>1</v>
      </c>
      <c r="C3" s="82" t="s">
        <v>331</v>
      </c>
      <c r="D3" s="83" t="s">
        <v>36</v>
      </c>
      <c r="E3" s="83" t="s">
        <v>62</v>
      </c>
      <c r="F3" s="84" t="s">
        <v>39</v>
      </c>
      <c r="G3" s="80"/>
      <c r="H3" s="75" t="s">
        <v>894</v>
      </c>
      <c r="I3" s="75"/>
      <c r="J3" s="75"/>
      <c r="K3" s="80"/>
      <c r="L3" s="85" t="s">
        <v>4158</v>
      </c>
      <c r="M3" s="85" t="s">
        <v>4159</v>
      </c>
      <c r="N3" s="85" t="s">
        <v>4160</v>
      </c>
      <c r="O3" s="85" t="s">
        <v>3220</v>
      </c>
      <c r="Z3" s="81"/>
    </row>
    <row r="4" spans="2:26">
      <c r="B4" s="73">
        <v>1</v>
      </c>
      <c r="C4" s="82" t="s">
        <v>275</v>
      </c>
      <c r="D4" s="83" t="s">
        <v>155</v>
      </c>
      <c r="E4" s="83" t="s">
        <v>701</v>
      </c>
      <c r="F4" s="84" t="s">
        <v>49</v>
      </c>
      <c r="G4" s="80"/>
      <c r="H4" s="75" t="s">
        <v>1019</v>
      </c>
      <c r="I4" s="75"/>
      <c r="J4" s="75"/>
      <c r="K4" s="80"/>
      <c r="L4" s="85" t="s">
        <v>4161</v>
      </c>
      <c r="M4" s="85" t="s">
        <v>3181</v>
      </c>
      <c r="N4" s="85" t="s">
        <v>3242</v>
      </c>
      <c r="O4" s="85" t="s">
        <v>4162</v>
      </c>
    </row>
    <row r="5" spans="2:26">
      <c r="B5" s="73">
        <v>1</v>
      </c>
      <c r="C5" s="82" t="s">
        <v>361</v>
      </c>
      <c r="D5" s="83" t="s">
        <v>135</v>
      </c>
      <c r="E5" s="84" t="s">
        <v>711</v>
      </c>
      <c r="F5" s="84" t="s">
        <v>356</v>
      </c>
      <c r="G5" s="80"/>
      <c r="H5" s="86" t="s">
        <v>737</v>
      </c>
      <c r="I5" s="86"/>
      <c r="J5" s="75"/>
      <c r="K5" s="80"/>
      <c r="L5" s="85" t="s">
        <v>4163</v>
      </c>
      <c r="M5" s="85" t="s">
        <v>4164</v>
      </c>
      <c r="N5" s="85" t="s">
        <v>4165</v>
      </c>
      <c r="O5" s="85" t="s">
        <v>4166</v>
      </c>
    </row>
    <row r="6" spans="2:26">
      <c r="B6" s="73">
        <v>1</v>
      </c>
      <c r="C6" s="82" t="s">
        <v>305</v>
      </c>
      <c r="D6" s="83" t="s">
        <v>132</v>
      </c>
      <c r="E6" s="84" t="s">
        <v>49</v>
      </c>
      <c r="F6" s="84" t="s">
        <v>39</v>
      </c>
      <c r="G6" s="80"/>
      <c r="H6" s="75" t="s">
        <v>894</v>
      </c>
      <c r="I6" s="75"/>
      <c r="J6" s="75"/>
      <c r="K6" s="80"/>
      <c r="L6" s="85" t="s">
        <v>4167</v>
      </c>
      <c r="M6" s="85" t="s">
        <v>4168</v>
      </c>
      <c r="N6" s="85"/>
      <c r="O6" s="85" t="s">
        <v>4169</v>
      </c>
    </row>
    <row r="7" spans="2:26">
      <c r="B7" s="73">
        <v>1</v>
      </c>
      <c r="C7" s="82" t="s">
        <v>383</v>
      </c>
      <c r="D7" s="83" t="s">
        <v>699</v>
      </c>
      <c r="E7" s="83" t="s">
        <v>710</v>
      </c>
      <c r="F7" s="84" t="s">
        <v>716</v>
      </c>
      <c r="G7" s="80"/>
      <c r="H7" s="75" t="s">
        <v>4170</v>
      </c>
      <c r="I7" s="75"/>
      <c r="J7" s="75"/>
      <c r="K7" s="80"/>
      <c r="L7" s="85" t="s">
        <v>4171</v>
      </c>
      <c r="M7" s="87" t="s">
        <v>4172</v>
      </c>
      <c r="N7" s="85"/>
      <c r="O7" s="85" t="s">
        <v>4173</v>
      </c>
    </row>
    <row r="8" spans="2:26">
      <c r="B8" s="73">
        <v>1</v>
      </c>
      <c r="C8" s="82" t="s">
        <v>343</v>
      </c>
      <c r="D8" s="83" t="s">
        <v>57</v>
      </c>
      <c r="E8" s="84" t="s">
        <v>59</v>
      </c>
      <c r="F8" s="84" t="s">
        <v>44</v>
      </c>
      <c r="G8" s="80"/>
      <c r="H8" s="75" t="s">
        <v>909</v>
      </c>
      <c r="I8" s="75"/>
      <c r="J8" s="75"/>
      <c r="K8" s="80"/>
      <c r="L8" s="85" t="s">
        <v>4174</v>
      </c>
      <c r="M8" s="85"/>
      <c r="N8" s="85"/>
      <c r="O8" s="85" t="s">
        <v>4175</v>
      </c>
    </row>
    <row r="9" spans="2:26">
      <c r="B9" s="73">
        <v>1</v>
      </c>
      <c r="C9" s="82" t="s">
        <v>339</v>
      </c>
      <c r="D9" s="83" t="s">
        <v>65</v>
      </c>
      <c r="E9" s="83" t="s">
        <v>110</v>
      </c>
      <c r="F9" s="84" t="s">
        <v>715</v>
      </c>
      <c r="G9" s="80"/>
      <c r="H9" s="75" t="s">
        <v>894</v>
      </c>
      <c r="I9" s="75"/>
      <c r="J9" s="75"/>
      <c r="K9" s="80"/>
      <c r="L9" s="85" t="s">
        <v>4176</v>
      </c>
      <c r="M9" s="85"/>
      <c r="N9" s="85"/>
      <c r="O9" s="85" t="s">
        <v>3222</v>
      </c>
    </row>
    <row r="10" spans="2:26">
      <c r="B10" s="73">
        <v>1</v>
      </c>
      <c r="C10" s="82" t="s">
        <v>312</v>
      </c>
      <c r="D10" s="83" t="s">
        <v>117</v>
      </c>
      <c r="E10" s="84" t="s">
        <v>731</v>
      </c>
      <c r="F10" s="84" t="s">
        <v>732</v>
      </c>
      <c r="G10" s="80"/>
      <c r="H10" s="75" t="s">
        <v>737</v>
      </c>
      <c r="I10" s="75"/>
      <c r="J10" s="75"/>
      <c r="K10" s="80"/>
      <c r="L10" s="85" t="s">
        <v>4177</v>
      </c>
      <c r="M10" s="85"/>
      <c r="N10" s="85"/>
      <c r="O10" s="85" t="s">
        <v>4178</v>
      </c>
    </row>
    <row r="11" spans="2:26">
      <c r="B11" s="73">
        <v>1</v>
      </c>
      <c r="C11" s="82" t="s">
        <v>321</v>
      </c>
      <c r="D11" s="83" t="s">
        <v>117</v>
      </c>
      <c r="E11" s="84" t="s">
        <v>731</v>
      </c>
      <c r="F11" s="84" t="s">
        <v>732</v>
      </c>
      <c r="G11" s="80"/>
      <c r="H11" s="75" t="s">
        <v>737</v>
      </c>
      <c r="I11" s="75"/>
      <c r="J11" s="75"/>
      <c r="K11" s="80"/>
      <c r="L11" s="85" t="s">
        <v>4179</v>
      </c>
      <c r="M11" s="85"/>
      <c r="N11" s="85"/>
      <c r="O11" s="85"/>
    </row>
    <row r="12" spans="2:26">
      <c r="B12" s="73">
        <v>1</v>
      </c>
      <c r="C12" s="82" t="s">
        <v>326</v>
      </c>
      <c r="D12" s="83" t="s">
        <v>124</v>
      </c>
      <c r="E12" s="84" t="s">
        <v>739</v>
      </c>
      <c r="F12" s="84" t="s">
        <v>719</v>
      </c>
      <c r="G12" s="80"/>
      <c r="H12" s="75" t="s">
        <v>737</v>
      </c>
      <c r="I12" s="75"/>
      <c r="J12" s="75"/>
      <c r="K12" s="80"/>
      <c r="L12" s="85" t="s">
        <v>4180</v>
      </c>
      <c r="M12" s="75"/>
      <c r="N12" s="75"/>
      <c r="O12" s="75"/>
    </row>
    <row r="13" spans="2:26">
      <c r="B13" s="73">
        <v>1</v>
      </c>
      <c r="C13" s="82" t="s">
        <v>308</v>
      </c>
      <c r="D13" s="83" t="s">
        <v>135</v>
      </c>
      <c r="E13" s="83" t="s">
        <v>132</v>
      </c>
      <c r="F13" s="84" t="s">
        <v>719</v>
      </c>
      <c r="G13" s="80"/>
      <c r="H13" s="75" t="s">
        <v>737</v>
      </c>
      <c r="I13" s="75"/>
      <c r="J13" s="75"/>
      <c r="K13" s="80"/>
      <c r="L13" s="75"/>
      <c r="M13" s="75"/>
      <c r="N13" s="75"/>
      <c r="O13" s="75"/>
    </row>
    <row r="14" spans="2:26">
      <c r="B14" s="73">
        <v>1</v>
      </c>
      <c r="C14" s="82" t="s">
        <v>381</v>
      </c>
      <c r="D14" s="83" t="s">
        <v>58</v>
      </c>
      <c r="E14" s="83" t="s">
        <v>110</v>
      </c>
      <c r="F14" s="84" t="s">
        <v>29</v>
      </c>
      <c r="G14" s="80"/>
      <c r="H14" s="75" t="s">
        <v>909</v>
      </c>
      <c r="I14" s="75"/>
      <c r="J14" s="75"/>
      <c r="K14" s="80"/>
      <c r="L14" s="88" t="s">
        <v>4181</v>
      </c>
      <c r="M14" s="88" t="s">
        <v>4182</v>
      </c>
      <c r="N14" s="88" t="s">
        <v>3212</v>
      </c>
      <c r="O14" s="88" t="s">
        <v>3235</v>
      </c>
    </row>
    <row r="15" spans="2:26">
      <c r="B15" s="73">
        <v>1</v>
      </c>
      <c r="C15" s="82" t="s">
        <v>387</v>
      </c>
      <c r="D15" s="83" t="s">
        <v>47</v>
      </c>
      <c r="E15" s="84" t="s">
        <v>750</v>
      </c>
      <c r="F15" s="84" t="s">
        <v>716</v>
      </c>
      <c r="G15" s="80"/>
      <c r="H15" s="75" t="s">
        <v>894</v>
      </c>
      <c r="I15" s="75"/>
      <c r="J15" s="75"/>
      <c r="K15" s="80"/>
      <c r="L15" s="88" t="s">
        <v>4183</v>
      </c>
      <c r="M15" s="88" t="s">
        <v>4184</v>
      </c>
      <c r="N15" s="88" t="s">
        <v>4185</v>
      </c>
      <c r="O15" s="88" t="s">
        <v>4186</v>
      </c>
    </row>
    <row r="16" spans="2:26">
      <c r="B16" s="73">
        <v>1</v>
      </c>
      <c r="C16" s="82" t="s">
        <v>392</v>
      </c>
      <c r="D16" s="83" t="s">
        <v>135</v>
      </c>
      <c r="E16" s="84" t="s">
        <v>26</v>
      </c>
      <c r="F16" s="84" t="s">
        <v>99</v>
      </c>
      <c r="G16" s="80"/>
      <c r="H16" s="75" t="s">
        <v>737</v>
      </c>
      <c r="I16" s="75"/>
      <c r="J16" s="75"/>
      <c r="K16" s="80"/>
      <c r="L16" s="88" t="s">
        <v>4187</v>
      </c>
      <c r="M16" s="88" t="s">
        <v>3183</v>
      </c>
      <c r="N16" s="88" t="s">
        <v>4188</v>
      </c>
      <c r="O16" s="88" t="s">
        <v>4189</v>
      </c>
    </row>
    <row r="17" spans="2:16">
      <c r="B17" s="73">
        <v>1</v>
      </c>
      <c r="C17" s="82" t="s">
        <v>403</v>
      </c>
      <c r="D17" s="84" t="s">
        <v>10</v>
      </c>
      <c r="E17" s="84" t="s">
        <v>720</v>
      </c>
      <c r="F17" s="84" t="s">
        <v>758</v>
      </c>
      <c r="G17" s="80"/>
      <c r="H17" s="75" t="s">
        <v>763</v>
      </c>
      <c r="I17" s="75"/>
      <c r="J17" s="75"/>
      <c r="K17" s="80"/>
      <c r="L17" s="88" t="s">
        <v>4190</v>
      </c>
      <c r="M17" s="88" t="s">
        <v>4191</v>
      </c>
      <c r="N17" s="88" t="s">
        <v>4192</v>
      </c>
      <c r="O17" s="88" t="s">
        <v>4193</v>
      </c>
    </row>
    <row r="18" spans="2:16">
      <c r="B18" s="73">
        <v>1</v>
      </c>
      <c r="C18" s="82" t="s">
        <v>412</v>
      </c>
      <c r="D18" s="84" t="s">
        <v>73</v>
      </c>
      <c r="E18" s="84" t="s">
        <v>764</v>
      </c>
      <c r="F18" s="84" t="s">
        <v>756</v>
      </c>
      <c r="G18" s="80"/>
      <c r="H18" s="75" t="s">
        <v>737</v>
      </c>
      <c r="I18" s="75"/>
      <c r="J18" s="75"/>
      <c r="K18" s="80"/>
      <c r="L18" s="89" t="s">
        <v>4194</v>
      </c>
      <c r="M18" s="88"/>
      <c r="N18" s="88" t="s">
        <v>4195</v>
      </c>
      <c r="O18" s="88" t="s">
        <v>4196</v>
      </c>
      <c r="P18" s="90"/>
    </row>
    <row r="19" spans="2:16">
      <c r="B19" s="73">
        <v>1</v>
      </c>
      <c r="C19" s="82" t="s">
        <v>768</v>
      </c>
      <c r="D19" s="83" t="s">
        <v>62</v>
      </c>
      <c r="E19" s="83" t="s">
        <v>61</v>
      </c>
      <c r="F19" s="84" t="s">
        <v>9</v>
      </c>
      <c r="G19" s="80"/>
      <c r="H19" s="86" t="s">
        <v>773</v>
      </c>
      <c r="I19" s="86"/>
      <c r="J19" s="75"/>
      <c r="K19" s="80"/>
      <c r="L19" s="88" t="s">
        <v>4197</v>
      </c>
      <c r="M19" s="88"/>
      <c r="N19" s="88"/>
      <c r="O19" s="88" t="s">
        <v>4198</v>
      </c>
      <c r="P19" s="90"/>
    </row>
    <row r="20" spans="2:16">
      <c r="C20" s="91" t="s">
        <v>774</v>
      </c>
      <c r="D20" s="83" t="s">
        <v>155</v>
      </c>
      <c r="E20" s="83" t="s">
        <v>42</v>
      </c>
      <c r="F20" s="84" t="s">
        <v>22</v>
      </c>
      <c r="G20" s="80"/>
      <c r="H20" s="92" t="s">
        <v>773</v>
      </c>
      <c r="I20" s="92">
        <v>2</v>
      </c>
      <c r="J20" s="75"/>
      <c r="K20" s="80"/>
      <c r="L20" s="88" t="s">
        <v>4199</v>
      </c>
      <c r="M20" s="88"/>
      <c r="N20" s="88"/>
      <c r="O20" s="88" t="s">
        <v>4200</v>
      </c>
      <c r="P20" s="90"/>
    </row>
    <row r="21" spans="2:16">
      <c r="B21" s="73">
        <v>1</v>
      </c>
      <c r="C21" s="82" t="s">
        <v>780</v>
      </c>
      <c r="D21" s="83" t="s">
        <v>47</v>
      </c>
      <c r="E21" s="83" t="s">
        <v>147</v>
      </c>
      <c r="F21" s="84" t="s">
        <v>731</v>
      </c>
      <c r="G21" s="80"/>
      <c r="H21" s="86" t="s">
        <v>773</v>
      </c>
      <c r="I21" s="86"/>
      <c r="J21" s="75"/>
      <c r="K21" s="80"/>
      <c r="L21" s="88" t="s">
        <v>4201</v>
      </c>
      <c r="M21" s="88"/>
      <c r="N21" s="88"/>
      <c r="O21" s="89" t="s">
        <v>4202</v>
      </c>
      <c r="P21" s="90"/>
    </row>
    <row r="22" spans="2:16">
      <c r="B22" s="73">
        <v>1</v>
      </c>
      <c r="C22" s="82" t="s">
        <v>785</v>
      </c>
      <c r="D22" s="83" t="s">
        <v>57</v>
      </c>
      <c r="E22" s="83" t="s">
        <v>110</v>
      </c>
      <c r="F22" s="84" t="s">
        <v>18</v>
      </c>
      <c r="G22" s="80"/>
      <c r="H22" s="86" t="s">
        <v>737</v>
      </c>
      <c r="I22" s="86"/>
      <c r="J22" s="75"/>
      <c r="K22" s="80"/>
      <c r="L22" s="88" t="s">
        <v>4203</v>
      </c>
      <c r="M22" s="88"/>
      <c r="N22" s="88"/>
      <c r="O22" s="88"/>
      <c r="P22" s="90"/>
    </row>
    <row r="23" spans="2:16">
      <c r="B23" s="73">
        <v>1</v>
      </c>
      <c r="C23" s="82" t="s">
        <v>790</v>
      </c>
      <c r="D23" s="83" t="s">
        <v>791</v>
      </c>
      <c r="E23" s="83" t="s">
        <v>743</v>
      </c>
      <c r="F23" s="84" t="s">
        <v>44</v>
      </c>
      <c r="G23" s="80"/>
      <c r="H23" s="75" t="s">
        <v>773</v>
      </c>
      <c r="I23" s="75"/>
      <c r="J23" s="75"/>
      <c r="K23" s="80"/>
      <c r="L23" s="88" t="s">
        <v>4204</v>
      </c>
      <c r="M23" s="88"/>
      <c r="N23" s="88"/>
      <c r="O23" s="88"/>
      <c r="P23" s="90"/>
    </row>
    <row r="24" spans="2:16">
      <c r="B24" s="73">
        <v>1</v>
      </c>
      <c r="C24" s="82" t="s">
        <v>797</v>
      </c>
      <c r="D24" s="83" t="s">
        <v>132</v>
      </c>
      <c r="E24" s="83" t="s">
        <v>48</v>
      </c>
      <c r="F24" s="84" t="s">
        <v>750</v>
      </c>
      <c r="G24" s="80"/>
      <c r="H24" s="86" t="s">
        <v>1018</v>
      </c>
      <c r="I24" s="86"/>
      <c r="J24" s="75"/>
      <c r="K24" s="80"/>
      <c r="L24" s="89" t="s">
        <v>4205</v>
      </c>
      <c r="M24" s="88"/>
      <c r="N24" s="88"/>
      <c r="O24" s="88"/>
      <c r="P24" s="90"/>
    </row>
    <row r="25" spans="2:16">
      <c r="B25" s="73">
        <v>1</v>
      </c>
      <c r="C25" s="82" t="s">
        <v>805</v>
      </c>
      <c r="D25" s="83" t="s">
        <v>46</v>
      </c>
      <c r="E25" s="83" t="s">
        <v>53</v>
      </c>
      <c r="F25" s="84" t="s">
        <v>10</v>
      </c>
      <c r="G25" s="80"/>
      <c r="H25" s="86" t="s">
        <v>773</v>
      </c>
      <c r="I25" s="86"/>
      <c r="J25" s="75"/>
      <c r="K25" s="80"/>
      <c r="L25" s="88" t="s">
        <v>4206</v>
      </c>
      <c r="M25" s="88"/>
      <c r="N25" s="88"/>
      <c r="O25" s="88"/>
      <c r="P25" s="90"/>
    </row>
    <row r="26" spans="2:16">
      <c r="C26" s="91" t="s">
        <v>811</v>
      </c>
      <c r="D26" s="83" t="s">
        <v>41</v>
      </c>
      <c r="E26" s="83" t="s">
        <v>36</v>
      </c>
      <c r="F26" s="84" t="s">
        <v>14</v>
      </c>
      <c r="G26" s="80"/>
      <c r="H26" s="93" t="s">
        <v>737</v>
      </c>
      <c r="I26" s="93">
        <v>32</v>
      </c>
      <c r="J26" s="75"/>
      <c r="K26" s="80"/>
      <c r="L26" s="88" t="s">
        <v>4207</v>
      </c>
      <c r="M26" s="88"/>
      <c r="N26" s="88"/>
      <c r="O26" s="88"/>
      <c r="P26" s="90"/>
    </row>
    <row r="27" spans="2:16">
      <c r="B27" s="73">
        <v>1</v>
      </c>
      <c r="C27" s="82" t="s">
        <v>816</v>
      </c>
      <c r="D27" s="83" t="s">
        <v>43</v>
      </c>
      <c r="E27" s="83" t="s">
        <v>65</v>
      </c>
      <c r="F27" s="84" t="s">
        <v>781</v>
      </c>
      <c r="G27" s="80"/>
      <c r="H27" s="75" t="s">
        <v>773</v>
      </c>
      <c r="I27" s="75"/>
      <c r="J27" s="75"/>
      <c r="K27" s="80"/>
      <c r="L27" s="75"/>
      <c r="M27" s="75"/>
      <c r="N27" s="75"/>
      <c r="O27" s="75"/>
      <c r="P27" s="80"/>
    </row>
    <row r="28" spans="2:16">
      <c r="C28" s="91" t="s">
        <v>821</v>
      </c>
      <c r="D28" s="83" t="s">
        <v>106</v>
      </c>
      <c r="E28" s="83" t="s">
        <v>117</v>
      </c>
      <c r="F28" s="94" t="s">
        <v>822</v>
      </c>
      <c r="G28" s="80"/>
      <c r="H28" s="92" t="s">
        <v>773</v>
      </c>
      <c r="I28" s="92">
        <v>11</v>
      </c>
      <c r="J28" s="75"/>
      <c r="K28" s="80"/>
      <c r="L28" s="80"/>
      <c r="M28" s="80"/>
      <c r="N28" s="80"/>
      <c r="O28" s="80"/>
      <c r="P28" s="80"/>
    </row>
    <row r="29" spans="2:16">
      <c r="B29" s="73">
        <v>1</v>
      </c>
      <c r="C29" s="82" t="s">
        <v>826</v>
      </c>
      <c r="D29" s="83" t="s">
        <v>41</v>
      </c>
      <c r="E29" s="83" t="s">
        <v>58</v>
      </c>
      <c r="F29" s="84" t="s">
        <v>761</v>
      </c>
      <c r="G29" s="80"/>
      <c r="H29" s="75" t="s">
        <v>773</v>
      </c>
      <c r="I29" s="75">
        <v>783</v>
      </c>
      <c r="J29" s="75">
        <v>9</v>
      </c>
      <c r="K29" s="80"/>
      <c r="L29" s="80"/>
      <c r="M29" s="80"/>
      <c r="N29" s="80"/>
      <c r="O29" s="80"/>
      <c r="P29" s="80"/>
    </row>
    <row r="30" spans="2:16">
      <c r="B30" s="73">
        <v>1</v>
      </c>
      <c r="C30" s="82" t="s">
        <v>831</v>
      </c>
      <c r="D30" s="83" t="s">
        <v>47</v>
      </c>
      <c r="E30" s="83" t="s">
        <v>147</v>
      </c>
      <c r="F30" s="84" t="s">
        <v>766</v>
      </c>
      <c r="G30" s="80"/>
      <c r="H30" s="75" t="s">
        <v>773</v>
      </c>
      <c r="I30" s="75"/>
      <c r="J30" s="75"/>
      <c r="K30" s="80"/>
      <c r="L30" s="80"/>
      <c r="M30" s="80"/>
      <c r="N30" s="80"/>
      <c r="O30" s="80"/>
      <c r="P30" s="80"/>
    </row>
    <row r="31" spans="2:16">
      <c r="B31" s="73">
        <v>1</v>
      </c>
      <c r="C31" s="82" t="s">
        <v>835</v>
      </c>
      <c r="D31" s="83" t="s">
        <v>135</v>
      </c>
      <c r="E31" s="83" t="s">
        <v>48</v>
      </c>
      <c r="F31" s="84" t="s">
        <v>22</v>
      </c>
      <c r="G31" s="80"/>
      <c r="H31" s="75" t="s">
        <v>773</v>
      </c>
      <c r="I31" s="75"/>
      <c r="J31" s="75"/>
      <c r="K31" s="80"/>
      <c r="L31" s="80"/>
      <c r="M31" s="80"/>
      <c r="N31" s="80"/>
      <c r="O31" s="80"/>
      <c r="P31" s="80"/>
    </row>
    <row r="32" spans="2:16">
      <c r="B32" s="73">
        <f>COUNT(B3:B31)</f>
        <v>26</v>
      </c>
      <c r="C32" s="73">
        <f>COUNTA(C3:C31)</f>
        <v>29</v>
      </c>
    </row>
    <row r="34" spans="2:15">
      <c r="C34" s="95" t="s">
        <v>189</v>
      </c>
      <c r="D34" s="75" t="s">
        <v>689</v>
      </c>
      <c r="E34" s="75" t="s">
        <v>690</v>
      </c>
      <c r="F34" s="76" t="s">
        <v>691</v>
      </c>
      <c r="G34" s="75"/>
      <c r="H34" s="78" t="s">
        <v>692</v>
      </c>
      <c r="I34" s="78" t="s">
        <v>954</v>
      </c>
      <c r="J34" s="79" t="s">
        <v>4157</v>
      </c>
      <c r="K34" s="75"/>
      <c r="L34" s="75"/>
      <c r="M34" s="75"/>
      <c r="N34" s="75"/>
      <c r="O34" s="75"/>
    </row>
    <row r="35" spans="2:15">
      <c r="B35" s="73">
        <v>1</v>
      </c>
      <c r="C35" s="82" t="s">
        <v>337</v>
      </c>
      <c r="D35" s="96" t="s">
        <v>48</v>
      </c>
      <c r="E35" s="97" t="s">
        <v>13</v>
      </c>
      <c r="F35" s="97" t="s">
        <v>356</v>
      </c>
      <c r="G35" s="75"/>
      <c r="H35" s="75" t="s">
        <v>894</v>
      </c>
      <c r="I35" s="75"/>
      <c r="J35" s="75"/>
      <c r="K35" s="75"/>
      <c r="L35" s="85" t="s">
        <v>4208</v>
      </c>
      <c r="M35" s="85" t="s">
        <v>4209</v>
      </c>
      <c r="N35" s="85" t="s">
        <v>3182</v>
      </c>
      <c r="O35" s="85" t="s">
        <v>4210</v>
      </c>
    </row>
    <row r="36" spans="2:15">
      <c r="B36" s="73">
        <v>1</v>
      </c>
      <c r="C36" s="82" t="s">
        <v>333</v>
      </c>
      <c r="D36" s="96" t="s">
        <v>147</v>
      </c>
      <c r="E36" s="96" t="s">
        <v>704</v>
      </c>
      <c r="F36" s="97" t="s">
        <v>705</v>
      </c>
      <c r="G36" s="75"/>
      <c r="H36" s="75" t="s">
        <v>894</v>
      </c>
      <c r="I36" s="75"/>
      <c r="J36" s="75"/>
      <c r="K36" s="75"/>
      <c r="L36" s="85" t="s">
        <v>4161</v>
      </c>
      <c r="M36" s="85" t="s">
        <v>3179</v>
      </c>
      <c r="N36" s="85" t="s">
        <v>4211</v>
      </c>
      <c r="O36" s="85" t="s">
        <v>4212</v>
      </c>
    </row>
    <row r="37" spans="2:15">
      <c r="B37" s="73">
        <v>1</v>
      </c>
      <c r="C37" s="82" t="s">
        <v>267</v>
      </c>
      <c r="D37" s="96" t="s">
        <v>713</v>
      </c>
      <c r="E37" s="97" t="s">
        <v>708</v>
      </c>
      <c r="F37" s="97" t="s">
        <v>707</v>
      </c>
      <c r="G37" s="75"/>
      <c r="H37" s="98" t="s">
        <v>899</v>
      </c>
      <c r="I37" s="75"/>
      <c r="J37" s="75"/>
      <c r="K37" s="75"/>
      <c r="L37" s="85" t="s">
        <v>4213</v>
      </c>
      <c r="M37" s="85" t="s">
        <v>3180</v>
      </c>
      <c r="N37" s="85" t="s">
        <v>4214</v>
      </c>
      <c r="O37" s="85" t="s">
        <v>4166</v>
      </c>
    </row>
    <row r="38" spans="2:15">
      <c r="B38" s="73">
        <v>1</v>
      </c>
      <c r="C38" s="82" t="s">
        <v>294</v>
      </c>
      <c r="D38" s="96" t="s">
        <v>106</v>
      </c>
      <c r="E38" s="97" t="s">
        <v>22</v>
      </c>
      <c r="F38" s="97" t="s">
        <v>719</v>
      </c>
      <c r="G38" s="75"/>
      <c r="H38" s="75" t="s">
        <v>737</v>
      </c>
      <c r="I38" s="75"/>
      <c r="J38" s="75"/>
      <c r="K38" s="75"/>
      <c r="L38" s="85" t="s">
        <v>4180</v>
      </c>
      <c r="M38" s="87" t="s">
        <v>4215</v>
      </c>
      <c r="N38" s="85" t="s">
        <v>4216</v>
      </c>
      <c r="O38" s="85" t="s">
        <v>4217</v>
      </c>
    </row>
    <row r="39" spans="2:15">
      <c r="B39" s="73">
        <v>1</v>
      </c>
      <c r="C39" s="82" t="s">
        <v>287</v>
      </c>
      <c r="D39" s="83" t="s">
        <v>701</v>
      </c>
      <c r="E39" s="84" t="s">
        <v>707</v>
      </c>
      <c r="F39" s="84" t="s">
        <v>49</v>
      </c>
      <c r="G39" s="75"/>
      <c r="H39" s="75" t="s">
        <v>737</v>
      </c>
      <c r="I39" s="75"/>
      <c r="J39" s="75"/>
      <c r="K39" s="75"/>
      <c r="L39" s="85" t="s">
        <v>4167</v>
      </c>
      <c r="M39" s="85" t="s">
        <v>3178</v>
      </c>
      <c r="N39" s="85" t="s">
        <v>4218</v>
      </c>
      <c r="O39" s="85" t="s">
        <v>4219</v>
      </c>
    </row>
    <row r="40" spans="2:15">
      <c r="C40" s="99" t="s">
        <v>345</v>
      </c>
      <c r="D40" s="100" t="s">
        <v>57</v>
      </c>
      <c r="E40" s="96" t="s">
        <v>724</v>
      </c>
      <c r="F40" s="97" t="s">
        <v>44</v>
      </c>
      <c r="G40" s="75"/>
      <c r="H40" s="75" t="s">
        <v>909</v>
      </c>
      <c r="I40" s="75">
        <v>722</v>
      </c>
      <c r="J40" s="75">
        <v>5</v>
      </c>
      <c r="K40" s="75"/>
      <c r="L40" s="85" t="s">
        <v>4220</v>
      </c>
      <c r="M40" s="85"/>
      <c r="N40" s="85" t="s">
        <v>4221</v>
      </c>
      <c r="O40" s="85" t="s">
        <v>4222</v>
      </c>
    </row>
    <row r="41" spans="2:15">
      <c r="B41" s="73">
        <v>1</v>
      </c>
      <c r="C41" s="82" t="s">
        <v>356</v>
      </c>
      <c r="D41" s="96" t="s">
        <v>125</v>
      </c>
      <c r="E41" s="97" t="s">
        <v>13</v>
      </c>
      <c r="F41" s="97" t="s">
        <v>356</v>
      </c>
      <c r="G41" s="75"/>
      <c r="H41" s="101" t="s">
        <v>912</v>
      </c>
      <c r="I41" s="75"/>
      <c r="J41" s="75"/>
      <c r="K41" s="75"/>
      <c r="L41" s="85" t="s">
        <v>4176</v>
      </c>
      <c r="M41" s="85"/>
      <c r="N41" s="85"/>
      <c r="O41" s="87" t="s">
        <v>4223</v>
      </c>
    </row>
    <row r="42" spans="2:15">
      <c r="B42" s="73">
        <v>1</v>
      </c>
      <c r="C42" s="82" t="s">
        <v>372</v>
      </c>
      <c r="D42" s="96" t="s">
        <v>48</v>
      </c>
      <c r="E42" s="96" t="s">
        <v>125</v>
      </c>
      <c r="F42" s="97" t="s">
        <v>356</v>
      </c>
      <c r="G42" s="75"/>
      <c r="H42" s="75" t="s">
        <v>737</v>
      </c>
      <c r="I42" s="75"/>
      <c r="J42" s="75"/>
      <c r="K42" s="75"/>
      <c r="L42" s="85" t="s">
        <v>4224</v>
      </c>
      <c r="M42" s="85"/>
      <c r="N42" s="85"/>
      <c r="O42" s="87" t="s">
        <v>4225</v>
      </c>
    </row>
    <row r="43" spans="2:15">
      <c r="B43" s="73">
        <v>1</v>
      </c>
      <c r="C43" s="82" t="s">
        <v>315</v>
      </c>
      <c r="D43" s="96" t="s">
        <v>106</v>
      </c>
      <c r="E43" s="97" t="s">
        <v>32</v>
      </c>
      <c r="F43" s="97" t="s">
        <v>738</v>
      </c>
      <c r="G43" s="75"/>
      <c r="H43" s="75" t="s">
        <v>737</v>
      </c>
      <c r="I43" s="75"/>
      <c r="J43" s="75"/>
      <c r="K43" s="75"/>
      <c r="L43" s="85" t="s">
        <v>4226</v>
      </c>
      <c r="M43" s="85"/>
      <c r="N43" s="85"/>
      <c r="O43" s="85" t="s">
        <v>4227</v>
      </c>
    </row>
    <row r="44" spans="2:15">
      <c r="B44" s="73">
        <v>1</v>
      </c>
      <c r="C44" s="82" t="s">
        <v>302</v>
      </c>
      <c r="D44" s="96" t="s">
        <v>121</v>
      </c>
      <c r="E44" s="97" t="s">
        <v>740</v>
      </c>
      <c r="F44" s="97" t="s">
        <v>71</v>
      </c>
      <c r="G44" s="75"/>
      <c r="H44" s="75" t="s">
        <v>894</v>
      </c>
      <c r="I44" s="75"/>
      <c r="J44" s="75"/>
      <c r="K44" s="75"/>
      <c r="L44" s="87" t="s">
        <v>4228</v>
      </c>
      <c r="M44" s="85"/>
      <c r="N44" s="85"/>
      <c r="O44" s="85" t="s">
        <v>4229</v>
      </c>
    </row>
    <row r="45" spans="2:15">
      <c r="B45" s="73">
        <v>1</v>
      </c>
      <c r="C45" s="82" t="s">
        <v>744</v>
      </c>
      <c r="D45" s="96" t="s">
        <v>699</v>
      </c>
      <c r="E45" s="97" t="s">
        <v>24</v>
      </c>
      <c r="F45" s="97" t="s">
        <v>71</v>
      </c>
      <c r="G45" s="75"/>
      <c r="H45" s="75" t="s">
        <v>737</v>
      </c>
      <c r="I45" s="75"/>
      <c r="J45" s="75"/>
      <c r="K45" s="75"/>
      <c r="L45" s="87" t="s">
        <v>4230</v>
      </c>
      <c r="M45" s="85"/>
      <c r="N45" s="85"/>
      <c r="O45" s="85"/>
    </row>
    <row r="46" spans="2:15">
      <c r="B46" s="73">
        <v>1</v>
      </c>
      <c r="C46" s="82" t="s">
        <v>377</v>
      </c>
      <c r="D46" s="96" t="s">
        <v>58</v>
      </c>
      <c r="E46" s="96" t="s">
        <v>724</v>
      </c>
      <c r="F46" s="97" t="s">
        <v>2</v>
      </c>
      <c r="G46" s="75"/>
      <c r="H46" s="75" t="s">
        <v>909</v>
      </c>
      <c r="I46" s="75"/>
      <c r="J46" s="75"/>
      <c r="K46" s="75"/>
      <c r="L46" s="75"/>
      <c r="M46" s="75"/>
      <c r="N46" s="75"/>
      <c r="O46" s="75"/>
    </row>
    <row r="47" spans="2:15">
      <c r="B47" s="73">
        <v>1</v>
      </c>
      <c r="C47" s="82" t="s">
        <v>363</v>
      </c>
      <c r="D47" s="96" t="s">
        <v>135</v>
      </c>
      <c r="E47" s="84" t="s">
        <v>750</v>
      </c>
      <c r="F47" s="97" t="s">
        <v>711</v>
      </c>
      <c r="G47" s="75"/>
      <c r="H47" s="75" t="s">
        <v>894</v>
      </c>
      <c r="I47" s="75"/>
      <c r="J47" s="75"/>
      <c r="K47" s="75"/>
      <c r="L47" s="75"/>
      <c r="M47" s="75"/>
      <c r="N47" s="75"/>
      <c r="O47" s="75"/>
    </row>
    <row r="48" spans="2:15">
      <c r="B48" s="73">
        <v>1</v>
      </c>
      <c r="C48" s="82" t="s">
        <v>390</v>
      </c>
      <c r="D48" s="96" t="s">
        <v>742</v>
      </c>
      <c r="E48" s="97" t="s">
        <v>755</v>
      </c>
      <c r="F48" s="97" t="s">
        <v>99</v>
      </c>
      <c r="G48" s="75"/>
      <c r="H48" s="75" t="s">
        <v>737</v>
      </c>
      <c r="I48" s="75"/>
      <c r="J48" s="75"/>
      <c r="K48" s="75"/>
      <c r="L48" s="88" t="s">
        <v>4231</v>
      </c>
      <c r="M48" s="88" t="s">
        <v>4182</v>
      </c>
      <c r="N48" s="88" t="s">
        <v>3212</v>
      </c>
      <c r="O48" s="88" t="s">
        <v>4232</v>
      </c>
    </row>
    <row r="49" spans="2:15">
      <c r="B49" s="73">
        <v>1</v>
      </c>
      <c r="C49" s="82" t="s">
        <v>395</v>
      </c>
      <c r="D49" s="96" t="s">
        <v>709</v>
      </c>
      <c r="E49" s="97" t="s">
        <v>99</v>
      </c>
      <c r="F49" s="97" t="s">
        <v>756</v>
      </c>
      <c r="G49" s="75"/>
      <c r="H49" s="75" t="s">
        <v>737</v>
      </c>
      <c r="I49" s="75"/>
      <c r="J49" s="75"/>
      <c r="K49" s="75"/>
      <c r="L49" s="89" t="s">
        <v>4233</v>
      </c>
      <c r="M49" s="89" t="s">
        <v>4234</v>
      </c>
      <c r="N49" s="88" t="s">
        <v>4235</v>
      </c>
      <c r="O49" s="88" t="s">
        <v>4236</v>
      </c>
    </row>
    <row r="50" spans="2:15">
      <c r="B50" s="73">
        <v>1</v>
      </c>
      <c r="C50" s="82" t="s">
        <v>409</v>
      </c>
      <c r="D50" s="97" t="s">
        <v>765</v>
      </c>
      <c r="E50" s="97" t="s">
        <v>766</v>
      </c>
      <c r="F50" s="97" t="s">
        <v>708</v>
      </c>
      <c r="G50" s="75"/>
      <c r="H50" s="75" t="s">
        <v>737</v>
      </c>
      <c r="I50" s="75"/>
      <c r="J50" s="75"/>
      <c r="K50" s="75"/>
      <c r="L50" s="88" t="s">
        <v>4237</v>
      </c>
      <c r="M50" s="88" t="s">
        <v>4238</v>
      </c>
      <c r="N50" s="88" t="s">
        <v>4188</v>
      </c>
      <c r="O50" s="88" t="s">
        <v>4186</v>
      </c>
    </row>
    <row r="51" spans="2:15">
      <c r="C51" s="102" t="s">
        <v>770</v>
      </c>
      <c r="D51" s="96" t="s">
        <v>41</v>
      </c>
      <c r="E51" s="96" t="s">
        <v>53</v>
      </c>
      <c r="F51" s="97" t="s">
        <v>39</v>
      </c>
      <c r="G51" s="75"/>
      <c r="H51" s="92" t="s">
        <v>773</v>
      </c>
      <c r="I51" s="92">
        <v>1</v>
      </c>
      <c r="J51" s="75"/>
      <c r="K51" s="75"/>
      <c r="L51" s="88" t="s">
        <v>4190</v>
      </c>
      <c r="M51" s="88" t="s">
        <v>4239</v>
      </c>
      <c r="N51" s="89" t="s">
        <v>4240</v>
      </c>
      <c r="O51" s="88" t="s">
        <v>4241</v>
      </c>
    </row>
    <row r="52" spans="2:15">
      <c r="C52" s="102" t="s">
        <v>776</v>
      </c>
      <c r="D52" s="96" t="s">
        <v>51</v>
      </c>
      <c r="E52" s="96" t="s">
        <v>66</v>
      </c>
      <c r="F52" s="97" t="s">
        <v>711</v>
      </c>
      <c r="G52" s="75"/>
      <c r="H52" s="92" t="s">
        <v>773</v>
      </c>
      <c r="I52" s="92">
        <v>0</v>
      </c>
      <c r="J52" s="75"/>
      <c r="K52" s="75"/>
      <c r="L52" s="89" t="s">
        <v>4242</v>
      </c>
      <c r="M52" s="88" t="s">
        <v>4243</v>
      </c>
      <c r="N52" s="88" t="s">
        <v>4244</v>
      </c>
      <c r="O52" s="88" t="s">
        <v>4245</v>
      </c>
    </row>
    <row r="53" spans="2:15">
      <c r="B53" s="73">
        <v>1</v>
      </c>
      <c r="C53" s="82" t="s">
        <v>781</v>
      </c>
      <c r="D53" s="96" t="s">
        <v>56</v>
      </c>
      <c r="E53" s="96" t="s">
        <v>38</v>
      </c>
      <c r="F53" s="97" t="s">
        <v>59</v>
      </c>
      <c r="G53" s="75"/>
      <c r="H53" s="75" t="s">
        <v>773</v>
      </c>
      <c r="I53" s="75"/>
      <c r="J53" s="75"/>
      <c r="K53" s="75"/>
      <c r="L53" s="89" t="s">
        <v>4246</v>
      </c>
      <c r="M53" s="88" t="s">
        <v>4191</v>
      </c>
      <c r="N53" s="88"/>
      <c r="O53" s="88" t="s">
        <v>3224</v>
      </c>
    </row>
    <row r="54" spans="2:15">
      <c r="C54" s="99" t="s">
        <v>786</v>
      </c>
      <c r="D54" s="100" t="s">
        <v>57</v>
      </c>
      <c r="E54" s="96" t="s">
        <v>110</v>
      </c>
      <c r="F54" s="97" t="s">
        <v>13</v>
      </c>
      <c r="G54" s="75"/>
      <c r="H54" s="86" t="s">
        <v>737</v>
      </c>
      <c r="I54" s="86">
        <v>1092</v>
      </c>
      <c r="J54" s="75">
        <v>5</v>
      </c>
      <c r="K54" s="75"/>
      <c r="L54" s="88" t="s">
        <v>4201</v>
      </c>
      <c r="M54" s="88"/>
      <c r="N54" s="88"/>
      <c r="O54" s="88" t="s">
        <v>4247</v>
      </c>
    </row>
    <row r="55" spans="2:15">
      <c r="C55" s="99" t="s">
        <v>792</v>
      </c>
      <c r="D55" s="100" t="s">
        <v>57</v>
      </c>
      <c r="E55" s="96" t="s">
        <v>699</v>
      </c>
      <c r="F55" s="97" t="s">
        <v>73</v>
      </c>
      <c r="G55" s="75"/>
      <c r="H55" s="75" t="s">
        <v>773</v>
      </c>
      <c r="I55" s="75">
        <v>938</v>
      </c>
      <c r="J55" s="75">
        <v>5</v>
      </c>
      <c r="K55" s="75"/>
      <c r="L55" s="88" t="s">
        <v>4203</v>
      </c>
      <c r="M55" s="88"/>
      <c r="N55" s="88"/>
      <c r="O55" s="88" t="s">
        <v>4200</v>
      </c>
    </row>
    <row r="56" spans="2:15">
      <c r="C56" s="102" t="s">
        <v>800</v>
      </c>
      <c r="D56" s="96" t="s">
        <v>734</v>
      </c>
      <c r="E56" s="96" t="s">
        <v>124</v>
      </c>
      <c r="F56" s="97" t="s">
        <v>719</v>
      </c>
      <c r="G56" s="75"/>
      <c r="H56" s="92" t="s">
        <v>773</v>
      </c>
      <c r="I56" s="92">
        <v>3</v>
      </c>
      <c r="J56" s="75"/>
      <c r="K56" s="75"/>
      <c r="L56" s="88" t="s">
        <v>4204</v>
      </c>
      <c r="M56" s="88"/>
      <c r="N56" s="88"/>
      <c r="O56" s="88"/>
    </row>
    <row r="57" spans="2:15">
      <c r="B57" s="73">
        <v>1</v>
      </c>
      <c r="C57" s="82" t="s">
        <v>806</v>
      </c>
      <c r="D57" s="96" t="s">
        <v>807</v>
      </c>
      <c r="E57" s="96" t="s">
        <v>701</v>
      </c>
      <c r="F57" s="97" t="s">
        <v>15</v>
      </c>
      <c r="G57" s="75"/>
      <c r="H57" s="75" t="s">
        <v>773</v>
      </c>
      <c r="I57" s="75"/>
      <c r="J57" s="75"/>
      <c r="K57" s="75"/>
      <c r="L57" s="88" t="s">
        <v>4248</v>
      </c>
      <c r="M57" s="88"/>
      <c r="N57" s="88"/>
      <c r="O57" s="88"/>
    </row>
    <row r="58" spans="2:15">
      <c r="B58" s="73">
        <v>1</v>
      </c>
      <c r="C58" s="82" t="s">
        <v>812</v>
      </c>
      <c r="D58" s="96" t="s">
        <v>713</v>
      </c>
      <c r="E58" s="96" t="s">
        <v>813</v>
      </c>
      <c r="F58" s="97" t="s">
        <v>356</v>
      </c>
      <c r="G58" s="75"/>
      <c r="H58" s="86" t="s">
        <v>987</v>
      </c>
      <c r="I58" s="86"/>
      <c r="J58" s="75"/>
      <c r="K58" s="75"/>
      <c r="L58" s="88" t="s">
        <v>4249</v>
      </c>
      <c r="M58" s="88"/>
      <c r="N58" s="88"/>
      <c r="O58" s="88"/>
    </row>
    <row r="59" spans="2:15">
      <c r="C59" s="102" t="s">
        <v>817</v>
      </c>
      <c r="D59" s="96" t="s">
        <v>62</v>
      </c>
      <c r="E59" s="96" t="s">
        <v>61</v>
      </c>
      <c r="F59" s="97" t="s">
        <v>732</v>
      </c>
      <c r="G59" s="75"/>
      <c r="H59" s="93" t="s">
        <v>737</v>
      </c>
      <c r="I59" s="93">
        <v>33</v>
      </c>
      <c r="J59" s="75"/>
      <c r="K59" s="75"/>
      <c r="L59" s="75"/>
      <c r="M59" s="75"/>
      <c r="N59" s="75"/>
      <c r="O59" s="75"/>
    </row>
    <row r="60" spans="2:15">
      <c r="C60" s="102" t="s">
        <v>823</v>
      </c>
      <c r="D60" s="96" t="s">
        <v>58</v>
      </c>
      <c r="E60" s="96" t="s">
        <v>51</v>
      </c>
      <c r="F60" s="97" t="s">
        <v>739</v>
      </c>
      <c r="G60" s="75"/>
      <c r="H60" s="93" t="s">
        <v>737</v>
      </c>
      <c r="I60" s="93">
        <v>39</v>
      </c>
      <c r="J60" s="75"/>
      <c r="K60" s="75"/>
      <c r="L60" s="75"/>
      <c r="M60" s="75"/>
      <c r="N60" s="75"/>
      <c r="O60" s="75"/>
    </row>
    <row r="61" spans="2:15">
      <c r="B61" s="73">
        <v>1</v>
      </c>
      <c r="C61" s="82" t="s">
        <v>827</v>
      </c>
      <c r="D61" s="96" t="s">
        <v>42</v>
      </c>
      <c r="E61" s="96" t="s">
        <v>47</v>
      </c>
      <c r="F61" s="97" t="s">
        <v>707</v>
      </c>
      <c r="G61" s="75"/>
      <c r="H61" s="75" t="s">
        <v>773</v>
      </c>
      <c r="I61" s="75"/>
      <c r="J61" s="75"/>
      <c r="K61" s="75"/>
      <c r="L61" s="75"/>
      <c r="M61" s="75"/>
      <c r="N61" s="75"/>
      <c r="O61" s="75"/>
    </row>
    <row r="62" spans="2:15">
      <c r="C62" s="102" t="s">
        <v>832</v>
      </c>
      <c r="D62" s="96" t="s">
        <v>709</v>
      </c>
      <c r="E62" s="96" t="s">
        <v>125</v>
      </c>
      <c r="F62" s="97" t="s">
        <v>49</v>
      </c>
      <c r="G62" s="75"/>
      <c r="H62" s="92" t="s">
        <v>773</v>
      </c>
      <c r="I62" s="92">
        <v>7</v>
      </c>
      <c r="J62" s="75"/>
      <c r="K62" s="75"/>
      <c r="L62" s="75"/>
      <c r="M62" s="75"/>
      <c r="N62" s="75"/>
      <c r="O62" s="75"/>
    </row>
    <row r="63" spans="2:15">
      <c r="B63" s="73">
        <v>1</v>
      </c>
      <c r="C63" s="82" t="s">
        <v>836</v>
      </c>
      <c r="D63" s="96" t="s">
        <v>121</v>
      </c>
      <c r="E63" s="96" t="s">
        <v>135</v>
      </c>
      <c r="F63" s="97" t="s">
        <v>708</v>
      </c>
      <c r="G63" s="75"/>
      <c r="H63" s="75" t="s">
        <v>773</v>
      </c>
      <c r="I63" s="75"/>
      <c r="J63" s="75"/>
      <c r="K63" s="75"/>
      <c r="L63" s="75"/>
      <c r="M63" s="75"/>
      <c r="N63" s="75"/>
      <c r="O63" s="75"/>
    </row>
    <row r="64" spans="2:15">
      <c r="C64" s="102" t="s">
        <v>840</v>
      </c>
      <c r="D64" s="96" t="s">
        <v>48</v>
      </c>
      <c r="E64" s="96" t="s">
        <v>46</v>
      </c>
      <c r="F64" s="97" t="s">
        <v>26</v>
      </c>
      <c r="G64" s="75"/>
      <c r="H64" s="92" t="s">
        <v>773</v>
      </c>
      <c r="I64" s="92">
        <v>0</v>
      </c>
      <c r="J64" s="75"/>
      <c r="K64" s="75"/>
      <c r="L64" s="75"/>
      <c r="M64" s="75"/>
      <c r="N64" s="75"/>
      <c r="O64" s="75"/>
    </row>
    <row r="65" spans="2:37">
      <c r="B65" s="73">
        <v>1</v>
      </c>
      <c r="C65" s="82" t="s">
        <v>844</v>
      </c>
      <c r="D65" s="96" t="s">
        <v>53</v>
      </c>
      <c r="E65" s="96" t="s">
        <v>62</v>
      </c>
      <c r="F65" s="97" t="s">
        <v>764</v>
      </c>
      <c r="G65" s="75"/>
      <c r="H65" s="75" t="s">
        <v>773</v>
      </c>
      <c r="I65" s="75"/>
      <c r="J65" s="75"/>
      <c r="K65" s="75"/>
      <c r="L65" s="75"/>
      <c r="M65" s="75"/>
      <c r="N65" s="75"/>
      <c r="O65" s="75"/>
    </row>
    <row r="66" spans="2:37">
      <c r="C66" s="102" t="s">
        <v>849</v>
      </c>
      <c r="D66" s="96" t="s">
        <v>56</v>
      </c>
      <c r="E66" s="96" t="s">
        <v>38</v>
      </c>
      <c r="F66" s="97" t="s">
        <v>765</v>
      </c>
      <c r="G66" s="75"/>
      <c r="H66" s="92" t="s">
        <v>773</v>
      </c>
      <c r="I66" s="92">
        <v>0</v>
      </c>
      <c r="J66" s="75"/>
      <c r="K66" s="75"/>
      <c r="L66" s="75"/>
      <c r="M66" s="75"/>
      <c r="N66" s="75"/>
      <c r="O66" s="75"/>
    </row>
    <row r="67" spans="2:37">
      <c r="B67" s="73">
        <v>1</v>
      </c>
      <c r="C67" s="82" t="s">
        <v>851</v>
      </c>
      <c r="D67" s="96" t="s">
        <v>155</v>
      </c>
      <c r="E67" s="96" t="s">
        <v>42</v>
      </c>
      <c r="F67" s="97" t="s">
        <v>24</v>
      </c>
      <c r="G67" s="75"/>
      <c r="H67" s="75" t="s">
        <v>773</v>
      </c>
      <c r="I67" s="75"/>
      <c r="J67" s="75"/>
      <c r="K67" s="75"/>
      <c r="L67" s="75"/>
      <c r="M67" s="75"/>
      <c r="N67" s="75"/>
      <c r="O67" s="75"/>
    </row>
    <row r="68" spans="2:37">
      <c r="B68" s="73">
        <v>1</v>
      </c>
      <c r="C68" s="82" t="s">
        <v>854</v>
      </c>
      <c r="D68" s="96" t="s">
        <v>699</v>
      </c>
      <c r="E68" s="96" t="s">
        <v>709</v>
      </c>
      <c r="F68" s="97" t="s">
        <v>20</v>
      </c>
      <c r="G68" s="75"/>
      <c r="H68" s="75" t="s">
        <v>773</v>
      </c>
      <c r="I68" s="75"/>
      <c r="J68" s="75"/>
      <c r="K68" s="75"/>
      <c r="L68" s="75"/>
      <c r="M68" s="75"/>
      <c r="N68" s="75"/>
      <c r="O68" s="75"/>
    </row>
    <row r="69" spans="2:37">
      <c r="B69" s="73">
        <v>1</v>
      </c>
      <c r="C69" s="82" t="s">
        <v>858</v>
      </c>
      <c r="D69" s="96" t="s">
        <v>62</v>
      </c>
      <c r="E69" s="96" t="s">
        <v>61</v>
      </c>
      <c r="F69" s="97" t="s">
        <v>13</v>
      </c>
      <c r="G69" s="75"/>
      <c r="H69" s="75" t="s">
        <v>773</v>
      </c>
      <c r="I69" s="75"/>
      <c r="J69" s="75"/>
      <c r="K69" s="75"/>
      <c r="L69" s="75"/>
      <c r="M69" s="75"/>
      <c r="N69" s="75"/>
      <c r="O69" s="75"/>
    </row>
    <row r="70" spans="2:37">
      <c r="B70" s="73">
        <f>COUNT(B35:B69)</f>
        <v>24</v>
      </c>
      <c r="C70" s="73">
        <f>COUNTA(C35:C69)</f>
        <v>35</v>
      </c>
    </row>
    <row r="71" spans="2:37">
      <c r="C71" s="80"/>
      <c r="D71" s="80"/>
      <c r="E71" s="80"/>
      <c r="F71" s="80"/>
      <c r="G71" s="80"/>
      <c r="H71" s="75"/>
      <c r="I71" s="75"/>
      <c r="J71" s="75"/>
      <c r="K71" s="80"/>
      <c r="L71" s="80"/>
      <c r="M71" s="80"/>
      <c r="N71" s="80"/>
      <c r="O71" s="80"/>
    </row>
    <row r="72" spans="2:37">
      <c r="M72" s="103"/>
      <c r="P72" s="80"/>
      <c r="AA72" s="104"/>
      <c r="AG72" s="104"/>
    </row>
    <row r="73" spans="2:37">
      <c r="C73" s="95" t="s">
        <v>190</v>
      </c>
      <c r="D73" s="75" t="s">
        <v>689</v>
      </c>
      <c r="E73" s="75" t="s">
        <v>690</v>
      </c>
      <c r="F73" s="76" t="s">
        <v>691</v>
      </c>
      <c r="G73" s="75"/>
      <c r="H73" s="78" t="s">
        <v>692</v>
      </c>
      <c r="I73" s="78" t="s">
        <v>954</v>
      </c>
      <c r="J73" s="79" t="s">
        <v>4157</v>
      </c>
      <c r="K73" s="75"/>
      <c r="L73" s="75"/>
      <c r="M73" s="75"/>
      <c r="N73" s="75"/>
      <c r="O73" s="75"/>
      <c r="P73" s="80"/>
      <c r="AA73" s="104"/>
      <c r="AG73" s="104"/>
    </row>
    <row r="74" spans="2:37">
      <c r="B74" s="73">
        <v>1</v>
      </c>
      <c r="C74" s="82" t="s">
        <v>329</v>
      </c>
      <c r="D74" s="83" t="s">
        <v>46</v>
      </c>
      <c r="E74" s="84" t="s">
        <v>19</v>
      </c>
      <c r="F74" s="84" t="s">
        <v>698</v>
      </c>
      <c r="G74" s="75"/>
      <c r="H74" s="75" t="s">
        <v>894</v>
      </c>
      <c r="I74" s="75"/>
      <c r="J74" s="75"/>
      <c r="K74" s="75"/>
      <c r="L74" s="85" t="s">
        <v>4158</v>
      </c>
      <c r="M74" s="85" t="s">
        <v>3178</v>
      </c>
      <c r="N74" s="85" t="s">
        <v>3182</v>
      </c>
      <c r="O74" s="85" t="s">
        <v>4232</v>
      </c>
      <c r="P74" s="80"/>
      <c r="AA74" s="104"/>
      <c r="AG74" s="104"/>
    </row>
    <row r="75" spans="2:37">
      <c r="C75" s="105" t="s">
        <v>272</v>
      </c>
      <c r="D75" s="83" t="s">
        <v>121</v>
      </c>
      <c r="E75" s="84" t="s">
        <v>707</v>
      </c>
      <c r="F75" s="84" t="s">
        <v>708</v>
      </c>
      <c r="G75" s="75"/>
      <c r="H75" s="75" t="s">
        <v>737</v>
      </c>
      <c r="I75" s="75">
        <v>1001</v>
      </c>
      <c r="J75" s="75">
        <v>5</v>
      </c>
      <c r="K75" s="75"/>
      <c r="L75" s="85" t="s">
        <v>4250</v>
      </c>
      <c r="M75" s="85" t="s">
        <v>3179</v>
      </c>
      <c r="N75" s="85" t="s">
        <v>4251</v>
      </c>
      <c r="O75" s="85" t="s">
        <v>4252</v>
      </c>
      <c r="P75" s="80"/>
      <c r="AA75" s="104"/>
      <c r="AG75" s="104"/>
    </row>
    <row r="76" spans="2:37">
      <c r="C76" s="105" t="s">
        <v>365</v>
      </c>
      <c r="D76" s="83" t="s">
        <v>124</v>
      </c>
      <c r="E76" s="84" t="s">
        <v>715</v>
      </c>
      <c r="F76" s="84" t="s">
        <v>708</v>
      </c>
      <c r="G76" s="75"/>
      <c r="H76" s="75" t="s">
        <v>737</v>
      </c>
      <c r="I76" s="75">
        <v>786</v>
      </c>
      <c r="J76" s="75">
        <v>9</v>
      </c>
      <c r="K76" s="75"/>
      <c r="L76" s="85" t="s">
        <v>4180</v>
      </c>
      <c r="M76" s="85" t="s">
        <v>3180</v>
      </c>
      <c r="N76" s="85" t="s">
        <v>4253</v>
      </c>
      <c r="O76" s="85" t="s">
        <v>3220</v>
      </c>
      <c r="P76" s="80"/>
      <c r="AA76" s="104"/>
      <c r="AG76" s="104"/>
    </row>
    <row r="77" spans="2:37">
      <c r="C77" s="91" t="s">
        <v>291</v>
      </c>
      <c r="D77" s="83" t="s">
        <v>121</v>
      </c>
      <c r="E77" s="84" t="s">
        <v>3</v>
      </c>
      <c r="F77" s="84" t="s">
        <v>720</v>
      </c>
      <c r="G77" s="75"/>
      <c r="H77" s="92" t="s">
        <v>894</v>
      </c>
      <c r="I77" s="92">
        <v>28</v>
      </c>
      <c r="J77" s="75"/>
      <c r="K77" s="75"/>
      <c r="L77" s="85" t="s">
        <v>4167</v>
      </c>
      <c r="M77" s="85" t="s">
        <v>4172</v>
      </c>
      <c r="N77" s="85" t="s">
        <v>4218</v>
      </c>
      <c r="O77" s="85" t="s">
        <v>4254</v>
      </c>
      <c r="P77" s="80"/>
      <c r="AA77" s="104"/>
      <c r="AG77" s="104"/>
      <c r="AH77" s="73"/>
      <c r="AI77" s="73"/>
      <c r="AJ77" s="73"/>
      <c r="AK77" s="73"/>
    </row>
    <row r="78" spans="2:37">
      <c r="C78" s="105" t="s">
        <v>353</v>
      </c>
      <c r="D78" s="83" t="s">
        <v>125</v>
      </c>
      <c r="E78" s="84" t="s">
        <v>59</v>
      </c>
      <c r="F78" s="84" t="s">
        <v>32</v>
      </c>
      <c r="G78" s="75"/>
      <c r="H78" s="75" t="s">
        <v>894</v>
      </c>
      <c r="I78" s="75">
        <v>479</v>
      </c>
      <c r="J78" s="75">
        <v>5</v>
      </c>
      <c r="K78" s="75"/>
      <c r="L78" s="85" t="s">
        <v>4171</v>
      </c>
      <c r="M78" s="85"/>
      <c r="N78" s="85" t="s">
        <v>3230</v>
      </c>
      <c r="O78" s="85" t="s">
        <v>4212</v>
      </c>
      <c r="P78" s="80"/>
      <c r="AA78" s="104"/>
      <c r="AG78" s="104"/>
    </row>
    <row r="79" spans="2:37">
      <c r="C79" s="106" t="s">
        <v>171</v>
      </c>
      <c r="D79" s="83" t="s">
        <v>47</v>
      </c>
      <c r="E79" s="83" t="s">
        <v>713</v>
      </c>
      <c r="F79" s="84" t="s">
        <v>49</v>
      </c>
      <c r="G79" s="75"/>
      <c r="H79" s="107" t="s">
        <v>725</v>
      </c>
      <c r="I79" s="75">
        <v>1338</v>
      </c>
      <c r="J79" s="75">
        <v>7</v>
      </c>
      <c r="K79" s="75"/>
      <c r="L79" s="85" t="s">
        <v>4226</v>
      </c>
      <c r="M79" s="85"/>
      <c r="N79" s="85"/>
      <c r="O79" s="85" t="s">
        <v>4166</v>
      </c>
      <c r="P79" s="80"/>
      <c r="AA79" s="104"/>
      <c r="AG79" s="104"/>
    </row>
    <row r="80" spans="2:37">
      <c r="C80" s="105" t="s">
        <v>374</v>
      </c>
      <c r="D80" s="83" t="s">
        <v>135</v>
      </c>
      <c r="E80" s="84" t="s">
        <v>13</v>
      </c>
      <c r="F80" s="84" t="s">
        <v>73</v>
      </c>
      <c r="G80" s="75"/>
      <c r="H80" s="75" t="s">
        <v>894</v>
      </c>
      <c r="I80" s="75">
        <v>947</v>
      </c>
      <c r="J80" s="75">
        <v>5</v>
      </c>
      <c r="K80" s="75"/>
      <c r="L80" s="85" t="s">
        <v>4255</v>
      </c>
      <c r="M80" s="85"/>
      <c r="N80" s="85"/>
      <c r="O80" s="85" t="s">
        <v>3234</v>
      </c>
      <c r="P80" s="75"/>
      <c r="AA80" s="104"/>
      <c r="AG80" s="104"/>
    </row>
    <row r="81" spans="3:33">
      <c r="C81" s="105" t="s">
        <v>349</v>
      </c>
      <c r="D81" s="83" t="s">
        <v>734</v>
      </c>
      <c r="E81" s="84" t="s">
        <v>14</v>
      </c>
      <c r="F81" s="84" t="s">
        <v>71</v>
      </c>
      <c r="G81" s="75"/>
      <c r="H81" s="75" t="s">
        <v>894</v>
      </c>
      <c r="I81" s="75">
        <v>1167</v>
      </c>
      <c r="J81" s="75">
        <v>7</v>
      </c>
      <c r="K81" s="75"/>
      <c r="L81" s="85" t="s">
        <v>4256</v>
      </c>
      <c r="M81" s="85"/>
      <c r="N81" s="85"/>
      <c r="O81" s="85" t="s">
        <v>4257</v>
      </c>
      <c r="P81" s="75"/>
      <c r="AA81" s="104"/>
      <c r="AG81" s="104"/>
    </row>
    <row r="82" spans="3:33">
      <c r="C82" s="105" t="s">
        <v>385</v>
      </c>
      <c r="D82" s="100" t="s">
        <v>57</v>
      </c>
      <c r="E82" s="84" t="s">
        <v>14</v>
      </c>
      <c r="F82" s="84" t="s">
        <v>71</v>
      </c>
      <c r="G82" s="75"/>
      <c r="H82" s="75" t="s">
        <v>894</v>
      </c>
      <c r="I82" s="75">
        <v>369</v>
      </c>
      <c r="J82" s="75">
        <v>5</v>
      </c>
      <c r="K82" s="75"/>
      <c r="L82" s="85" t="s">
        <v>4258</v>
      </c>
      <c r="M82" s="85"/>
      <c r="N82" s="85"/>
      <c r="O82" s="85" t="s">
        <v>4259</v>
      </c>
      <c r="P82" s="75"/>
      <c r="AA82" s="104"/>
      <c r="AG82" s="104"/>
    </row>
    <row r="83" spans="3:33">
      <c r="C83" s="82" t="s">
        <v>351</v>
      </c>
      <c r="D83" s="83" t="s">
        <v>742</v>
      </c>
      <c r="E83" s="84" t="s">
        <v>9</v>
      </c>
      <c r="F83" s="84" t="s">
        <v>73</v>
      </c>
      <c r="G83" s="75"/>
      <c r="H83" s="75" t="s">
        <v>894</v>
      </c>
      <c r="I83" s="75">
        <v>626</v>
      </c>
      <c r="J83" s="75">
        <v>11</v>
      </c>
      <c r="K83" s="75"/>
      <c r="L83" s="85"/>
      <c r="M83" s="85"/>
      <c r="N83" s="85"/>
      <c r="O83" s="85" t="s">
        <v>4260</v>
      </c>
      <c r="P83" s="75"/>
      <c r="AA83" s="104"/>
      <c r="AG83" s="104"/>
    </row>
    <row r="84" spans="3:33">
      <c r="C84" s="105" t="s">
        <v>745</v>
      </c>
      <c r="D84" s="83" t="s">
        <v>704</v>
      </c>
      <c r="E84" s="84" t="s">
        <v>24</v>
      </c>
      <c r="F84" s="84" t="s">
        <v>20</v>
      </c>
      <c r="G84" s="75"/>
      <c r="H84" s="75" t="s">
        <v>737</v>
      </c>
      <c r="I84" s="75">
        <v>1027</v>
      </c>
      <c r="J84" s="75">
        <v>5</v>
      </c>
      <c r="K84" s="75"/>
      <c r="L84" s="85"/>
      <c r="M84" s="85"/>
      <c r="N84" s="85"/>
      <c r="O84" s="85" t="s">
        <v>3222</v>
      </c>
      <c r="P84" s="75"/>
      <c r="AA84" s="104"/>
      <c r="AG84" s="104"/>
    </row>
    <row r="85" spans="3:33">
      <c r="C85" s="105" t="s">
        <v>379</v>
      </c>
      <c r="D85" s="83" t="s">
        <v>36</v>
      </c>
      <c r="E85" s="83" t="s">
        <v>704</v>
      </c>
      <c r="F85" s="84" t="s">
        <v>716</v>
      </c>
      <c r="G85" s="75"/>
      <c r="H85" s="75" t="s">
        <v>894</v>
      </c>
      <c r="I85" s="75">
        <v>733</v>
      </c>
      <c r="J85" s="75">
        <v>7</v>
      </c>
      <c r="K85" s="75"/>
      <c r="L85" s="108"/>
      <c r="M85" s="108"/>
      <c r="N85" s="108"/>
      <c r="O85" s="85" t="s">
        <v>4261</v>
      </c>
      <c r="P85" s="75"/>
      <c r="AA85" s="104"/>
      <c r="AG85" s="104"/>
    </row>
    <row r="86" spans="3:33">
      <c r="C86" s="91" t="s">
        <v>358</v>
      </c>
      <c r="D86" s="83" t="s">
        <v>125</v>
      </c>
      <c r="E86" s="84" t="s">
        <v>740</v>
      </c>
      <c r="F86" s="84" t="s">
        <v>356</v>
      </c>
      <c r="G86" s="75"/>
      <c r="H86" s="93" t="s">
        <v>737</v>
      </c>
      <c r="I86" s="93">
        <v>33</v>
      </c>
      <c r="J86" s="75"/>
      <c r="K86" s="75"/>
      <c r="O86" s="75"/>
      <c r="P86" s="75"/>
      <c r="AA86" s="104"/>
      <c r="AG86" s="104"/>
    </row>
    <row r="87" spans="3:33">
      <c r="C87" s="105" t="s">
        <v>397</v>
      </c>
      <c r="D87" s="83" t="s">
        <v>110</v>
      </c>
      <c r="E87" s="84" t="s">
        <v>24</v>
      </c>
      <c r="F87" s="84" t="s">
        <v>756</v>
      </c>
      <c r="G87" s="75"/>
      <c r="H87" s="75" t="s">
        <v>737</v>
      </c>
      <c r="I87" s="75">
        <v>982</v>
      </c>
      <c r="J87" s="75">
        <v>7</v>
      </c>
      <c r="K87" s="75"/>
      <c r="O87" s="75"/>
      <c r="P87" s="75"/>
      <c r="AA87" s="104"/>
      <c r="AG87" s="104"/>
    </row>
    <row r="88" spans="3:33">
      <c r="C88" s="105" t="s">
        <v>401</v>
      </c>
      <c r="D88" s="83" t="s">
        <v>125</v>
      </c>
      <c r="E88" s="84" t="s">
        <v>761</v>
      </c>
      <c r="F88" s="84" t="s">
        <v>758</v>
      </c>
      <c r="G88" s="75"/>
      <c r="H88" s="75" t="s">
        <v>737</v>
      </c>
      <c r="I88" s="75">
        <v>1027</v>
      </c>
      <c r="J88" s="75">
        <v>5</v>
      </c>
      <c r="K88" s="75"/>
      <c r="L88" s="88" t="s">
        <v>4262</v>
      </c>
      <c r="M88" s="88" t="s">
        <v>4263</v>
      </c>
      <c r="N88" s="88" t="s">
        <v>4264</v>
      </c>
      <c r="O88" s="88" t="s">
        <v>3235</v>
      </c>
      <c r="P88" s="75"/>
      <c r="AA88" s="104"/>
      <c r="AG88" s="104"/>
    </row>
    <row r="89" spans="3:33">
      <c r="C89" s="105" t="s">
        <v>407</v>
      </c>
      <c r="D89" s="84" t="s">
        <v>9</v>
      </c>
      <c r="E89" s="84" t="s">
        <v>99</v>
      </c>
      <c r="F89" s="84" t="s">
        <v>758</v>
      </c>
      <c r="G89" s="75"/>
      <c r="H89" s="75" t="s">
        <v>737</v>
      </c>
      <c r="I89" s="75">
        <v>710</v>
      </c>
      <c r="J89" s="75">
        <v>7</v>
      </c>
      <c r="K89" s="75"/>
      <c r="L89" s="88" t="s">
        <v>4265</v>
      </c>
      <c r="M89" s="88" t="s">
        <v>4266</v>
      </c>
      <c r="N89" s="88" t="s">
        <v>4267</v>
      </c>
      <c r="O89" s="88" t="s">
        <v>4268</v>
      </c>
      <c r="P89" s="75"/>
      <c r="Z89" s="104"/>
      <c r="AA89" s="104"/>
      <c r="AG89" s="104"/>
    </row>
    <row r="90" spans="3:33">
      <c r="C90" s="91" t="s">
        <v>771</v>
      </c>
      <c r="D90" s="83" t="s">
        <v>48</v>
      </c>
      <c r="E90" s="83" t="s">
        <v>46</v>
      </c>
      <c r="F90" s="84" t="s">
        <v>740</v>
      </c>
      <c r="G90" s="75"/>
      <c r="H90" s="92" t="s">
        <v>773</v>
      </c>
      <c r="I90" s="92">
        <v>0</v>
      </c>
      <c r="J90" s="75"/>
      <c r="K90" s="75"/>
      <c r="L90" s="88" t="s">
        <v>4269</v>
      </c>
      <c r="M90" s="88" t="s">
        <v>4270</v>
      </c>
      <c r="N90" s="88" t="s">
        <v>4235</v>
      </c>
      <c r="O90" s="88" t="s">
        <v>4241</v>
      </c>
      <c r="P90" s="75"/>
      <c r="Z90" s="104"/>
      <c r="AA90" s="104"/>
      <c r="AG90" s="104"/>
    </row>
    <row r="91" spans="3:33">
      <c r="C91" s="105" t="s">
        <v>777</v>
      </c>
      <c r="D91" s="83" t="s">
        <v>43</v>
      </c>
      <c r="E91" s="83" t="s">
        <v>65</v>
      </c>
      <c r="F91" s="84" t="s">
        <v>3</v>
      </c>
      <c r="G91" s="75"/>
      <c r="H91" s="75" t="s">
        <v>773</v>
      </c>
      <c r="I91" s="75">
        <v>1127</v>
      </c>
      <c r="J91" s="75">
        <v>1</v>
      </c>
      <c r="K91" s="75"/>
      <c r="L91" s="88" t="s">
        <v>4190</v>
      </c>
      <c r="M91" s="88" t="s">
        <v>4239</v>
      </c>
      <c r="N91" s="88" t="s">
        <v>3232</v>
      </c>
      <c r="O91" s="88" t="s">
        <v>4196</v>
      </c>
      <c r="P91" s="77"/>
      <c r="Z91" s="104"/>
      <c r="AA91" s="104"/>
      <c r="AB91" s="104"/>
      <c r="AG91" s="104"/>
    </row>
    <row r="92" spans="3:33">
      <c r="C92" s="105" t="s">
        <v>782</v>
      </c>
      <c r="D92" s="83" t="s">
        <v>709</v>
      </c>
      <c r="E92" s="83" t="s">
        <v>125</v>
      </c>
      <c r="F92" s="84" t="s">
        <v>720</v>
      </c>
      <c r="G92" s="75"/>
      <c r="H92" s="75" t="s">
        <v>773</v>
      </c>
      <c r="I92" s="75">
        <v>985</v>
      </c>
      <c r="J92" s="75">
        <v>2</v>
      </c>
      <c r="K92" s="75"/>
      <c r="L92" s="88" t="s">
        <v>4271</v>
      </c>
      <c r="M92" s="88" t="s">
        <v>4243</v>
      </c>
      <c r="N92" s="88" t="s">
        <v>4272</v>
      </c>
      <c r="O92" s="88" t="s">
        <v>4273</v>
      </c>
      <c r="P92" s="77"/>
      <c r="Z92" s="104"/>
      <c r="AA92" s="104"/>
      <c r="AB92" s="104"/>
      <c r="AG92" s="104"/>
    </row>
    <row r="93" spans="3:33">
      <c r="C93" s="91" t="s">
        <v>787</v>
      </c>
      <c r="D93" s="83" t="s">
        <v>106</v>
      </c>
      <c r="E93" s="83" t="s">
        <v>117</v>
      </c>
      <c r="F93" s="84" t="s">
        <v>71</v>
      </c>
      <c r="G93" s="75"/>
      <c r="H93" s="92" t="s">
        <v>773</v>
      </c>
      <c r="I93" s="92">
        <v>0</v>
      </c>
      <c r="J93" s="75"/>
      <c r="K93" s="75"/>
      <c r="L93" s="88" t="s">
        <v>4274</v>
      </c>
      <c r="M93" s="88"/>
      <c r="N93" s="88" t="s">
        <v>4275</v>
      </c>
      <c r="O93" s="88" t="s">
        <v>4276</v>
      </c>
      <c r="P93" s="77"/>
      <c r="Z93" s="104"/>
      <c r="AA93" s="104"/>
      <c r="AB93" s="104"/>
      <c r="AG93" s="104"/>
    </row>
    <row r="94" spans="3:33">
      <c r="C94" s="105" t="s">
        <v>793</v>
      </c>
      <c r="D94" s="83" t="s">
        <v>794</v>
      </c>
      <c r="E94" s="83" t="s">
        <v>753</v>
      </c>
      <c r="F94" s="84" t="s">
        <v>705</v>
      </c>
      <c r="G94" s="75"/>
      <c r="H94" s="86" t="s">
        <v>737</v>
      </c>
      <c r="I94" s="86"/>
      <c r="J94" s="75"/>
      <c r="K94" s="75"/>
      <c r="L94" s="88" t="s">
        <v>4248</v>
      </c>
      <c r="M94" s="88"/>
      <c r="N94" s="88" t="s">
        <v>4277</v>
      </c>
      <c r="O94" s="88"/>
      <c r="P94" s="77"/>
      <c r="Z94" s="81"/>
      <c r="AA94" s="81"/>
      <c r="AB94" s="81"/>
      <c r="AG94" s="81"/>
    </row>
    <row r="95" spans="3:33">
      <c r="C95" s="105" t="s">
        <v>801</v>
      </c>
      <c r="D95" s="83" t="s">
        <v>710</v>
      </c>
      <c r="E95" s="83" t="s">
        <v>742</v>
      </c>
      <c r="F95" s="84" t="s">
        <v>758</v>
      </c>
      <c r="G95" s="75"/>
      <c r="H95" s="86" t="s">
        <v>1018</v>
      </c>
      <c r="I95" s="86"/>
      <c r="J95" s="75"/>
      <c r="K95" s="75"/>
      <c r="L95" s="88" t="s">
        <v>4205</v>
      </c>
      <c r="M95" s="88"/>
      <c r="N95" s="88" t="s">
        <v>4195</v>
      </c>
      <c r="O95" s="88"/>
      <c r="P95" s="77"/>
      <c r="Z95" s="81"/>
      <c r="AA95" s="81"/>
      <c r="AB95" s="81"/>
      <c r="AG95" s="81"/>
    </row>
    <row r="96" spans="3:33">
      <c r="C96" s="91" t="s">
        <v>808</v>
      </c>
      <c r="D96" s="83" t="s">
        <v>66</v>
      </c>
      <c r="E96" s="83" t="s">
        <v>56</v>
      </c>
      <c r="F96" s="84" t="s">
        <v>762</v>
      </c>
      <c r="G96" s="75"/>
      <c r="H96" s="93" t="s">
        <v>737</v>
      </c>
      <c r="I96" s="93">
        <v>37</v>
      </c>
      <c r="J96" s="75"/>
      <c r="K96" s="75"/>
      <c r="L96" s="88" t="s">
        <v>4278</v>
      </c>
      <c r="M96" s="88"/>
      <c r="N96" s="88"/>
      <c r="O96" s="88"/>
      <c r="P96" s="77"/>
      <c r="Z96" s="81"/>
      <c r="AA96" s="81"/>
      <c r="AB96" s="81"/>
      <c r="AG96" s="81"/>
    </row>
    <row r="97" spans="2:33">
      <c r="C97" s="105" t="s">
        <v>814</v>
      </c>
      <c r="D97" s="83" t="s">
        <v>65</v>
      </c>
      <c r="E97" s="83" t="s">
        <v>155</v>
      </c>
      <c r="F97" s="84" t="s">
        <v>698</v>
      </c>
      <c r="G97" s="75"/>
      <c r="H97" s="75" t="s">
        <v>773</v>
      </c>
      <c r="I97" s="75">
        <v>995</v>
      </c>
      <c r="J97" s="75">
        <v>1</v>
      </c>
      <c r="K97" s="75"/>
      <c r="L97" s="88" t="s">
        <v>4206</v>
      </c>
      <c r="M97" s="75"/>
      <c r="N97" s="75"/>
      <c r="O97" s="75"/>
      <c r="P97" s="77"/>
      <c r="Z97" s="81"/>
      <c r="AA97" s="81"/>
      <c r="AB97" s="81"/>
      <c r="AG97" s="81"/>
    </row>
    <row r="98" spans="2:33">
      <c r="C98" s="91" t="s">
        <v>818</v>
      </c>
      <c r="D98" s="83" t="s">
        <v>147</v>
      </c>
      <c r="E98" s="100" t="s">
        <v>57</v>
      </c>
      <c r="F98" s="84" t="s">
        <v>2</v>
      </c>
      <c r="G98" s="75"/>
      <c r="H98" s="92" t="s">
        <v>773</v>
      </c>
      <c r="I98" s="92">
        <v>0</v>
      </c>
      <c r="J98" s="75"/>
      <c r="K98" s="75"/>
      <c r="L98" s="75"/>
      <c r="M98" s="75"/>
      <c r="N98" s="75"/>
      <c r="O98" s="75"/>
      <c r="P98" s="77"/>
      <c r="Z98" s="81"/>
      <c r="AA98" s="81"/>
      <c r="AB98" s="81"/>
      <c r="AG98" s="81"/>
    </row>
    <row r="99" spans="2:33">
      <c r="C99" s="105" t="s">
        <v>824</v>
      </c>
      <c r="D99" s="100" t="s">
        <v>738</v>
      </c>
      <c r="E99" s="83" t="s">
        <v>747</v>
      </c>
      <c r="F99" s="84" t="s">
        <v>756</v>
      </c>
      <c r="G99" s="75"/>
      <c r="H99" s="75" t="s">
        <v>773</v>
      </c>
      <c r="I99" s="75">
        <v>1355</v>
      </c>
      <c r="J99" s="75">
        <v>1</v>
      </c>
      <c r="K99" s="75"/>
      <c r="L99" s="75"/>
      <c r="M99" s="75"/>
      <c r="N99" s="75"/>
      <c r="O99" s="75"/>
      <c r="P99" s="80"/>
      <c r="Z99" s="81"/>
      <c r="AA99" s="81"/>
      <c r="AB99" s="81"/>
      <c r="AG99" s="81"/>
    </row>
    <row r="100" spans="2:33">
      <c r="C100" s="91" t="s">
        <v>828</v>
      </c>
      <c r="D100" s="83" t="s">
        <v>61</v>
      </c>
      <c r="E100" s="83" t="s">
        <v>36</v>
      </c>
      <c r="F100" s="84" t="s">
        <v>755</v>
      </c>
      <c r="G100" s="75"/>
      <c r="H100" s="109" t="s">
        <v>773</v>
      </c>
      <c r="I100" s="109">
        <v>11</v>
      </c>
      <c r="J100" s="75"/>
      <c r="K100" s="75"/>
      <c r="L100" s="75"/>
      <c r="M100" s="75"/>
      <c r="N100" s="75"/>
      <c r="O100" s="75"/>
      <c r="P100" s="80"/>
      <c r="Z100" s="81"/>
      <c r="AA100" s="81"/>
      <c r="AB100" s="81"/>
      <c r="AG100" s="81"/>
    </row>
    <row r="101" spans="2:33">
      <c r="C101" s="105" t="s">
        <v>833</v>
      </c>
      <c r="D101" s="83" t="s">
        <v>43</v>
      </c>
      <c r="E101" s="83" t="s">
        <v>65</v>
      </c>
      <c r="F101" s="84" t="s">
        <v>781</v>
      </c>
      <c r="G101" s="75"/>
      <c r="H101" s="75" t="s">
        <v>773</v>
      </c>
      <c r="I101" s="75">
        <v>1285</v>
      </c>
      <c r="J101" s="75">
        <v>1</v>
      </c>
      <c r="K101" s="75"/>
      <c r="L101" s="75"/>
      <c r="M101" s="75"/>
      <c r="N101" s="75"/>
      <c r="O101" s="75"/>
      <c r="P101" s="80"/>
      <c r="Z101" s="81"/>
      <c r="AA101" s="81"/>
      <c r="AB101" s="81"/>
      <c r="AG101" s="81"/>
    </row>
    <row r="102" spans="2:33">
      <c r="C102" s="105" t="s">
        <v>837</v>
      </c>
      <c r="D102" s="83" t="s">
        <v>46</v>
      </c>
      <c r="E102" s="83" t="s">
        <v>53</v>
      </c>
      <c r="F102" s="84" t="s">
        <v>731</v>
      </c>
      <c r="G102" s="75"/>
      <c r="H102" s="75" t="s">
        <v>773</v>
      </c>
      <c r="I102" s="75">
        <v>384</v>
      </c>
      <c r="J102" s="75"/>
      <c r="K102" s="75"/>
      <c r="L102" s="75"/>
      <c r="M102" s="75"/>
      <c r="N102" s="75"/>
      <c r="O102" s="75"/>
      <c r="P102" s="80"/>
      <c r="Z102" s="81"/>
      <c r="AA102" s="81"/>
      <c r="AB102" s="81"/>
      <c r="AG102" s="81"/>
    </row>
    <row r="103" spans="2:33">
      <c r="B103" s="73">
        <f>COUNT(B74:B102)</f>
        <v>1</v>
      </c>
      <c r="C103" s="73">
        <f>COUNTA(C74:C102)</f>
        <v>29</v>
      </c>
      <c r="P103" s="80"/>
      <c r="Z103" s="81"/>
      <c r="AA103" s="81"/>
      <c r="AB103" s="81"/>
      <c r="AG103" s="81"/>
    </row>
    <row r="104" spans="2:33">
      <c r="P104" s="80"/>
      <c r="U104" s="75"/>
      <c r="V104" s="77"/>
      <c r="W104" s="77"/>
      <c r="X104" s="77"/>
      <c r="Y104" s="77"/>
      <c r="Z104" s="81"/>
      <c r="AA104" s="81"/>
      <c r="AB104" s="81"/>
      <c r="AG104" s="81"/>
    </row>
    <row r="105" spans="2:33">
      <c r="P105" s="80"/>
      <c r="Q105" s="77"/>
      <c r="R105" s="77"/>
      <c r="S105" s="77"/>
      <c r="T105" s="77"/>
      <c r="U105" s="77"/>
      <c r="V105" s="77"/>
      <c r="W105" s="80"/>
      <c r="X105" s="80"/>
      <c r="Y105" s="80"/>
    </row>
    <row r="106" spans="2:33">
      <c r="P106" s="80"/>
      <c r="Q106" s="80"/>
      <c r="R106" s="80"/>
      <c r="S106" s="80"/>
      <c r="T106" s="77"/>
      <c r="U106" s="77"/>
      <c r="V106" s="77"/>
      <c r="W106" s="77"/>
      <c r="X106" s="77"/>
      <c r="Y106" s="77"/>
      <c r="Z106" s="81"/>
    </row>
    <row r="107" spans="2:33">
      <c r="C107" s="95" t="s">
        <v>192</v>
      </c>
      <c r="D107" s="75" t="s">
        <v>689</v>
      </c>
      <c r="E107" s="75" t="s">
        <v>690</v>
      </c>
      <c r="F107" s="76" t="s">
        <v>691</v>
      </c>
      <c r="G107" s="77"/>
      <c r="H107" s="78" t="s">
        <v>692</v>
      </c>
      <c r="I107" s="78" t="s">
        <v>954</v>
      </c>
      <c r="J107" s="79" t="s">
        <v>4157</v>
      </c>
      <c r="K107" s="77"/>
      <c r="L107" s="77"/>
      <c r="M107" s="80"/>
      <c r="N107" s="80"/>
      <c r="O107" s="80"/>
      <c r="P107" s="80"/>
      <c r="Q107" s="80"/>
      <c r="R107" s="80"/>
      <c r="S107" s="80"/>
      <c r="T107" s="77"/>
      <c r="U107" s="77"/>
      <c r="V107" s="77"/>
      <c r="W107" s="77"/>
      <c r="X107" s="77"/>
      <c r="Y107" s="77"/>
      <c r="Z107" s="81"/>
    </row>
    <row r="108" spans="2:33">
      <c r="C108" s="105" t="s">
        <v>335</v>
      </c>
      <c r="D108" s="83" t="s">
        <v>699</v>
      </c>
      <c r="E108" s="84" t="s">
        <v>19</v>
      </c>
      <c r="F108" s="84" t="s">
        <v>29</v>
      </c>
      <c r="G108" s="77"/>
      <c r="H108" s="75" t="s">
        <v>737</v>
      </c>
      <c r="I108" s="75">
        <v>65</v>
      </c>
      <c r="J108" s="75">
        <v>5</v>
      </c>
      <c r="K108" s="77"/>
      <c r="L108" s="85" t="s">
        <v>4167</v>
      </c>
      <c r="M108" s="85" t="s">
        <v>3178</v>
      </c>
      <c r="N108" s="85" t="s">
        <v>4160</v>
      </c>
      <c r="O108" s="85" t="s">
        <v>4232</v>
      </c>
      <c r="T108" s="81"/>
      <c r="U108" s="81"/>
      <c r="V108" s="81"/>
      <c r="W108" s="81"/>
      <c r="X108" s="81"/>
      <c r="Y108" s="81"/>
      <c r="Z108" s="81"/>
    </row>
    <row r="109" spans="2:33">
      <c r="C109" s="105" t="s">
        <v>278</v>
      </c>
      <c r="D109" s="83" t="s">
        <v>709</v>
      </c>
      <c r="E109" s="83" t="s">
        <v>710</v>
      </c>
      <c r="F109" s="84" t="s">
        <v>15</v>
      </c>
      <c r="G109" s="77"/>
      <c r="H109" s="75" t="s">
        <v>1019</v>
      </c>
      <c r="I109" s="75">
        <v>130</v>
      </c>
      <c r="J109" s="75">
        <v>5</v>
      </c>
      <c r="K109" s="77"/>
      <c r="L109" s="85" t="s">
        <v>4279</v>
      </c>
      <c r="M109" s="85" t="s">
        <v>4172</v>
      </c>
      <c r="N109" s="85" t="s">
        <v>4211</v>
      </c>
      <c r="O109" s="85" t="s">
        <v>4280</v>
      </c>
      <c r="T109" s="81"/>
      <c r="U109" s="81"/>
      <c r="V109" s="81"/>
      <c r="W109" s="81"/>
      <c r="X109" s="81"/>
      <c r="Y109" s="81"/>
      <c r="Z109" s="81"/>
    </row>
    <row r="110" spans="2:33">
      <c r="C110" s="91" t="s">
        <v>369</v>
      </c>
      <c r="D110" s="83" t="s">
        <v>110</v>
      </c>
      <c r="E110" s="84" t="s">
        <v>73</v>
      </c>
      <c r="F110" s="84" t="s">
        <v>716</v>
      </c>
      <c r="G110" s="77"/>
      <c r="H110" s="92" t="s">
        <v>894</v>
      </c>
      <c r="I110" s="92">
        <v>32</v>
      </c>
      <c r="J110" s="75"/>
      <c r="K110" s="77"/>
      <c r="L110" s="85" t="s">
        <v>4176</v>
      </c>
      <c r="M110" s="85"/>
      <c r="N110" s="85" t="s">
        <v>4214</v>
      </c>
      <c r="O110" s="85" t="s">
        <v>3220</v>
      </c>
    </row>
    <row r="111" spans="2:33">
      <c r="C111" s="105" t="s">
        <v>367</v>
      </c>
      <c r="D111" s="83" t="s">
        <v>58</v>
      </c>
      <c r="E111" s="83" t="s">
        <v>709</v>
      </c>
      <c r="F111" s="84" t="s">
        <v>2</v>
      </c>
      <c r="G111" s="77"/>
      <c r="H111" s="75" t="s">
        <v>894</v>
      </c>
      <c r="I111" s="75">
        <v>315</v>
      </c>
      <c r="J111" s="75">
        <v>7</v>
      </c>
      <c r="K111" s="77"/>
      <c r="L111" s="85" t="s">
        <v>4281</v>
      </c>
      <c r="M111" s="85"/>
      <c r="N111" s="85" t="s">
        <v>4282</v>
      </c>
      <c r="O111" s="85" t="s">
        <v>4283</v>
      </c>
    </row>
    <row r="112" spans="2:33">
      <c r="C112" s="105" t="s">
        <v>299</v>
      </c>
      <c r="D112" s="83" t="s">
        <v>117</v>
      </c>
      <c r="E112" s="84" t="s">
        <v>18</v>
      </c>
      <c r="F112" s="84" t="s">
        <v>32</v>
      </c>
      <c r="G112" s="80"/>
      <c r="H112" s="75" t="s">
        <v>737</v>
      </c>
      <c r="I112" s="75">
        <v>1139</v>
      </c>
      <c r="J112" s="75">
        <v>9</v>
      </c>
      <c r="K112" s="80"/>
      <c r="L112" s="85" t="s">
        <v>4226</v>
      </c>
      <c r="M112" s="85"/>
      <c r="N112" s="85" t="s">
        <v>3245</v>
      </c>
      <c r="O112" s="85" t="s">
        <v>4284</v>
      </c>
    </row>
    <row r="113" spans="3:15">
      <c r="C113" s="105" t="s">
        <v>281</v>
      </c>
      <c r="D113" s="83" t="s">
        <v>155</v>
      </c>
      <c r="E113" s="83" t="s">
        <v>710</v>
      </c>
      <c r="F113" s="84" t="s">
        <v>15</v>
      </c>
      <c r="G113" s="80"/>
      <c r="H113" s="75" t="s">
        <v>737</v>
      </c>
      <c r="I113" s="75">
        <v>1485</v>
      </c>
      <c r="J113" s="75">
        <v>7</v>
      </c>
      <c r="K113" s="80"/>
      <c r="L113" s="85" t="s">
        <v>4285</v>
      </c>
      <c r="M113" s="85"/>
      <c r="N113" s="85"/>
      <c r="O113" s="85" t="s">
        <v>4166</v>
      </c>
    </row>
    <row r="114" spans="3:15">
      <c r="C114" s="105" t="s">
        <v>284</v>
      </c>
      <c r="D114" s="83" t="s">
        <v>713</v>
      </c>
      <c r="E114" s="84" t="s">
        <v>15</v>
      </c>
      <c r="F114" s="84" t="s">
        <v>73</v>
      </c>
      <c r="G114" s="80"/>
      <c r="H114" s="75" t="s">
        <v>737</v>
      </c>
      <c r="I114" s="75">
        <v>1326</v>
      </c>
      <c r="J114" s="75">
        <v>5</v>
      </c>
      <c r="K114" s="80"/>
      <c r="L114" s="85" t="s">
        <v>4177</v>
      </c>
      <c r="M114" s="85"/>
      <c r="N114" s="85"/>
      <c r="O114" s="85" t="s">
        <v>4257</v>
      </c>
    </row>
    <row r="115" spans="3:15">
      <c r="C115" s="106" t="s">
        <v>127</v>
      </c>
      <c r="D115" s="83" t="s">
        <v>61</v>
      </c>
      <c r="E115" s="83" t="s">
        <v>734</v>
      </c>
      <c r="F115" s="84" t="s">
        <v>71</v>
      </c>
      <c r="G115" s="80"/>
      <c r="H115" s="107" t="s">
        <v>736</v>
      </c>
      <c r="I115" s="75">
        <v>814</v>
      </c>
      <c r="J115" s="75">
        <v>7</v>
      </c>
      <c r="K115" s="80"/>
      <c r="L115" s="85"/>
      <c r="M115" s="85"/>
      <c r="N115" s="85"/>
      <c r="O115" s="85" t="s">
        <v>4217</v>
      </c>
    </row>
    <row r="116" spans="3:15">
      <c r="C116" s="105" t="s">
        <v>318</v>
      </c>
      <c r="D116" s="83" t="s">
        <v>106</v>
      </c>
      <c r="E116" s="84" t="s">
        <v>32</v>
      </c>
      <c r="F116" s="84" t="s">
        <v>738</v>
      </c>
      <c r="G116" s="80"/>
      <c r="H116" s="75" t="s">
        <v>737</v>
      </c>
      <c r="I116" s="75">
        <v>501</v>
      </c>
      <c r="J116" s="75">
        <v>7</v>
      </c>
      <c r="K116" s="80"/>
      <c r="L116" s="85"/>
      <c r="M116" s="85"/>
      <c r="N116" s="85"/>
      <c r="O116" s="85" t="s">
        <v>4286</v>
      </c>
    </row>
    <row r="117" spans="3:15">
      <c r="C117" s="105" t="s">
        <v>324</v>
      </c>
      <c r="D117" s="83" t="s">
        <v>743</v>
      </c>
      <c r="E117" s="84" t="s">
        <v>73</v>
      </c>
      <c r="F117" s="84" t="s">
        <v>708</v>
      </c>
      <c r="G117" s="80"/>
      <c r="H117" s="75" t="s">
        <v>737</v>
      </c>
      <c r="I117" s="75">
        <v>1168</v>
      </c>
      <c r="J117" s="75">
        <v>7</v>
      </c>
      <c r="K117" s="80"/>
      <c r="L117" s="108"/>
      <c r="M117" s="108"/>
      <c r="N117" s="108"/>
      <c r="O117" s="85" t="s">
        <v>4175</v>
      </c>
    </row>
    <row r="118" spans="3:15">
      <c r="C118" s="105" t="s">
        <v>746</v>
      </c>
      <c r="D118" s="83" t="s">
        <v>121</v>
      </c>
      <c r="E118" s="83" t="s">
        <v>747</v>
      </c>
      <c r="F118" s="84" t="s">
        <v>738</v>
      </c>
      <c r="G118" s="80"/>
      <c r="H118" s="75" t="s">
        <v>909</v>
      </c>
      <c r="I118" s="75">
        <v>926</v>
      </c>
      <c r="J118" s="75">
        <v>5</v>
      </c>
      <c r="K118" s="80"/>
      <c r="L118" s="108"/>
      <c r="M118" s="108"/>
      <c r="N118" s="108"/>
      <c r="O118" s="85" t="s">
        <v>4260</v>
      </c>
    </row>
    <row r="119" spans="3:15">
      <c r="C119" s="91" t="s">
        <v>749</v>
      </c>
      <c r="D119" s="83" t="s">
        <v>125</v>
      </c>
      <c r="E119" s="83" t="s">
        <v>117</v>
      </c>
      <c r="F119" s="84" t="s">
        <v>22</v>
      </c>
      <c r="G119" s="80"/>
      <c r="H119" s="92" t="s">
        <v>894</v>
      </c>
      <c r="I119" s="92">
        <v>36</v>
      </c>
      <c r="J119" s="75"/>
      <c r="K119" s="80"/>
      <c r="L119" s="108"/>
      <c r="M119" s="108"/>
      <c r="N119" s="108"/>
      <c r="O119" s="85" t="s">
        <v>4287</v>
      </c>
    </row>
    <row r="120" spans="3:15">
      <c r="C120" s="105" t="s">
        <v>752</v>
      </c>
      <c r="D120" s="83" t="s">
        <v>701</v>
      </c>
      <c r="E120" s="83" t="s">
        <v>753</v>
      </c>
      <c r="F120" s="84" t="s">
        <v>716</v>
      </c>
      <c r="G120" s="80"/>
      <c r="H120" s="101" t="s">
        <v>1020</v>
      </c>
      <c r="I120" s="75">
        <v>1453</v>
      </c>
      <c r="J120" s="75">
        <v>5</v>
      </c>
      <c r="K120" s="80"/>
      <c r="L120" s="108"/>
      <c r="M120" s="108"/>
      <c r="N120" s="108"/>
      <c r="O120" s="85" t="s">
        <v>4229</v>
      </c>
    </row>
    <row r="121" spans="3:15">
      <c r="C121" s="105" t="s">
        <v>399</v>
      </c>
      <c r="D121" s="83" t="s">
        <v>132</v>
      </c>
      <c r="E121" s="84" t="s">
        <v>757</v>
      </c>
      <c r="F121" s="84" t="s">
        <v>99</v>
      </c>
      <c r="G121" s="80"/>
      <c r="H121" s="75" t="s">
        <v>737</v>
      </c>
      <c r="I121" s="75">
        <v>1265</v>
      </c>
      <c r="J121" s="75">
        <v>5</v>
      </c>
      <c r="K121" s="80"/>
      <c r="L121" s="85"/>
      <c r="M121" s="85"/>
      <c r="N121" s="108"/>
      <c r="O121" s="85" t="s">
        <v>3246</v>
      </c>
    </row>
    <row r="122" spans="3:15">
      <c r="C122" s="105" t="s">
        <v>405</v>
      </c>
      <c r="D122" s="100" t="s">
        <v>57</v>
      </c>
      <c r="E122" s="84" t="s">
        <v>762</v>
      </c>
      <c r="F122" s="84" t="s">
        <v>738</v>
      </c>
      <c r="G122" s="80"/>
      <c r="H122" s="75" t="s">
        <v>737</v>
      </c>
      <c r="I122" s="75">
        <v>1350</v>
      </c>
      <c r="J122" s="75">
        <v>5</v>
      </c>
      <c r="K122" s="80"/>
      <c r="L122" s="75"/>
      <c r="M122" s="75"/>
      <c r="N122" s="75"/>
      <c r="O122" s="75"/>
    </row>
    <row r="123" spans="3:15">
      <c r="C123" s="105" t="s">
        <v>414</v>
      </c>
      <c r="D123" s="83" t="s">
        <v>742</v>
      </c>
      <c r="E123" s="84" t="s">
        <v>767</v>
      </c>
      <c r="F123" s="84" t="s">
        <v>738</v>
      </c>
      <c r="G123" s="80"/>
      <c r="H123" s="75" t="s">
        <v>737</v>
      </c>
      <c r="I123" s="75">
        <v>1307</v>
      </c>
      <c r="J123" s="75">
        <v>5</v>
      </c>
      <c r="K123" s="80"/>
      <c r="L123" s="75"/>
      <c r="M123" s="75"/>
      <c r="N123" s="75"/>
      <c r="O123" s="75"/>
    </row>
    <row r="124" spans="3:15">
      <c r="C124" s="91" t="s">
        <v>772</v>
      </c>
      <c r="D124" s="83" t="s">
        <v>58</v>
      </c>
      <c r="E124" s="83" t="s">
        <v>36</v>
      </c>
      <c r="F124" s="84" t="s">
        <v>19</v>
      </c>
      <c r="G124" s="80"/>
      <c r="H124" s="92" t="s">
        <v>773</v>
      </c>
      <c r="I124" s="92">
        <v>0</v>
      </c>
      <c r="J124" s="75"/>
      <c r="K124" s="80"/>
      <c r="L124" s="88" t="s">
        <v>4288</v>
      </c>
      <c r="M124" s="88" t="s">
        <v>4182</v>
      </c>
      <c r="N124" s="88" t="s">
        <v>4289</v>
      </c>
      <c r="O124" s="88" t="s">
        <v>4290</v>
      </c>
    </row>
    <row r="125" spans="3:15">
      <c r="C125" s="105" t="s">
        <v>778</v>
      </c>
      <c r="D125" s="100" t="s">
        <v>738</v>
      </c>
      <c r="E125" s="83" t="s">
        <v>747</v>
      </c>
      <c r="F125" s="84" t="s">
        <v>715</v>
      </c>
      <c r="G125" s="80"/>
      <c r="H125" s="75" t="s">
        <v>773</v>
      </c>
      <c r="I125" s="75">
        <v>1194</v>
      </c>
      <c r="J125" s="75">
        <v>1</v>
      </c>
      <c r="K125" s="80"/>
      <c r="L125" s="88" t="s">
        <v>4291</v>
      </c>
      <c r="M125" s="88" t="s">
        <v>3183</v>
      </c>
      <c r="N125" s="88" t="s">
        <v>4292</v>
      </c>
      <c r="O125" s="88" t="s">
        <v>3235</v>
      </c>
    </row>
    <row r="126" spans="3:15">
      <c r="C126" s="105" t="s">
        <v>783</v>
      </c>
      <c r="D126" s="83" t="s">
        <v>704</v>
      </c>
      <c r="E126" s="83" t="s">
        <v>724</v>
      </c>
      <c r="F126" s="84" t="s">
        <v>29</v>
      </c>
      <c r="G126" s="80"/>
      <c r="H126" s="75" t="s">
        <v>773</v>
      </c>
      <c r="I126" s="75">
        <v>1312</v>
      </c>
      <c r="J126" s="75">
        <v>1</v>
      </c>
      <c r="K126" s="80"/>
      <c r="L126" s="88" t="s">
        <v>4274</v>
      </c>
      <c r="M126" s="88" t="s">
        <v>4239</v>
      </c>
      <c r="N126" s="88" t="s">
        <v>3223</v>
      </c>
      <c r="O126" s="88" t="s">
        <v>3233</v>
      </c>
    </row>
    <row r="127" spans="3:15">
      <c r="C127" s="105" t="s">
        <v>788</v>
      </c>
      <c r="D127" s="83" t="s">
        <v>38</v>
      </c>
      <c r="E127" s="83" t="s">
        <v>43</v>
      </c>
      <c r="F127" s="84" t="s">
        <v>767</v>
      </c>
      <c r="G127" s="80"/>
      <c r="H127" s="86" t="s">
        <v>737</v>
      </c>
      <c r="I127" s="86">
        <v>3</v>
      </c>
      <c r="J127" s="75"/>
      <c r="K127" s="80"/>
      <c r="L127" s="88" t="s">
        <v>4293</v>
      </c>
      <c r="M127" s="88"/>
      <c r="N127" s="88" t="s">
        <v>4294</v>
      </c>
      <c r="O127" s="88" t="s">
        <v>4295</v>
      </c>
    </row>
    <row r="128" spans="3:15">
      <c r="C128" s="105" t="s">
        <v>795</v>
      </c>
      <c r="D128" s="83" t="s">
        <v>110</v>
      </c>
      <c r="E128" s="83" t="s">
        <v>699</v>
      </c>
      <c r="F128" s="84" t="s">
        <v>32</v>
      </c>
      <c r="G128" s="80"/>
      <c r="H128" s="75" t="s">
        <v>773</v>
      </c>
      <c r="I128" s="75">
        <v>996</v>
      </c>
      <c r="J128" s="75">
        <v>1</v>
      </c>
      <c r="K128" s="80"/>
      <c r="L128" s="88"/>
      <c r="M128" s="88"/>
      <c r="N128" s="88" t="s">
        <v>4195</v>
      </c>
      <c r="O128" s="88" t="s">
        <v>4296</v>
      </c>
    </row>
    <row r="129" spans="2:15">
      <c r="C129" s="105" t="s">
        <v>802</v>
      </c>
      <c r="D129" s="83" t="s">
        <v>734</v>
      </c>
      <c r="E129" s="83" t="s">
        <v>124</v>
      </c>
      <c r="F129" s="84" t="s">
        <v>803</v>
      </c>
      <c r="G129" s="80"/>
      <c r="H129" s="75" t="s">
        <v>773</v>
      </c>
      <c r="I129" s="75">
        <v>989</v>
      </c>
      <c r="J129" s="75">
        <v>1</v>
      </c>
      <c r="K129" s="80"/>
      <c r="L129" s="88"/>
      <c r="M129" s="88"/>
      <c r="N129" s="88"/>
      <c r="O129" s="88" t="s">
        <v>4297</v>
      </c>
    </row>
    <row r="130" spans="2:15">
      <c r="C130" s="105" t="s">
        <v>809</v>
      </c>
      <c r="D130" s="83" t="s">
        <v>51</v>
      </c>
      <c r="E130" s="83" t="s">
        <v>66</v>
      </c>
      <c r="F130" s="84" t="s">
        <v>757</v>
      </c>
      <c r="G130" s="80"/>
      <c r="H130" s="75" t="s">
        <v>773</v>
      </c>
      <c r="I130" s="75">
        <v>1304</v>
      </c>
      <c r="J130" s="75">
        <v>1</v>
      </c>
      <c r="K130" s="80"/>
      <c r="L130" s="75"/>
      <c r="M130" s="75"/>
      <c r="N130" s="75"/>
      <c r="O130" s="75"/>
    </row>
    <row r="131" spans="2:15">
      <c r="C131" s="105" t="s">
        <v>815</v>
      </c>
      <c r="D131" s="100" t="s">
        <v>57</v>
      </c>
      <c r="E131" s="83" t="s">
        <v>110</v>
      </c>
      <c r="F131" s="84" t="s">
        <v>716</v>
      </c>
      <c r="G131" s="80"/>
      <c r="H131" s="75" t="s">
        <v>773</v>
      </c>
      <c r="I131" s="75">
        <v>1361</v>
      </c>
      <c r="J131" s="75">
        <v>1</v>
      </c>
      <c r="K131" s="80"/>
      <c r="L131" s="75"/>
      <c r="M131" s="75"/>
      <c r="N131" s="75"/>
      <c r="O131" s="75"/>
    </row>
    <row r="132" spans="2:15">
      <c r="C132" s="105" t="s">
        <v>819</v>
      </c>
      <c r="D132" s="83" t="s">
        <v>125</v>
      </c>
      <c r="E132" s="83" t="s">
        <v>121</v>
      </c>
      <c r="F132" s="84" t="s">
        <v>99</v>
      </c>
      <c r="G132" s="80"/>
      <c r="H132" s="75" t="s">
        <v>773</v>
      </c>
      <c r="I132" s="75">
        <v>1302</v>
      </c>
      <c r="J132" s="75"/>
      <c r="K132" s="80"/>
      <c r="L132" s="75"/>
      <c r="M132" s="75"/>
      <c r="N132" s="75"/>
      <c r="O132" s="75"/>
    </row>
    <row r="133" spans="2:15">
      <c r="B133" s="73">
        <f>COUNT(B108:B132)</f>
        <v>0</v>
      </c>
      <c r="C133" s="73">
        <f>COUNTA(C108:C132)</f>
        <v>25</v>
      </c>
      <c r="G133" s="80"/>
      <c r="H133" s="75"/>
      <c r="I133" s="75"/>
      <c r="J133" s="75"/>
      <c r="K133" s="80"/>
    </row>
    <row r="134" spans="2:15">
      <c r="C134" s="80"/>
      <c r="D134" s="80"/>
      <c r="E134" s="80"/>
      <c r="F134" s="80"/>
      <c r="G134" s="80"/>
      <c r="H134" s="75"/>
      <c r="I134" s="75"/>
      <c r="J134" s="75"/>
      <c r="K134" s="80"/>
    </row>
    <row r="137" ht="18" customHeight="1" spans="2:15">
      <c r="B137" s="2" t="s">
        <v>4155</v>
      </c>
      <c r="C137" s="2" t="s">
        <v>191</v>
      </c>
      <c r="D137" s="110" t="s">
        <v>189</v>
      </c>
      <c r="E137" s="110" t="s">
        <v>190</v>
      </c>
      <c r="F137" s="110" t="s">
        <v>192</v>
      </c>
    </row>
    <row r="138" ht="18" customHeight="1" spans="2:15">
      <c r="B138" s="2" t="s">
        <v>900</v>
      </c>
      <c r="C138" s="111">
        <v>73220</v>
      </c>
      <c r="D138" s="111">
        <v>585760</v>
      </c>
      <c r="E138" s="111">
        <v>146440</v>
      </c>
      <c r="F138" s="111">
        <v>73220</v>
      </c>
    </row>
    <row r="139" ht="18" customHeight="1" spans="2:15">
      <c r="B139" s="2" t="s">
        <v>902</v>
      </c>
      <c r="C139" s="111">
        <v>29</v>
      </c>
      <c r="D139" s="111">
        <v>35</v>
      </c>
      <c r="E139" s="111">
        <v>29</v>
      </c>
      <c r="F139" s="111">
        <v>25</v>
      </c>
    </row>
    <row r="140" ht="18" customHeight="1" spans="2:15">
      <c r="B140" s="2" t="s">
        <v>905</v>
      </c>
      <c r="C140" s="111">
        <f>C138*C139</f>
        <v>2123380</v>
      </c>
      <c r="D140" s="111">
        <f t="shared" ref="D140:F140" si="0">D138*D139</f>
        <v>20501600</v>
      </c>
      <c r="E140" s="111">
        <f t="shared" si="0"/>
        <v>4246760</v>
      </c>
      <c r="F140" s="111">
        <f t="shared" si="0"/>
        <v>1830500</v>
      </c>
    </row>
    <row r="141" ht="18" customHeight="1" spans="2:15">
      <c r="C141" s="73"/>
      <c r="D141" s="73"/>
      <c r="E141" s="73"/>
      <c r="F141" s="73"/>
    </row>
  </sheetData>
  <pageMargins left="0.7" right="0.7" top="0.75" bottom="0.75" header="0.3" footer="0.3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1"/>
  <sheetViews>
    <sheetView zoomScale="85" zoomScaleNormal="85" workbookViewId="0">
      <selection activeCell="L11" sqref="L11:O35"/>
    </sheetView>
  </sheetViews>
  <sheetFormatPr defaultColWidth="9" defaultRowHeight="13.5"/>
  <cols>
    <col min="1" max="1" width="9" style="43"/>
    <col min="2" max="2" width="14.375" style="43" customWidth="1"/>
    <col min="3" max="11" width="9" style="43"/>
    <col min="12" max="12" width="17.625" style="43" customWidth="1"/>
    <col min="13" max="18" width="9" style="43"/>
    <col min="19" max="19" width="11.625" style="43" customWidth="1"/>
    <col min="20" max="20" width="9" style="43"/>
    <col min="21" max="21" width="12.375" style="43" customWidth="1"/>
    <col min="22" max="16384" width="9" style="43"/>
  </cols>
  <sheetData>
    <row r="1" ht="14.25"/>
    <row r="2" ht="14.25" spans="2:21">
      <c r="B2" s="44" t="s">
        <v>96</v>
      </c>
      <c r="C2" s="44" t="s">
        <v>4298</v>
      </c>
      <c r="D2" s="44" t="s">
        <v>4299</v>
      </c>
      <c r="E2" s="44" t="s">
        <v>4300</v>
      </c>
      <c r="F2" s="44" t="s">
        <v>4301</v>
      </c>
      <c r="G2" s="45"/>
      <c r="H2" s="45"/>
      <c r="I2" s="45"/>
      <c r="J2" s="45"/>
      <c r="L2" s="45" t="s">
        <v>28</v>
      </c>
      <c r="M2" s="45"/>
      <c r="N2" s="45" t="s">
        <v>2579</v>
      </c>
      <c r="O2" s="45" t="s">
        <v>2580</v>
      </c>
      <c r="P2" s="45" t="s">
        <v>2581</v>
      </c>
      <c r="R2" s="46" t="s">
        <v>4302</v>
      </c>
      <c r="S2" s="47" t="s">
        <v>5</v>
      </c>
      <c r="T2" s="48" t="s">
        <v>4302</v>
      </c>
      <c r="U2" s="49" t="s">
        <v>5</v>
      </c>
    </row>
    <row r="3" ht="14.25" spans="2:21">
      <c r="B3" s="44" t="s">
        <v>101</v>
      </c>
      <c r="C3" s="44" t="s">
        <v>4303</v>
      </c>
      <c r="D3" s="44" t="s">
        <v>4304</v>
      </c>
      <c r="E3" s="44" t="s">
        <v>4305</v>
      </c>
      <c r="F3" s="44" t="s">
        <v>4306</v>
      </c>
      <c r="G3" s="44" t="s">
        <v>4307</v>
      </c>
      <c r="H3" s="44" t="s">
        <v>4308</v>
      </c>
      <c r="I3" s="45"/>
      <c r="J3" s="45"/>
      <c r="L3" s="45" t="s">
        <v>31</v>
      </c>
      <c r="M3" s="45"/>
      <c r="N3" s="45" t="s">
        <v>2573</v>
      </c>
      <c r="O3" s="45" t="s">
        <v>2574</v>
      </c>
      <c r="P3" s="45" t="s">
        <v>2575</v>
      </c>
      <c r="R3" s="50">
        <v>56</v>
      </c>
      <c r="S3" s="51" t="s">
        <v>10</v>
      </c>
      <c r="T3" s="52">
        <v>28</v>
      </c>
      <c r="U3" s="53" t="s">
        <v>48</v>
      </c>
    </row>
    <row r="4" spans="2:21">
      <c r="B4" s="44" t="s">
        <v>94</v>
      </c>
      <c r="C4" s="44" t="s">
        <v>4309</v>
      </c>
      <c r="D4" s="44" t="s">
        <v>4310</v>
      </c>
      <c r="E4" s="44" t="s">
        <v>4311</v>
      </c>
      <c r="F4" s="44" t="s">
        <v>4312</v>
      </c>
      <c r="G4" s="44" t="s">
        <v>4313</v>
      </c>
      <c r="H4" s="44" t="s">
        <v>4314</v>
      </c>
      <c r="I4" s="44" t="s">
        <v>4315</v>
      </c>
      <c r="J4" s="44" t="s">
        <v>4316</v>
      </c>
      <c r="L4" s="45" t="s">
        <v>34</v>
      </c>
      <c r="M4" s="45"/>
      <c r="N4" s="45" t="s">
        <v>2568</v>
      </c>
      <c r="O4" s="45" t="s">
        <v>2569</v>
      </c>
      <c r="P4" s="45" t="s">
        <v>2570</v>
      </c>
      <c r="R4" s="54">
        <v>55</v>
      </c>
      <c r="S4" s="55" t="s">
        <v>15</v>
      </c>
      <c r="T4" s="56">
        <v>27</v>
      </c>
      <c r="U4" s="57" t="s">
        <v>155</v>
      </c>
    </row>
    <row r="5" spans="2:21">
      <c r="B5" s="44" t="s">
        <v>85</v>
      </c>
      <c r="C5" s="44" t="s">
        <v>4317</v>
      </c>
      <c r="D5" s="44" t="s">
        <v>4318</v>
      </c>
      <c r="E5" s="44" t="s">
        <v>4319</v>
      </c>
      <c r="F5" s="44" t="s">
        <v>4320</v>
      </c>
      <c r="G5" s="44" t="s">
        <v>4321</v>
      </c>
      <c r="H5" s="44" t="s">
        <v>4322</v>
      </c>
      <c r="I5" s="45"/>
      <c r="J5" s="45"/>
      <c r="L5" s="45" t="s">
        <v>7</v>
      </c>
      <c r="M5" s="58" t="s">
        <v>2562</v>
      </c>
      <c r="N5" s="45" t="s">
        <v>2563</v>
      </c>
      <c r="O5" s="45" t="s">
        <v>2564</v>
      </c>
      <c r="P5" s="45" t="s">
        <v>2565</v>
      </c>
      <c r="R5" s="54">
        <v>54</v>
      </c>
      <c r="S5" s="55" t="s">
        <v>20</v>
      </c>
      <c r="T5" s="56">
        <v>26</v>
      </c>
      <c r="U5" s="57" t="s">
        <v>61</v>
      </c>
    </row>
    <row r="6" spans="2:21">
      <c r="B6" s="44" t="s">
        <v>109</v>
      </c>
      <c r="C6" s="44" t="s">
        <v>4323</v>
      </c>
      <c r="D6" s="44" t="s">
        <v>4324</v>
      </c>
      <c r="E6" s="44" t="s">
        <v>4325</v>
      </c>
      <c r="F6" s="44" t="s">
        <v>4326</v>
      </c>
      <c r="G6" s="45"/>
      <c r="H6" s="45"/>
      <c r="I6" s="45"/>
      <c r="J6" s="45"/>
      <c r="L6" s="45" t="s">
        <v>12</v>
      </c>
      <c r="M6" s="58" t="s">
        <v>2555</v>
      </c>
      <c r="N6" s="45" t="s">
        <v>2556</v>
      </c>
      <c r="O6" s="45" t="s">
        <v>2557</v>
      </c>
      <c r="P6" s="45" t="s">
        <v>2558</v>
      </c>
      <c r="R6" s="54">
        <v>53</v>
      </c>
      <c r="S6" s="55" t="s">
        <v>24</v>
      </c>
      <c r="T6" s="56">
        <v>25</v>
      </c>
      <c r="U6" s="57" t="s">
        <v>47</v>
      </c>
    </row>
    <row r="7" spans="2:21">
      <c r="B7" s="44" t="s">
        <v>98</v>
      </c>
      <c r="C7" s="44" t="s">
        <v>4327</v>
      </c>
      <c r="D7" s="44" t="s">
        <v>4328</v>
      </c>
      <c r="E7" s="44" t="s">
        <v>4329</v>
      </c>
      <c r="F7" s="44" t="s">
        <v>4330</v>
      </c>
      <c r="G7" s="45"/>
      <c r="H7" s="45"/>
      <c r="I7" s="45"/>
      <c r="J7" s="45"/>
      <c r="L7" s="45" t="s">
        <v>17</v>
      </c>
      <c r="M7" s="58" t="s">
        <v>2546</v>
      </c>
      <c r="N7" s="45" t="s">
        <v>2547</v>
      </c>
      <c r="O7" s="45" t="s">
        <v>2548</v>
      </c>
      <c r="P7" s="45" t="s">
        <v>2549</v>
      </c>
      <c r="R7" s="54">
        <v>52</v>
      </c>
      <c r="S7" s="55" t="s">
        <v>26</v>
      </c>
      <c r="T7" s="56">
        <v>24</v>
      </c>
      <c r="U7" s="57" t="s">
        <v>1647</v>
      </c>
    </row>
    <row r="8" spans="2:21">
      <c r="B8" s="44" t="s">
        <v>90</v>
      </c>
      <c r="C8" s="44" t="s">
        <v>4331</v>
      </c>
      <c r="D8" s="44" t="s">
        <v>4332</v>
      </c>
      <c r="E8" s="44" t="s">
        <v>4333</v>
      </c>
      <c r="F8" s="44" t="s">
        <v>4334</v>
      </c>
      <c r="G8" s="44" t="s">
        <v>4335</v>
      </c>
      <c r="H8" s="44" t="s">
        <v>4336</v>
      </c>
      <c r="I8" s="44" t="s">
        <v>895</v>
      </c>
      <c r="J8" s="59" t="s">
        <v>4337</v>
      </c>
      <c r="R8" s="54">
        <v>51</v>
      </c>
      <c r="S8" s="55" t="s">
        <v>29</v>
      </c>
      <c r="T8" s="56">
        <v>23</v>
      </c>
      <c r="U8" s="57" t="s">
        <v>57</v>
      </c>
    </row>
    <row r="9" spans="2:21">
      <c r="B9" s="44" t="s">
        <v>88</v>
      </c>
      <c r="C9" s="44" t="s">
        <v>4338</v>
      </c>
      <c r="D9" s="44" t="s">
        <v>4339</v>
      </c>
      <c r="E9" s="44" t="s">
        <v>4340</v>
      </c>
      <c r="F9" s="44" t="s">
        <v>4341</v>
      </c>
      <c r="G9" s="59" t="s">
        <v>4342</v>
      </c>
      <c r="H9" s="45"/>
      <c r="I9" s="45"/>
      <c r="J9" s="45"/>
      <c r="R9" s="54">
        <v>50</v>
      </c>
      <c r="S9" s="55" t="s">
        <v>32</v>
      </c>
      <c r="T9" s="56">
        <v>22</v>
      </c>
      <c r="U9" s="57" t="s">
        <v>41</v>
      </c>
    </row>
    <row r="10" spans="2:21">
      <c r="B10" s="44" t="s">
        <v>89</v>
      </c>
      <c r="C10" s="44" t="s">
        <v>4343</v>
      </c>
      <c r="D10" s="44" t="s">
        <v>4344</v>
      </c>
      <c r="E10" s="44" t="s">
        <v>4345</v>
      </c>
      <c r="F10" s="44" t="s">
        <v>4346</v>
      </c>
      <c r="G10" s="44" t="s">
        <v>4347</v>
      </c>
      <c r="H10" s="45"/>
      <c r="I10" s="45"/>
      <c r="J10" s="45"/>
      <c r="R10" s="54">
        <v>49</v>
      </c>
      <c r="S10" s="55" t="s">
        <v>13</v>
      </c>
      <c r="T10" s="56">
        <v>21</v>
      </c>
      <c r="U10" s="57" t="s">
        <v>4348</v>
      </c>
    </row>
    <row r="11" spans="2:21">
      <c r="B11" s="44" t="s">
        <v>113</v>
      </c>
      <c r="C11" s="44" t="s">
        <v>4349</v>
      </c>
      <c r="D11" s="44" t="s">
        <v>4350</v>
      </c>
      <c r="E11" s="44" t="s">
        <v>4351</v>
      </c>
      <c r="F11" s="44" t="s">
        <v>4352</v>
      </c>
      <c r="G11" s="44" t="s">
        <v>4353</v>
      </c>
      <c r="H11" s="59" t="s">
        <v>4354</v>
      </c>
      <c r="I11" s="45"/>
      <c r="J11" s="45"/>
      <c r="L11" s="60" t="s">
        <v>1305</v>
      </c>
      <c r="M11" s="60" t="s">
        <v>4355</v>
      </c>
      <c r="N11" s="61"/>
      <c r="O11" s="61"/>
      <c r="R11" s="54">
        <v>48</v>
      </c>
      <c r="S11" s="55" t="s">
        <v>39</v>
      </c>
      <c r="T11" s="56">
        <v>20</v>
      </c>
      <c r="U11" s="57" t="s">
        <v>1640</v>
      </c>
    </row>
    <row r="12" spans="2:21">
      <c r="B12" s="44" t="s">
        <v>120</v>
      </c>
      <c r="C12" s="44" t="s">
        <v>4356</v>
      </c>
      <c r="D12" s="44" t="s">
        <v>4357</v>
      </c>
      <c r="E12" s="44" t="s">
        <v>4358</v>
      </c>
      <c r="F12" s="44" t="s">
        <v>4359</v>
      </c>
      <c r="G12" s="44" t="s">
        <v>4360</v>
      </c>
      <c r="H12" s="45"/>
      <c r="I12" s="45"/>
      <c r="J12" s="45"/>
      <c r="L12" s="60" t="s">
        <v>822</v>
      </c>
      <c r="M12" s="60" t="s">
        <v>4361</v>
      </c>
      <c r="N12" s="61"/>
      <c r="O12" s="61"/>
      <c r="R12" s="54">
        <v>47</v>
      </c>
      <c r="S12" s="55" t="s">
        <v>44</v>
      </c>
      <c r="T12" s="56">
        <v>19</v>
      </c>
      <c r="U12" s="57" t="s">
        <v>1301</v>
      </c>
    </row>
    <row r="13" spans="2:21">
      <c r="B13" s="44" t="s">
        <v>4362</v>
      </c>
      <c r="C13" s="44" t="s">
        <v>4363</v>
      </c>
      <c r="D13" s="44" t="s">
        <v>4364</v>
      </c>
      <c r="E13" s="44" t="s">
        <v>4365</v>
      </c>
      <c r="F13" s="44" t="s">
        <v>4366</v>
      </c>
      <c r="G13" s="44" t="s">
        <v>4367</v>
      </c>
      <c r="H13" s="45"/>
      <c r="I13" s="45"/>
      <c r="J13" s="45"/>
      <c r="L13" s="62" t="s">
        <v>83</v>
      </c>
      <c r="M13" s="62" t="s">
        <v>4368</v>
      </c>
      <c r="N13" s="62" t="s">
        <v>4369</v>
      </c>
      <c r="O13" s="61"/>
      <c r="R13" s="54">
        <v>46</v>
      </c>
      <c r="S13" s="55" t="s">
        <v>49</v>
      </c>
      <c r="T13" s="56">
        <v>18</v>
      </c>
      <c r="U13" s="57" t="s">
        <v>734</v>
      </c>
    </row>
    <row r="14" spans="2:21">
      <c r="B14" s="44" t="s">
        <v>92</v>
      </c>
      <c r="C14" s="44" t="s">
        <v>4370</v>
      </c>
      <c r="D14" s="44" t="s">
        <v>4371</v>
      </c>
      <c r="E14" s="44" t="s">
        <v>4372</v>
      </c>
      <c r="F14" s="59" t="s">
        <v>4373</v>
      </c>
      <c r="G14" s="45"/>
      <c r="H14" s="45"/>
      <c r="I14" s="45"/>
      <c r="J14" s="45"/>
      <c r="L14" s="62" t="s">
        <v>1303</v>
      </c>
      <c r="M14" s="62" t="s">
        <v>4374</v>
      </c>
      <c r="N14" s="60" t="s">
        <v>4375</v>
      </c>
      <c r="O14" s="60" t="s">
        <v>4376</v>
      </c>
      <c r="R14" s="54">
        <v>45</v>
      </c>
      <c r="S14" s="55" t="s">
        <v>707</v>
      </c>
      <c r="T14" s="56">
        <v>17</v>
      </c>
      <c r="U14" s="57" t="s">
        <v>1638</v>
      </c>
    </row>
    <row r="15" spans="2:21">
      <c r="B15" s="44" t="s">
        <v>116</v>
      </c>
      <c r="C15" s="44" t="s">
        <v>4377</v>
      </c>
      <c r="D15" s="44" t="s">
        <v>4378</v>
      </c>
      <c r="E15" s="44" t="s">
        <v>4379</v>
      </c>
      <c r="F15" s="59" t="s">
        <v>4380</v>
      </c>
      <c r="G15" s="45"/>
      <c r="H15" s="45"/>
      <c r="I15" s="45"/>
      <c r="J15" s="45"/>
      <c r="L15" s="62" t="s">
        <v>1288</v>
      </c>
      <c r="M15" s="62" t="s">
        <v>4381</v>
      </c>
      <c r="N15" s="45"/>
      <c r="O15" s="61"/>
      <c r="R15" s="54">
        <v>44</v>
      </c>
      <c r="S15" s="55" t="s">
        <v>59</v>
      </c>
      <c r="T15" s="56">
        <v>16</v>
      </c>
      <c r="U15" s="57" t="s">
        <v>109</v>
      </c>
    </row>
    <row r="16" spans="2:21">
      <c r="B16" s="44" t="s">
        <v>93</v>
      </c>
      <c r="C16" s="44" t="s">
        <v>4382</v>
      </c>
      <c r="D16" s="44" t="s">
        <v>4383</v>
      </c>
      <c r="E16" s="44" t="s">
        <v>4384</v>
      </c>
      <c r="F16" s="44" t="s">
        <v>4385</v>
      </c>
      <c r="G16" s="44" t="s">
        <v>4386</v>
      </c>
      <c r="H16" s="45"/>
      <c r="I16" s="45"/>
      <c r="J16" s="45"/>
      <c r="L16" s="62" t="s">
        <v>1297</v>
      </c>
      <c r="M16" s="62" t="s">
        <v>4387</v>
      </c>
      <c r="N16" s="45"/>
      <c r="O16" s="61"/>
      <c r="R16" s="54">
        <v>43</v>
      </c>
      <c r="S16" s="55" t="s">
        <v>63</v>
      </c>
      <c r="T16" s="56">
        <v>15</v>
      </c>
      <c r="U16" s="57" t="s">
        <v>93</v>
      </c>
    </row>
    <row r="17" spans="2:21">
      <c r="B17" s="63" t="s">
        <v>134</v>
      </c>
      <c r="C17" s="63" t="s">
        <v>4388</v>
      </c>
      <c r="D17" s="63" t="s">
        <v>4389</v>
      </c>
      <c r="E17" s="45"/>
      <c r="F17" s="45"/>
      <c r="G17" s="45"/>
      <c r="H17" s="45"/>
      <c r="I17" s="45"/>
      <c r="J17" s="45"/>
      <c r="L17" s="62" t="s">
        <v>1301</v>
      </c>
      <c r="M17" s="62" t="s">
        <v>4390</v>
      </c>
      <c r="N17" s="62" t="s">
        <v>4391</v>
      </c>
      <c r="O17" s="61"/>
      <c r="R17" s="54">
        <v>42</v>
      </c>
      <c r="S17" s="55" t="s">
        <v>67</v>
      </c>
      <c r="T17" s="56">
        <v>14</v>
      </c>
      <c r="U17" s="57" t="s">
        <v>1645</v>
      </c>
    </row>
    <row r="18" spans="2:21">
      <c r="B18" s="63" t="s">
        <v>140</v>
      </c>
      <c r="C18" s="63" t="s">
        <v>4392</v>
      </c>
      <c r="D18" s="63" t="s">
        <v>889</v>
      </c>
      <c r="E18" s="45"/>
      <c r="F18" s="45"/>
      <c r="G18" s="45"/>
      <c r="H18" s="45"/>
      <c r="I18" s="45"/>
      <c r="J18" s="45"/>
      <c r="L18" s="62" t="s">
        <v>171</v>
      </c>
      <c r="M18" s="62" t="s">
        <v>4393</v>
      </c>
      <c r="N18" s="62" t="s">
        <v>4394</v>
      </c>
      <c r="O18" s="61"/>
      <c r="R18" s="54">
        <v>41</v>
      </c>
      <c r="S18" s="55" t="s">
        <v>69</v>
      </c>
      <c r="T18" s="56">
        <v>13</v>
      </c>
      <c r="U18" s="57" t="s">
        <v>36</v>
      </c>
    </row>
    <row r="19" spans="2:21">
      <c r="B19" s="63" t="s">
        <v>146</v>
      </c>
      <c r="C19" s="63" t="s">
        <v>4395</v>
      </c>
      <c r="D19" s="63" t="s">
        <v>4396</v>
      </c>
      <c r="E19" s="45"/>
      <c r="F19" s="45"/>
      <c r="G19" s="45"/>
      <c r="H19" s="45"/>
      <c r="I19" s="45"/>
      <c r="J19" s="45"/>
      <c r="L19" s="62" t="s">
        <v>127</v>
      </c>
      <c r="M19" s="62" t="s">
        <v>4397</v>
      </c>
      <c r="N19" s="62" t="s">
        <v>4398</v>
      </c>
      <c r="O19" s="61"/>
      <c r="R19" s="54">
        <v>40</v>
      </c>
      <c r="S19" s="55" t="s">
        <v>71</v>
      </c>
      <c r="T19" s="56">
        <v>12</v>
      </c>
      <c r="U19" s="57" t="s">
        <v>147</v>
      </c>
    </row>
    <row r="20" spans="2:21">
      <c r="B20" s="63" t="s">
        <v>150</v>
      </c>
      <c r="C20" s="63" t="s">
        <v>4399</v>
      </c>
      <c r="D20" s="45"/>
      <c r="E20" s="45"/>
      <c r="F20" s="45"/>
      <c r="G20" s="45"/>
      <c r="H20" s="45"/>
      <c r="I20" s="45"/>
      <c r="J20" s="45"/>
      <c r="L20" s="62" t="s">
        <v>1314</v>
      </c>
      <c r="M20" s="62" t="s">
        <v>4400</v>
      </c>
      <c r="N20" s="45"/>
      <c r="O20" s="61"/>
      <c r="R20" s="54">
        <v>39</v>
      </c>
      <c r="S20" s="55" t="s">
        <v>73</v>
      </c>
      <c r="T20" s="56">
        <v>11</v>
      </c>
      <c r="U20" s="57" t="s">
        <v>89</v>
      </c>
    </row>
    <row r="21" spans="2:21">
      <c r="B21" s="63" t="s">
        <v>154</v>
      </c>
      <c r="C21" s="63" t="s">
        <v>4401</v>
      </c>
      <c r="D21" s="45"/>
      <c r="E21" s="45"/>
      <c r="F21" s="45"/>
      <c r="G21" s="45"/>
      <c r="H21" s="45"/>
      <c r="I21" s="45"/>
      <c r="J21" s="45"/>
      <c r="L21" s="62" t="s">
        <v>174</v>
      </c>
      <c r="M21" s="62" t="s">
        <v>4402</v>
      </c>
      <c r="N21" s="62" t="s">
        <v>4361</v>
      </c>
      <c r="O21" s="60" t="s">
        <v>4403</v>
      </c>
      <c r="R21" s="54">
        <v>38</v>
      </c>
      <c r="S21" s="55" t="s">
        <v>18</v>
      </c>
      <c r="T21" s="56">
        <v>10</v>
      </c>
      <c r="U21" s="57" t="s">
        <v>101</v>
      </c>
    </row>
    <row r="22" spans="2:21">
      <c r="B22" s="63" t="s">
        <v>159</v>
      </c>
      <c r="C22" s="63" t="s">
        <v>4404</v>
      </c>
      <c r="D22" s="63" t="s">
        <v>4405</v>
      </c>
      <c r="E22" s="45"/>
      <c r="F22" s="45"/>
      <c r="G22" s="45"/>
      <c r="H22" s="45"/>
      <c r="I22" s="45"/>
      <c r="J22" s="45"/>
      <c r="L22" s="62" t="s">
        <v>78</v>
      </c>
      <c r="M22" s="62" t="s">
        <v>4406</v>
      </c>
      <c r="N22" s="45"/>
      <c r="O22" s="61"/>
      <c r="R22" s="54">
        <v>37</v>
      </c>
      <c r="S22" s="55" t="s">
        <v>19</v>
      </c>
      <c r="T22" s="56">
        <v>9</v>
      </c>
      <c r="U22" s="57" t="s">
        <v>96</v>
      </c>
    </row>
    <row r="23" spans="2:21">
      <c r="B23" s="63" t="s">
        <v>168</v>
      </c>
      <c r="C23" s="63" t="s">
        <v>4407</v>
      </c>
      <c r="D23" s="45"/>
      <c r="E23" s="45"/>
      <c r="F23" s="45"/>
      <c r="G23" s="45"/>
      <c r="H23" s="45"/>
      <c r="I23" s="45"/>
      <c r="J23" s="45"/>
      <c r="L23" s="62" t="s">
        <v>51</v>
      </c>
      <c r="M23" s="62" t="s">
        <v>4408</v>
      </c>
      <c r="N23" s="45"/>
      <c r="O23" s="61"/>
      <c r="R23" s="54">
        <v>36</v>
      </c>
      <c r="S23" s="55" t="s">
        <v>67</v>
      </c>
      <c r="T23" s="56">
        <v>8</v>
      </c>
      <c r="U23" s="57" t="s">
        <v>1649</v>
      </c>
    </row>
    <row r="24" spans="2:21">
      <c r="L24" s="62" t="s">
        <v>43</v>
      </c>
      <c r="M24" s="62" t="s">
        <v>4409</v>
      </c>
      <c r="N24" s="45"/>
      <c r="O24" s="61"/>
      <c r="R24" s="54">
        <v>35</v>
      </c>
      <c r="S24" s="55" t="s">
        <v>63</v>
      </c>
      <c r="T24" s="56">
        <v>7</v>
      </c>
      <c r="U24" s="57" t="s">
        <v>105</v>
      </c>
    </row>
    <row r="25" spans="2:21">
      <c r="L25" s="62" t="s">
        <v>38</v>
      </c>
      <c r="M25" s="62" t="s">
        <v>4410</v>
      </c>
      <c r="N25" s="45"/>
      <c r="O25" s="61"/>
      <c r="R25" s="54">
        <v>34</v>
      </c>
      <c r="S25" s="55" t="s">
        <v>69</v>
      </c>
      <c r="T25" s="56">
        <v>6</v>
      </c>
      <c r="U25" s="57" t="s">
        <v>88</v>
      </c>
    </row>
    <row r="26" spans="2:21">
      <c r="B26" s="44" t="s">
        <v>108</v>
      </c>
      <c r="C26" s="44" t="s">
        <v>4411</v>
      </c>
      <c r="D26" s="44" t="s">
        <v>4412</v>
      </c>
      <c r="E26" s="44" t="s">
        <v>4413</v>
      </c>
      <c r="F26" s="44" t="s">
        <v>4414</v>
      </c>
      <c r="G26" s="44" t="s">
        <v>4415</v>
      </c>
      <c r="H26" s="44" t="s">
        <v>893</v>
      </c>
      <c r="I26" s="45"/>
      <c r="L26" s="62" t="s">
        <v>66</v>
      </c>
      <c r="M26" s="62" t="s">
        <v>4416</v>
      </c>
      <c r="N26" s="61"/>
      <c r="O26" s="61"/>
      <c r="R26" s="54">
        <v>33</v>
      </c>
      <c r="S26" s="55" t="s">
        <v>67</v>
      </c>
      <c r="T26" s="56">
        <v>5</v>
      </c>
      <c r="U26" s="57" t="s">
        <v>98</v>
      </c>
    </row>
    <row r="27" spans="2:21">
      <c r="B27" s="44" t="s">
        <v>153</v>
      </c>
      <c r="C27" s="44" t="s">
        <v>4417</v>
      </c>
      <c r="D27" s="44" t="s">
        <v>4418</v>
      </c>
      <c r="E27" s="44" t="s">
        <v>4419</v>
      </c>
      <c r="F27" s="45"/>
      <c r="G27" s="45"/>
      <c r="H27" s="45"/>
      <c r="I27" s="45"/>
      <c r="L27" s="62" t="s">
        <v>56</v>
      </c>
      <c r="M27" s="62" t="s">
        <v>4420</v>
      </c>
      <c r="N27" s="45"/>
      <c r="O27" s="61"/>
      <c r="R27" s="54">
        <v>32</v>
      </c>
      <c r="S27" s="55" t="s">
        <v>63</v>
      </c>
      <c r="T27" s="56">
        <v>4</v>
      </c>
      <c r="U27" s="57" t="s">
        <v>84</v>
      </c>
    </row>
    <row r="28" spans="2:21">
      <c r="B28" s="44" t="s">
        <v>105</v>
      </c>
      <c r="C28" s="44" t="s">
        <v>4421</v>
      </c>
      <c r="D28" s="44" t="s">
        <v>4422</v>
      </c>
      <c r="E28" s="44" t="s">
        <v>4423</v>
      </c>
      <c r="F28" s="44" t="s">
        <v>4424</v>
      </c>
      <c r="G28" s="44" t="s">
        <v>4425</v>
      </c>
      <c r="H28" s="59" t="s">
        <v>4426</v>
      </c>
      <c r="I28" s="45"/>
      <c r="L28" s="62" t="s">
        <v>112</v>
      </c>
      <c r="M28" s="62" t="s">
        <v>4427</v>
      </c>
      <c r="N28" s="45"/>
      <c r="O28" s="61"/>
      <c r="R28" s="54">
        <v>31</v>
      </c>
      <c r="S28" s="55" t="s">
        <v>69</v>
      </c>
      <c r="T28" s="56">
        <v>3</v>
      </c>
      <c r="U28" s="57" t="s">
        <v>128</v>
      </c>
    </row>
    <row r="29" spans="2:21">
      <c r="B29" s="44" t="s">
        <v>97</v>
      </c>
      <c r="C29" s="44" t="s">
        <v>4428</v>
      </c>
      <c r="D29" s="44" t="s">
        <v>4429</v>
      </c>
      <c r="E29" s="44" t="s">
        <v>4430</v>
      </c>
      <c r="F29" s="44" t="s">
        <v>4431</v>
      </c>
      <c r="G29" s="44" t="s">
        <v>4432</v>
      </c>
      <c r="H29" s="44" t="s">
        <v>4433</v>
      </c>
      <c r="I29" s="44" t="s">
        <v>4434</v>
      </c>
      <c r="J29" s="59" t="s">
        <v>4435</v>
      </c>
      <c r="L29" s="62" t="s">
        <v>115</v>
      </c>
      <c r="M29" s="62" t="s">
        <v>4436</v>
      </c>
      <c r="N29" s="60" t="s">
        <v>4437</v>
      </c>
      <c r="O29" s="61"/>
      <c r="R29" s="54">
        <v>30</v>
      </c>
      <c r="S29" s="55" t="s">
        <v>9</v>
      </c>
      <c r="T29" s="56">
        <v>2</v>
      </c>
      <c r="U29" s="57" t="s">
        <v>146</v>
      </c>
    </row>
    <row r="30" ht="14.25" spans="2:21">
      <c r="B30" s="44" t="s">
        <v>103</v>
      </c>
      <c r="C30" s="44" t="s">
        <v>4438</v>
      </c>
      <c r="D30" s="44" t="s">
        <v>4439</v>
      </c>
      <c r="E30" s="44" t="s">
        <v>4440</v>
      </c>
      <c r="F30" s="44" t="s">
        <v>4441</v>
      </c>
      <c r="G30" s="44" t="s">
        <v>4442</v>
      </c>
      <c r="H30" s="59" t="s">
        <v>4443</v>
      </c>
      <c r="I30" s="45"/>
      <c r="L30" s="62" t="s">
        <v>119</v>
      </c>
      <c r="M30" s="62" t="s">
        <v>4444</v>
      </c>
      <c r="N30" s="45"/>
      <c r="O30" s="61"/>
      <c r="R30" s="64">
        <v>29</v>
      </c>
      <c r="S30" s="65" t="s">
        <v>2</v>
      </c>
      <c r="T30" s="66">
        <v>1</v>
      </c>
      <c r="U30" s="67" t="s">
        <v>4445</v>
      </c>
    </row>
    <row r="31" spans="2:21">
      <c r="B31" s="44" t="s">
        <v>173</v>
      </c>
      <c r="C31" s="44" t="s">
        <v>4446</v>
      </c>
      <c r="D31" s="59" t="s">
        <v>4354</v>
      </c>
      <c r="E31" s="45"/>
      <c r="F31" s="45"/>
      <c r="G31" s="45"/>
      <c r="H31" s="45"/>
      <c r="I31" s="45"/>
      <c r="L31" s="62" t="s">
        <v>123</v>
      </c>
      <c r="M31" s="62" t="s">
        <v>4447</v>
      </c>
      <c r="N31" s="45"/>
      <c r="O31" s="61"/>
    </row>
    <row r="32" spans="2:21">
      <c r="B32" s="44" t="s">
        <v>84</v>
      </c>
      <c r="C32" s="44" t="s">
        <v>4448</v>
      </c>
      <c r="D32" s="44" t="s">
        <v>4449</v>
      </c>
      <c r="E32" s="44" t="s">
        <v>4450</v>
      </c>
      <c r="F32" s="44" t="s">
        <v>4451</v>
      </c>
      <c r="G32" s="59" t="s">
        <v>4452</v>
      </c>
      <c r="H32" s="45"/>
      <c r="I32" s="45"/>
      <c r="L32" s="62" t="s">
        <v>130</v>
      </c>
      <c r="M32" s="62" t="s">
        <v>4453</v>
      </c>
      <c r="N32" s="45"/>
      <c r="O32" s="61"/>
    </row>
    <row r="33" spans="2:15">
      <c r="B33" s="63" t="s">
        <v>128</v>
      </c>
      <c r="C33" s="63" t="s">
        <v>4454</v>
      </c>
      <c r="D33" s="45"/>
      <c r="E33" s="45"/>
      <c r="F33" s="45"/>
      <c r="G33" s="45"/>
      <c r="H33" s="45"/>
      <c r="I33" s="45"/>
      <c r="L33" s="62" t="s">
        <v>142</v>
      </c>
      <c r="M33" s="62" t="s">
        <v>4455</v>
      </c>
      <c r="N33" s="45"/>
      <c r="O33" s="61"/>
    </row>
    <row r="34" spans="2:15">
      <c r="B34" s="63" t="s">
        <v>131</v>
      </c>
      <c r="C34" s="63" t="s">
        <v>4456</v>
      </c>
      <c r="D34" s="63" t="s">
        <v>4457</v>
      </c>
      <c r="E34" s="63" t="s">
        <v>4458</v>
      </c>
      <c r="F34" s="45"/>
      <c r="G34" s="45"/>
      <c r="H34" s="45"/>
      <c r="I34" s="45"/>
      <c r="L34" s="62" t="s">
        <v>4459</v>
      </c>
      <c r="M34" s="62" t="s">
        <v>4460</v>
      </c>
      <c r="N34" s="45"/>
      <c r="O34" s="61"/>
    </row>
    <row r="35" spans="2:15">
      <c r="B35" s="63" t="s">
        <v>138</v>
      </c>
      <c r="C35" s="63" t="s">
        <v>4461</v>
      </c>
      <c r="D35" s="63" t="s">
        <v>4462</v>
      </c>
      <c r="E35" s="45"/>
      <c r="F35" s="45"/>
      <c r="G35" s="45"/>
      <c r="H35" s="45"/>
      <c r="I35" s="45"/>
      <c r="L35" s="68" t="s">
        <v>152</v>
      </c>
      <c r="M35" s="68" t="s">
        <v>901</v>
      </c>
      <c r="N35" s="45"/>
      <c r="O35" s="61"/>
    </row>
    <row r="36" spans="2:15">
      <c r="B36" s="63" t="s">
        <v>163</v>
      </c>
      <c r="C36" s="63" t="s">
        <v>4463</v>
      </c>
      <c r="D36" s="45"/>
      <c r="E36" s="45"/>
      <c r="F36" s="45"/>
      <c r="G36" s="45"/>
      <c r="H36" s="45"/>
      <c r="I36" s="45"/>
      <c r="N36" s="69"/>
    </row>
    <row r="37" spans="2:15">
      <c r="B37" s="63" t="s">
        <v>161</v>
      </c>
      <c r="C37" s="63" t="s">
        <v>4464</v>
      </c>
      <c r="D37" s="63" t="s">
        <v>4465</v>
      </c>
      <c r="E37" s="45"/>
      <c r="F37" s="45"/>
      <c r="G37" s="45"/>
      <c r="H37" s="45"/>
      <c r="I37" s="45"/>
    </row>
    <row r="38" spans="2:15">
      <c r="B38" s="63" t="s">
        <v>165</v>
      </c>
      <c r="C38" s="63" t="s">
        <v>4466</v>
      </c>
      <c r="D38" s="45"/>
      <c r="E38" s="45"/>
      <c r="F38" s="45"/>
      <c r="G38" s="45"/>
      <c r="H38" s="45"/>
      <c r="I38" s="45"/>
      <c r="L38" s="70" t="s">
        <v>2174</v>
      </c>
      <c r="M38" s="70" t="s">
        <v>4467</v>
      </c>
    </row>
    <row r="39" spans="2:15">
      <c r="L39" s="70" t="s">
        <v>172</v>
      </c>
      <c r="M39" s="70" t="s">
        <v>4468</v>
      </c>
    </row>
    <row r="40" spans="2:15">
      <c r="L40" s="71" t="s">
        <v>137</v>
      </c>
      <c r="M40" s="71" t="s">
        <v>4469</v>
      </c>
    </row>
    <row r="41" spans="2:15">
      <c r="L41" s="71" t="s">
        <v>144</v>
      </c>
      <c r="M41" s="71" t="s">
        <v>4470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"/>
  <sheetViews>
    <sheetView zoomScale="85" zoomScaleNormal="85" workbookViewId="0">
      <selection activeCell="F88" sqref="F88"/>
    </sheetView>
  </sheetViews>
  <sheetFormatPr defaultColWidth="9" defaultRowHeight="15.95" customHeight="1"/>
  <cols>
    <col min="1" max="1" width="10.125" customWidth="1"/>
    <col min="2" max="2" width="13" customWidth="1"/>
    <col min="3" max="3" width="6.875" customWidth="1"/>
    <col min="4" max="4" width="16" customWidth="1"/>
    <col min="5" max="5" width="15.875" customWidth="1"/>
    <col min="6" max="6" width="16.25" customWidth="1"/>
    <col min="7" max="7" width="17.125" customWidth="1"/>
    <col min="8" max="8" width="3.5" customWidth="1"/>
    <col min="9" max="9" width="12.75" customWidth="1"/>
    <col min="10" max="10" width="6.625" customWidth="1"/>
    <col min="11" max="13" width="15.625" customWidth="1"/>
    <col min="14" max="14" width="15.375" customWidth="1"/>
    <col min="15" max="15" width="3.5" customWidth="1"/>
    <col min="16" max="16" width="12.875" customWidth="1"/>
    <col min="17" max="17" width="7" customWidth="1"/>
    <col min="18" max="20" width="15.625" customWidth="1"/>
    <col min="21" max="21" width="17.375" customWidth="1"/>
    <col min="22" max="23" width="4" customWidth="1"/>
  </cols>
  <sheetData>
    <row r="1" ht="34.5" customHeight="1"/>
    <row r="2" customHeight="1" spans="1:21">
      <c r="B2" s="1" t="s">
        <v>1535</v>
      </c>
      <c r="C2" s="2" t="s">
        <v>456</v>
      </c>
      <c r="D2" s="3" t="s">
        <v>457</v>
      </c>
      <c r="E2" s="3" t="s">
        <v>458</v>
      </c>
      <c r="F2" s="3" t="s">
        <v>459</v>
      </c>
      <c r="G2" s="3" t="s">
        <v>460</v>
      </c>
      <c r="I2" s="1" t="s">
        <v>4471</v>
      </c>
      <c r="J2" s="2" t="s">
        <v>456</v>
      </c>
      <c r="K2" s="3" t="s">
        <v>457</v>
      </c>
      <c r="L2" s="3" t="s">
        <v>458</v>
      </c>
      <c r="M2" s="3" t="s">
        <v>459</v>
      </c>
      <c r="N2" s="3" t="s">
        <v>460</v>
      </c>
      <c r="P2" s="1" t="s">
        <v>4472</v>
      </c>
      <c r="Q2" s="2" t="s">
        <v>456</v>
      </c>
      <c r="R2" s="3" t="s">
        <v>457</v>
      </c>
      <c r="S2" s="3" t="s">
        <v>458</v>
      </c>
      <c r="T2" s="3" t="s">
        <v>459</v>
      </c>
      <c r="U2" s="3" t="s">
        <v>460</v>
      </c>
    </row>
    <row r="3" customHeight="1" spans="1:21">
      <c r="B3" s="4" t="s">
        <v>463</v>
      </c>
      <c r="C3" s="5" t="s">
        <v>191</v>
      </c>
      <c r="D3" s="5" t="s">
        <v>4473</v>
      </c>
      <c r="E3" s="5" t="s">
        <v>472</v>
      </c>
      <c r="F3" s="5" t="s">
        <v>472</v>
      </c>
      <c r="G3" s="5" t="s">
        <v>472</v>
      </c>
      <c r="I3" s="4" t="s">
        <v>466</v>
      </c>
      <c r="J3" s="5" t="s">
        <v>192</v>
      </c>
      <c r="K3" s="6" t="s">
        <v>445</v>
      </c>
      <c r="L3" s="6" t="s">
        <v>445</v>
      </c>
      <c r="M3" s="6" t="s">
        <v>445</v>
      </c>
      <c r="N3" s="6" t="s">
        <v>445</v>
      </c>
      <c r="P3" s="7" t="s">
        <v>467</v>
      </c>
      <c r="Q3" s="5" t="s">
        <v>189</v>
      </c>
      <c r="R3" s="6" t="s">
        <v>445</v>
      </c>
      <c r="S3" s="6" t="s">
        <v>445</v>
      </c>
      <c r="T3" s="6" t="s">
        <v>445</v>
      </c>
      <c r="U3" s="6" t="s">
        <v>445</v>
      </c>
    </row>
    <row r="4" customHeight="1" spans="1:21">
      <c r="B4" s="4" t="s">
        <v>468</v>
      </c>
      <c r="C4" s="5" t="s">
        <v>191</v>
      </c>
      <c r="D4" s="6" t="s">
        <v>445</v>
      </c>
      <c r="E4" s="5" t="s">
        <v>469</v>
      </c>
      <c r="F4" s="5" t="s">
        <v>469</v>
      </c>
      <c r="G4" s="5" t="s">
        <v>469</v>
      </c>
      <c r="I4" s="8" t="s">
        <v>470</v>
      </c>
      <c r="J4" s="9" t="s">
        <v>192</v>
      </c>
      <c r="K4" s="9" t="s">
        <v>4473</v>
      </c>
      <c r="L4" s="9" t="s">
        <v>472</v>
      </c>
      <c r="M4" s="9" t="s">
        <v>472</v>
      </c>
      <c r="N4" s="9" t="s">
        <v>472</v>
      </c>
      <c r="P4" s="7" t="s">
        <v>471</v>
      </c>
      <c r="Q4" s="5" t="s">
        <v>189</v>
      </c>
      <c r="R4" s="5" t="s">
        <v>4473</v>
      </c>
      <c r="S4" s="5" t="s">
        <v>472</v>
      </c>
      <c r="T4" s="5" t="s">
        <v>472</v>
      </c>
      <c r="U4" s="5" t="s">
        <v>472</v>
      </c>
    </row>
    <row r="5" customHeight="1" spans="1:21">
      <c r="B5" s="4" t="s">
        <v>473</v>
      </c>
      <c r="C5" s="5" t="s">
        <v>191</v>
      </c>
      <c r="D5" s="6" t="s">
        <v>445</v>
      </c>
      <c r="E5" s="5" t="s">
        <v>469</v>
      </c>
      <c r="F5" s="5" t="s">
        <v>469</v>
      </c>
      <c r="G5" s="5" t="s">
        <v>469</v>
      </c>
      <c r="I5" s="8" t="s">
        <v>474</v>
      </c>
      <c r="J5" s="9" t="s">
        <v>192</v>
      </c>
      <c r="K5" s="9" t="s">
        <v>4473</v>
      </c>
      <c r="L5" s="9" t="s">
        <v>472</v>
      </c>
      <c r="M5" s="9" t="s">
        <v>472</v>
      </c>
      <c r="N5" s="9" t="s">
        <v>472</v>
      </c>
      <c r="P5" s="7" t="s">
        <v>475</v>
      </c>
      <c r="Q5" s="5" t="s">
        <v>189</v>
      </c>
      <c r="R5" s="5" t="s">
        <v>476</v>
      </c>
      <c r="S5" s="5" t="s">
        <v>477</v>
      </c>
      <c r="T5" s="5" t="s">
        <v>477</v>
      </c>
      <c r="U5" s="5" t="s">
        <v>477</v>
      </c>
    </row>
    <row r="6" customHeight="1" spans="1:21">
      <c r="B6" s="4" t="s">
        <v>478</v>
      </c>
      <c r="C6" s="5" t="s">
        <v>191</v>
      </c>
      <c r="D6" s="5" t="s">
        <v>4474</v>
      </c>
      <c r="E6" s="5" t="s">
        <v>4475</v>
      </c>
      <c r="F6" s="6" t="s">
        <v>481</v>
      </c>
      <c r="G6" s="6" t="s">
        <v>481</v>
      </c>
      <c r="I6" s="8" t="s">
        <v>482</v>
      </c>
      <c r="J6" s="9" t="s">
        <v>192</v>
      </c>
      <c r="K6" s="9" t="s">
        <v>476</v>
      </c>
      <c r="L6" s="9" t="s">
        <v>477</v>
      </c>
      <c r="M6" s="9" t="s">
        <v>477</v>
      </c>
      <c r="N6" s="9" t="s">
        <v>477</v>
      </c>
      <c r="P6" s="7" t="s">
        <v>484</v>
      </c>
      <c r="Q6" s="5" t="s">
        <v>189</v>
      </c>
      <c r="R6" s="5" t="s">
        <v>4476</v>
      </c>
      <c r="S6" s="5" t="s">
        <v>4477</v>
      </c>
      <c r="T6" s="6" t="s">
        <v>481</v>
      </c>
      <c r="U6" s="6" t="s">
        <v>481</v>
      </c>
    </row>
    <row r="7" customHeight="1" spans="1:21">
      <c r="B7" s="8" t="s">
        <v>487</v>
      </c>
      <c r="C7" s="9" t="s">
        <v>191</v>
      </c>
      <c r="D7" s="9" t="s">
        <v>4478</v>
      </c>
      <c r="E7" s="9" t="s">
        <v>4479</v>
      </c>
      <c r="F7" s="9" t="s">
        <v>4480</v>
      </c>
      <c r="G7" s="9" t="s">
        <v>4481</v>
      </c>
      <c r="I7" s="4" t="s">
        <v>492</v>
      </c>
      <c r="J7" s="5" t="s">
        <v>192</v>
      </c>
      <c r="K7" s="6" t="s">
        <v>445</v>
      </c>
      <c r="L7" s="5" t="s">
        <v>493</v>
      </c>
      <c r="M7" s="5" t="s">
        <v>493</v>
      </c>
      <c r="N7" s="5" t="s">
        <v>493</v>
      </c>
      <c r="P7" s="7" t="s">
        <v>494</v>
      </c>
      <c r="Q7" s="5" t="s">
        <v>189</v>
      </c>
      <c r="R7" s="6" t="s">
        <v>445</v>
      </c>
      <c r="S7" s="5" t="s">
        <v>495</v>
      </c>
      <c r="T7" s="5" t="s">
        <v>495</v>
      </c>
      <c r="U7" s="5" t="s">
        <v>495</v>
      </c>
    </row>
    <row r="8" customHeight="1" spans="1:21">
      <c r="B8" s="4" t="s">
        <v>496</v>
      </c>
      <c r="C8" s="5" t="s">
        <v>191</v>
      </c>
      <c r="D8" s="6" t="s">
        <v>445</v>
      </c>
      <c r="E8" s="5" t="s">
        <v>493</v>
      </c>
      <c r="F8" s="5" t="s">
        <v>493</v>
      </c>
      <c r="G8" s="5" t="s">
        <v>497</v>
      </c>
      <c r="I8" s="4" t="s">
        <v>498</v>
      </c>
      <c r="J8" s="5" t="s">
        <v>192</v>
      </c>
      <c r="K8" s="6" t="s">
        <v>445</v>
      </c>
      <c r="L8" s="5" t="s">
        <v>493</v>
      </c>
      <c r="M8" s="5" t="s">
        <v>493</v>
      </c>
      <c r="N8" s="5" t="s">
        <v>493</v>
      </c>
      <c r="P8" s="7" t="s">
        <v>499</v>
      </c>
      <c r="Q8" s="5" t="s">
        <v>189</v>
      </c>
      <c r="R8" s="6" t="s">
        <v>445</v>
      </c>
      <c r="S8" s="5" t="s">
        <v>495</v>
      </c>
      <c r="T8" s="5" t="s">
        <v>495</v>
      </c>
      <c r="U8" s="5" t="s">
        <v>495</v>
      </c>
    </row>
    <row r="9" customHeight="1" spans="1:21">
      <c r="B9" s="10" t="s">
        <v>500</v>
      </c>
      <c r="C9" s="5" t="s">
        <v>191</v>
      </c>
      <c r="D9" s="5" t="s">
        <v>472</v>
      </c>
      <c r="E9" s="5" t="s">
        <v>472</v>
      </c>
      <c r="F9" s="5" t="s">
        <v>472</v>
      </c>
      <c r="G9" s="5" t="s">
        <v>4482</v>
      </c>
      <c r="I9" s="4" t="s">
        <v>502</v>
      </c>
      <c r="J9" s="5" t="s">
        <v>192</v>
      </c>
      <c r="K9" s="11" t="s">
        <v>4483</v>
      </c>
      <c r="L9" s="11" t="s">
        <v>4484</v>
      </c>
      <c r="M9" s="6" t="s">
        <v>481</v>
      </c>
      <c r="N9" s="6" t="s">
        <v>481</v>
      </c>
      <c r="P9" s="12" t="s">
        <v>503</v>
      </c>
      <c r="Q9" s="9" t="s">
        <v>189</v>
      </c>
      <c r="R9" s="9" t="s">
        <v>4485</v>
      </c>
      <c r="S9" s="9" t="s">
        <v>4486</v>
      </c>
      <c r="T9" s="9" t="s">
        <v>4487</v>
      </c>
      <c r="U9" s="9" t="s">
        <v>4488</v>
      </c>
    </row>
    <row r="10" customHeight="1" spans="1:21">
      <c r="B10" s="10" t="s">
        <v>509</v>
      </c>
      <c r="C10" s="5" t="s">
        <v>191</v>
      </c>
      <c r="D10" s="5" t="s">
        <v>493</v>
      </c>
      <c r="E10" s="13" t="s">
        <v>493</v>
      </c>
      <c r="F10" s="5" t="s">
        <v>4489</v>
      </c>
      <c r="G10" s="5" t="s">
        <v>4490</v>
      </c>
      <c r="I10" s="4" t="s">
        <v>512</v>
      </c>
      <c r="J10" s="5" t="s">
        <v>192</v>
      </c>
      <c r="K10" s="6" t="s">
        <v>445</v>
      </c>
      <c r="L10" s="11" t="s">
        <v>4491</v>
      </c>
      <c r="M10" s="11" t="s">
        <v>4491</v>
      </c>
      <c r="N10" s="11" t="s">
        <v>4491</v>
      </c>
      <c r="P10" s="12" t="s">
        <v>513</v>
      </c>
      <c r="Q10" s="9" t="s">
        <v>189</v>
      </c>
      <c r="R10" s="9" t="s">
        <v>4492</v>
      </c>
      <c r="S10" s="9" t="s">
        <v>4493</v>
      </c>
      <c r="T10" s="9" t="s">
        <v>4494</v>
      </c>
      <c r="U10" s="9" t="s">
        <v>4495</v>
      </c>
    </row>
    <row r="11" customHeight="1" spans="1:21">
      <c r="A11" s="14"/>
      <c r="B11" s="15" t="s">
        <v>517</v>
      </c>
      <c r="C11" s="5" t="s">
        <v>191</v>
      </c>
      <c r="D11" s="6" t="s">
        <v>445</v>
      </c>
      <c r="E11" s="13" t="s">
        <v>493</v>
      </c>
      <c r="F11" s="13" t="s">
        <v>493</v>
      </c>
      <c r="G11" s="13" t="s">
        <v>4496</v>
      </c>
      <c r="I11" s="4" t="s">
        <v>518</v>
      </c>
      <c r="J11" s="5" t="s">
        <v>192</v>
      </c>
      <c r="K11" s="16" t="s">
        <v>4473</v>
      </c>
      <c r="L11" s="16" t="s">
        <v>472</v>
      </c>
      <c r="M11" s="16" t="s">
        <v>472</v>
      </c>
      <c r="N11" s="16" t="s">
        <v>4497</v>
      </c>
      <c r="P11" s="7" t="s">
        <v>520</v>
      </c>
      <c r="Q11" s="5" t="s">
        <v>189</v>
      </c>
      <c r="R11" s="6" t="s">
        <v>481</v>
      </c>
      <c r="S11" s="5" t="s">
        <v>4498</v>
      </c>
      <c r="T11" s="6" t="s">
        <v>481</v>
      </c>
      <c r="U11" s="6" t="s">
        <v>481</v>
      </c>
    </row>
    <row r="12" customHeight="1" spans="1:21">
      <c r="A12" s="14"/>
      <c r="B12" s="17" t="s">
        <v>521</v>
      </c>
      <c r="C12" s="9" t="s">
        <v>191</v>
      </c>
      <c r="D12" s="9" t="s">
        <v>476</v>
      </c>
      <c r="E12" s="9" t="s">
        <v>476</v>
      </c>
      <c r="F12" s="9" t="s">
        <v>476</v>
      </c>
      <c r="G12" s="9" t="s">
        <v>4499</v>
      </c>
      <c r="I12" s="8" t="s">
        <v>523</v>
      </c>
      <c r="J12" s="9" t="s">
        <v>192</v>
      </c>
      <c r="K12" s="18" t="s">
        <v>4500</v>
      </c>
      <c r="L12" s="19" t="s">
        <v>4501</v>
      </c>
      <c r="M12" s="19" t="s">
        <v>4502</v>
      </c>
      <c r="N12" s="19" t="s">
        <v>4503</v>
      </c>
      <c r="P12" s="7" t="s">
        <v>527</v>
      </c>
      <c r="Q12" s="5" t="s">
        <v>189</v>
      </c>
      <c r="R12" s="6" t="s">
        <v>445</v>
      </c>
      <c r="S12" s="6" t="s">
        <v>445</v>
      </c>
      <c r="T12" s="6" t="s">
        <v>445</v>
      </c>
      <c r="U12" s="6" t="s">
        <v>445</v>
      </c>
    </row>
    <row r="13" customHeight="1" spans="1:21">
      <c r="A13" s="14"/>
      <c r="B13" s="17" t="s">
        <v>528</v>
      </c>
      <c r="C13" s="9" t="s">
        <v>191</v>
      </c>
      <c r="D13" s="9" t="s">
        <v>476</v>
      </c>
      <c r="E13" s="9" t="s">
        <v>476</v>
      </c>
      <c r="F13" s="9" t="s">
        <v>476</v>
      </c>
      <c r="G13" s="9" t="s">
        <v>4499</v>
      </c>
      <c r="I13" s="15" t="s">
        <v>529</v>
      </c>
      <c r="J13" s="5" t="s">
        <v>192</v>
      </c>
      <c r="K13" s="6" t="s">
        <v>445</v>
      </c>
      <c r="L13" s="5" t="s">
        <v>4504</v>
      </c>
      <c r="M13" s="5" t="s">
        <v>476</v>
      </c>
      <c r="N13" s="11" t="s">
        <v>4505</v>
      </c>
      <c r="P13" s="12" t="s">
        <v>531</v>
      </c>
      <c r="Q13" s="9" t="s">
        <v>189</v>
      </c>
      <c r="R13" s="9" t="s">
        <v>4491</v>
      </c>
      <c r="S13" s="9" t="s">
        <v>4491</v>
      </c>
      <c r="T13" s="9" t="s">
        <v>4491</v>
      </c>
      <c r="U13" s="9" t="s">
        <v>4506</v>
      </c>
    </row>
    <row r="14" customHeight="1" spans="1:21">
      <c r="A14" s="14"/>
      <c r="I14" s="8" t="s">
        <v>532</v>
      </c>
      <c r="J14" s="9" t="s">
        <v>192</v>
      </c>
      <c r="K14" s="9" t="s">
        <v>4473</v>
      </c>
      <c r="L14" s="9" t="s">
        <v>4473</v>
      </c>
      <c r="M14" s="9" t="s">
        <v>4473</v>
      </c>
      <c r="N14" s="18" t="s">
        <v>4507</v>
      </c>
      <c r="P14" s="7" t="s">
        <v>533</v>
      </c>
      <c r="Q14" s="5" t="s">
        <v>189</v>
      </c>
      <c r="R14" s="6" t="s">
        <v>445</v>
      </c>
      <c r="S14" s="5" t="s">
        <v>472</v>
      </c>
      <c r="T14" s="5" t="s">
        <v>472</v>
      </c>
      <c r="U14" s="5" t="s">
        <v>472</v>
      </c>
    </row>
    <row r="15" customHeight="1" spans="1:21">
      <c r="A15" s="14"/>
      <c r="I15" s="8" t="s">
        <v>534</v>
      </c>
      <c r="J15" s="9" t="s">
        <v>192</v>
      </c>
      <c r="K15" s="9" t="s">
        <v>464</v>
      </c>
      <c r="L15" s="9" t="s">
        <v>4473</v>
      </c>
      <c r="M15" s="9" t="s">
        <v>4473</v>
      </c>
      <c r="N15" s="18" t="s">
        <v>4507</v>
      </c>
      <c r="P15" s="12" t="s">
        <v>535</v>
      </c>
      <c r="Q15" s="9" t="s">
        <v>189</v>
      </c>
      <c r="R15" s="9" t="s">
        <v>4491</v>
      </c>
      <c r="S15" s="9" t="s">
        <v>4491</v>
      </c>
      <c r="T15" s="9" t="s">
        <v>4491</v>
      </c>
      <c r="U15" s="9" t="s">
        <v>4506</v>
      </c>
    </row>
    <row r="16" customHeight="1" spans="1:21">
      <c r="A16" s="14"/>
      <c r="I16" s="20"/>
      <c r="J16" s="21"/>
      <c r="K16" s="22"/>
      <c r="L16" s="21"/>
      <c r="M16" s="21"/>
      <c r="N16" s="23"/>
      <c r="P16" s="24"/>
      <c r="Q16" s="21"/>
      <c r="R16" s="25"/>
      <c r="S16" s="25"/>
      <c r="T16" s="25"/>
      <c r="U16" s="25"/>
    </row>
    <row r="17" customHeight="1" spans="1:21">
      <c r="A17" s="14"/>
      <c r="I17" s="20"/>
      <c r="J17" s="21"/>
      <c r="K17" s="22"/>
      <c r="L17" s="21"/>
      <c r="M17" s="21"/>
      <c r="N17" s="23"/>
      <c r="P17" s="24"/>
      <c r="Q17" s="21"/>
      <c r="R17" s="25"/>
      <c r="S17" s="25"/>
      <c r="T17" s="25"/>
      <c r="U17" s="25"/>
    </row>
    <row r="18" customHeight="1" spans="1:21">
      <c r="A18" s="14"/>
      <c r="J18" s="26"/>
      <c r="K18" s="26"/>
      <c r="L18" s="26"/>
      <c r="M18" s="26"/>
      <c r="N18" s="26"/>
      <c r="P18" s="24"/>
      <c r="Q18" s="21"/>
      <c r="R18" s="25"/>
      <c r="S18" s="25"/>
      <c r="T18" s="25"/>
      <c r="U18" s="25"/>
    </row>
    <row r="19" customHeight="1" spans="1:21">
      <c r="Q19" s="26"/>
    </row>
    <row r="20" customHeight="1" spans="1:21">
      <c r="B20" s="27" t="s">
        <v>4508</v>
      </c>
      <c r="C20" s="2" t="s">
        <v>456</v>
      </c>
      <c r="D20" s="3" t="s">
        <v>457</v>
      </c>
      <c r="E20" s="3" t="s">
        <v>458</v>
      </c>
      <c r="F20" s="3" t="s">
        <v>459</v>
      </c>
      <c r="G20" s="3" t="s">
        <v>460</v>
      </c>
      <c r="I20" s="27" t="s">
        <v>4509</v>
      </c>
      <c r="J20" s="2" t="s">
        <v>456</v>
      </c>
      <c r="K20" s="3" t="s">
        <v>457</v>
      </c>
      <c r="L20" s="3" t="s">
        <v>458</v>
      </c>
      <c r="M20" s="3" t="s">
        <v>459</v>
      </c>
      <c r="N20" s="3" t="s">
        <v>460</v>
      </c>
      <c r="P20" s="27" t="s">
        <v>4510</v>
      </c>
      <c r="Q20" s="13" t="s">
        <v>456</v>
      </c>
      <c r="R20" s="5" t="s">
        <v>457</v>
      </c>
      <c r="S20" s="5" t="s">
        <v>458</v>
      </c>
      <c r="T20" s="5" t="s">
        <v>459</v>
      </c>
      <c r="U20" s="5" t="s">
        <v>460</v>
      </c>
    </row>
    <row r="21" customHeight="1" spans="1:21">
      <c r="B21" s="10" t="s">
        <v>539</v>
      </c>
      <c r="C21" s="5" t="s">
        <v>191</v>
      </c>
      <c r="D21" s="28" t="s">
        <v>4511</v>
      </c>
      <c r="E21" s="28" t="s">
        <v>4511</v>
      </c>
      <c r="F21" s="28" t="s">
        <v>4511</v>
      </c>
      <c r="G21" s="28" t="s">
        <v>4512</v>
      </c>
      <c r="I21" s="10" t="s">
        <v>541</v>
      </c>
      <c r="J21" s="5" t="s">
        <v>192</v>
      </c>
      <c r="K21" s="16" t="s">
        <v>4513</v>
      </c>
      <c r="L21" s="16" t="s">
        <v>4513</v>
      </c>
      <c r="M21" s="16" t="s">
        <v>4513</v>
      </c>
      <c r="N21" s="16" t="s">
        <v>4514</v>
      </c>
      <c r="P21" s="10" t="s">
        <v>542</v>
      </c>
      <c r="Q21" s="5" t="s">
        <v>189</v>
      </c>
      <c r="R21" s="29" t="s">
        <v>4515</v>
      </c>
      <c r="S21" s="29" t="s">
        <v>4515</v>
      </c>
      <c r="T21" s="29" t="s">
        <v>4515</v>
      </c>
      <c r="U21" s="28" t="s">
        <v>4516</v>
      </c>
    </row>
    <row r="22" customHeight="1" spans="1:21">
      <c r="B22" s="10" t="s">
        <v>543</v>
      </c>
      <c r="C22" s="5" t="s">
        <v>191</v>
      </c>
      <c r="D22" s="29" t="s">
        <v>4517</v>
      </c>
      <c r="E22" s="29" t="s">
        <v>4517</v>
      </c>
      <c r="F22" s="29" t="s">
        <v>4517</v>
      </c>
      <c r="G22" s="28" t="s">
        <v>4518</v>
      </c>
      <c r="I22" s="10" t="s">
        <v>544</v>
      </c>
      <c r="J22" s="5" t="s">
        <v>192</v>
      </c>
      <c r="K22" s="16" t="s">
        <v>4519</v>
      </c>
      <c r="L22" s="16" t="s">
        <v>4519</v>
      </c>
      <c r="M22" s="16" t="s">
        <v>4520</v>
      </c>
      <c r="N22" s="16" t="s">
        <v>4521</v>
      </c>
      <c r="P22" s="10" t="s">
        <v>550</v>
      </c>
      <c r="Q22" s="5" t="s">
        <v>189</v>
      </c>
      <c r="R22" s="28" t="s">
        <v>4522</v>
      </c>
      <c r="S22" s="28" t="s">
        <v>4522</v>
      </c>
      <c r="T22" s="28" t="s">
        <v>4522</v>
      </c>
      <c r="U22" s="28" t="s">
        <v>4523</v>
      </c>
    </row>
    <row r="23" customHeight="1" spans="1:21">
      <c r="B23" s="10" t="s">
        <v>551</v>
      </c>
      <c r="C23" s="5" t="s">
        <v>191</v>
      </c>
      <c r="D23" s="29" t="s">
        <v>4517</v>
      </c>
      <c r="E23" s="29" t="s">
        <v>4517</v>
      </c>
      <c r="F23" s="29" t="s">
        <v>4517</v>
      </c>
      <c r="G23" s="28" t="s">
        <v>4518</v>
      </c>
      <c r="I23" s="10" t="s">
        <v>552</v>
      </c>
      <c r="J23" s="5" t="s">
        <v>192</v>
      </c>
      <c r="K23" s="16" t="s">
        <v>4519</v>
      </c>
      <c r="L23" s="16" t="s">
        <v>4519</v>
      </c>
      <c r="M23" s="16" t="s">
        <v>4524</v>
      </c>
      <c r="N23" s="16" t="s">
        <v>4521</v>
      </c>
      <c r="P23" s="10" t="s">
        <v>553</v>
      </c>
      <c r="Q23" s="5" t="s">
        <v>189</v>
      </c>
      <c r="R23" s="30" t="s">
        <v>472</v>
      </c>
      <c r="S23" s="30" t="s">
        <v>472</v>
      </c>
      <c r="T23" s="30" t="s">
        <v>472</v>
      </c>
      <c r="U23" s="30" t="s">
        <v>501</v>
      </c>
    </row>
    <row r="24" customHeight="1" spans="1:21">
      <c r="B24" s="10" t="s">
        <v>554</v>
      </c>
      <c r="C24" s="5" t="s">
        <v>191</v>
      </c>
      <c r="D24" s="28" t="s">
        <v>4525</v>
      </c>
      <c r="E24" s="28" t="s">
        <v>4525</v>
      </c>
      <c r="F24" s="28" t="s">
        <v>4525</v>
      </c>
      <c r="G24" s="28" t="s">
        <v>4526</v>
      </c>
      <c r="I24" s="10" t="s">
        <v>556</v>
      </c>
      <c r="J24" s="5" t="s">
        <v>192</v>
      </c>
      <c r="K24" s="16" t="s">
        <v>4515</v>
      </c>
      <c r="L24" s="16" t="s">
        <v>4515</v>
      </c>
      <c r="M24" s="16" t="s">
        <v>4515</v>
      </c>
      <c r="N24" s="16" t="s">
        <v>4527</v>
      </c>
      <c r="P24" s="31" t="s">
        <v>557</v>
      </c>
      <c r="Q24" s="5" t="s">
        <v>189</v>
      </c>
      <c r="R24" s="30" t="s">
        <v>477</v>
      </c>
      <c r="S24" s="30" t="s">
        <v>477</v>
      </c>
      <c r="T24" s="30" t="s">
        <v>477</v>
      </c>
      <c r="U24" s="30" t="s">
        <v>524</v>
      </c>
    </row>
    <row r="25" customHeight="1" spans="1:21">
      <c r="B25" s="10" t="s">
        <v>559</v>
      </c>
      <c r="C25" s="5" t="s">
        <v>191</v>
      </c>
      <c r="D25" s="29" t="s">
        <v>4528</v>
      </c>
      <c r="E25" s="29" t="s">
        <v>4528</v>
      </c>
      <c r="F25" s="28" t="s">
        <v>4528</v>
      </c>
      <c r="G25" s="28" t="s">
        <v>4529</v>
      </c>
      <c r="I25" s="10" t="s">
        <v>560</v>
      </c>
      <c r="J25" s="5" t="s">
        <v>192</v>
      </c>
      <c r="K25" s="16" t="s">
        <v>4519</v>
      </c>
      <c r="L25" s="16" t="s">
        <v>4519</v>
      </c>
      <c r="M25" s="16" t="s">
        <v>4524</v>
      </c>
      <c r="N25" s="16" t="s">
        <v>4521</v>
      </c>
      <c r="P25" s="31" t="s">
        <v>561</v>
      </c>
      <c r="Q25" s="5" t="s">
        <v>189</v>
      </c>
      <c r="R25" s="30" t="s">
        <v>4513</v>
      </c>
      <c r="S25" s="30" t="s">
        <v>4513</v>
      </c>
      <c r="T25" s="30" t="s">
        <v>4513</v>
      </c>
      <c r="U25" s="30" t="s">
        <v>4530</v>
      </c>
    </row>
    <row r="26" customHeight="1" spans="1:21">
      <c r="B26" s="10" t="s">
        <v>562</v>
      </c>
      <c r="C26" s="5" t="s">
        <v>191</v>
      </c>
      <c r="D26" s="28" t="s">
        <v>4531</v>
      </c>
      <c r="E26" s="28" t="s">
        <v>4531</v>
      </c>
      <c r="F26" s="28" t="s">
        <v>4531</v>
      </c>
      <c r="G26" s="28" t="s">
        <v>4532</v>
      </c>
      <c r="I26" s="10" t="s">
        <v>565</v>
      </c>
      <c r="J26" s="5" t="s">
        <v>192</v>
      </c>
      <c r="K26" s="16" t="s">
        <v>4533</v>
      </c>
      <c r="L26" s="16" t="s">
        <v>4533</v>
      </c>
      <c r="M26" s="16" t="s">
        <v>505</v>
      </c>
      <c r="N26" s="16" t="s">
        <v>506</v>
      </c>
      <c r="P26" s="32" t="s">
        <v>567</v>
      </c>
      <c r="Q26" s="5" t="s">
        <v>189</v>
      </c>
      <c r="R26" s="29" t="s">
        <v>4515</v>
      </c>
      <c r="S26" s="29" t="s">
        <v>4515</v>
      </c>
      <c r="T26" s="29" t="s">
        <v>4515</v>
      </c>
      <c r="U26" s="28" t="s">
        <v>4516</v>
      </c>
    </row>
    <row r="27" customHeight="1" spans="1:21">
      <c r="B27" s="10" t="s">
        <v>568</v>
      </c>
      <c r="C27" s="5" t="s">
        <v>191</v>
      </c>
      <c r="D27" s="33" t="s">
        <v>4534</v>
      </c>
      <c r="E27" s="33" t="s">
        <v>4534</v>
      </c>
      <c r="F27" s="30" t="s">
        <v>4535</v>
      </c>
      <c r="G27" s="28" t="s">
        <v>4536</v>
      </c>
      <c r="I27" s="10" t="s">
        <v>569</v>
      </c>
      <c r="J27" s="5" t="s">
        <v>192</v>
      </c>
      <c r="K27" s="16" t="s">
        <v>4519</v>
      </c>
      <c r="L27" s="16" t="s">
        <v>4519</v>
      </c>
      <c r="M27" s="16" t="s">
        <v>4524</v>
      </c>
      <c r="N27" s="16" t="s">
        <v>4537</v>
      </c>
      <c r="P27" s="31" t="s">
        <v>570</v>
      </c>
      <c r="Q27" s="5" t="s">
        <v>189</v>
      </c>
      <c r="R27" s="29" t="s">
        <v>4538</v>
      </c>
      <c r="S27" s="29" t="s">
        <v>4538</v>
      </c>
      <c r="T27" s="29" t="s">
        <v>4538</v>
      </c>
      <c r="U27" s="29" t="s">
        <v>4539</v>
      </c>
    </row>
    <row r="28" customHeight="1" spans="1:21">
      <c r="B28" s="10" t="s">
        <v>571</v>
      </c>
      <c r="C28" s="13" t="s">
        <v>191</v>
      </c>
      <c r="D28" s="28" t="s">
        <v>4540</v>
      </c>
      <c r="E28" s="28" t="s">
        <v>4540</v>
      </c>
      <c r="F28" s="28" t="s">
        <v>505</v>
      </c>
      <c r="G28" s="28" t="s">
        <v>506</v>
      </c>
      <c r="I28" s="10" t="s">
        <v>572</v>
      </c>
      <c r="J28" s="5" t="s">
        <v>192</v>
      </c>
      <c r="K28" s="16" t="s">
        <v>4541</v>
      </c>
      <c r="L28" s="16" t="s">
        <v>4541</v>
      </c>
      <c r="M28" s="16" t="s">
        <v>4542</v>
      </c>
      <c r="N28" s="16" t="s">
        <v>4543</v>
      </c>
      <c r="P28" s="31" t="s">
        <v>574</v>
      </c>
      <c r="Q28" s="5" t="s">
        <v>189</v>
      </c>
      <c r="R28" s="28" t="s">
        <v>4522</v>
      </c>
      <c r="S28" s="28" t="s">
        <v>4522</v>
      </c>
      <c r="T28" s="28" t="s">
        <v>4522</v>
      </c>
      <c r="U28" s="28" t="s">
        <v>4544</v>
      </c>
    </row>
    <row r="29" customHeight="1" spans="1:21">
      <c r="B29" s="10" t="s">
        <v>575</v>
      </c>
      <c r="C29" s="13" t="s">
        <v>191</v>
      </c>
      <c r="D29" s="30" t="s">
        <v>477</v>
      </c>
      <c r="E29" s="30" t="s">
        <v>477</v>
      </c>
      <c r="F29" s="28" t="s">
        <v>524</v>
      </c>
      <c r="G29" s="28" t="s">
        <v>514</v>
      </c>
      <c r="I29" s="34" t="s">
        <v>577</v>
      </c>
      <c r="J29" s="9" t="s">
        <v>192</v>
      </c>
      <c r="K29" s="19" t="s">
        <v>4545</v>
      </c>
      <c r="L29" s="19" t="s">
        <v>4545</v>
      </c>
      <c r="M29" s="19" t="s">
        <v>4546</v>
      </c>
      <c r="N29" s="19" t="s">
        <v>4547</v>
      </c>
      <c r="O29" s="35"/>
      <c r="P29" s="34" t="s">
        <v>580</v>
      </c>
      <c r="Q29" s="5" t="s">
        <v>189</v>
      </c>
      <c r="R29" s="28" t="s">
        <v>4522</v>
      </c>
      <c r="S29" s="28" t="s">
        <v>4522</v>
      </c>
      <c r="T29" s="28" t="s">
        <v>4522</v>
      </c>
      <c r="U29" s="28" t="s">
        <v>4523</v>
      </c>
    </row>
    <row r="30" customHeight="1" spans="1:21">
      <c r="B30" s="10" t="s">
        <v>581</v>
      </c>
      <c r="C30" s="13" t="s">
        <v>191</v>
      </c>
      <c r="D30" s="28" t="s">
        <v>4540</v>
      </c>
      <c r="E30" s="28" t="s">
        <v>505</v>
      </c>
      <c r="F30" s="28" t="s">
        <v>505</v>
      </c>
      <c r="G30" s="28" t="s">
        <v>506</v>
      </c>
      <c r="I30" s="34" t="s">
        <v>582</v>
      </c>
      <c r="J30" s="9" t="s">
        <v>192</v>
      </c>
      <c r="K30" s="19" t="s">
        <v>4545</v>
      </c>
      <c r="L30" s="19" t="s">
        <v>4545</v>
      </c>
      <c r="M30" s="19" t="s">
        <v>4546</v>
      </c>
      <c r="N30" s="19" t="s">
        <v>4548</v>
      </c>
      <c r="O30" s="35"/>
      <c r="P30" s="34" t="s">
        <v>583</v>
      </c>
      <c r="Q30" s="5" t="s">
        <v>189</v>
      </c>
      <c r="R30" s="28" t="s">
        <v>4549</v>
      </c>
      <c r="S30" s="28" t="s">
        <v>4549</v>
      </c>
      <c r="T30" s="28" t="s">
        <v>4550</v>
      </c>
      <c r="U30" s="28" t="s">
        <v>4551</v>
      </c>
    </row>
    <row r="31" customHeight="1" spans="1:21">
      <c r="B31" s="31" t="s">
        <v>584</v>
      </c>
      <c r="C31" s="13" t="s">
        <v>191</v>
      </c>
      <c r="D31" s="33" t="s">
        <v>4552</v>
      </c>
      <c r="E31" s="33" t="s">
        <v>4553</v>
      </c>
      <c r="F31" s="33" t="s">
        <v>4553</v>
      </c>
      <c r="G31" s="33" t="s">
        <v>4536</v>
      </c>
      <c r="I31" s="34" t="s">
        <v>587</v>
      </c>
      <c r="J31" s="9" t="s">
        <v>192</v>
      </c>
      <c r="K31" s="19" t="s">
        <v>4554</v>
      </c>
      <c r="L31" s="19" t="s">
        <v>4554</v>
      </c>
      <c r="M31" s="19" t="s">
        <v>4555</v>
      </c>
      <c r="N31" s="19" t="s">
        <v>4556</v>
      </c>
      <c r="O31" s="35"/>
      <c r="P31" s="34" t="s">
        <v>588</v>
      </c>
      <c r="Q31" s="5" t="s">
        <v>189</v>
      </c>
      <c r="R31" s="29" t="s">
        <v>4557</v>
      </c>
      <c r="S31" s="29" t="s">
        <v>465</v>
      </c>
      <c r="T31" s="29" t="s">
        <v>4558</v>
      </c>
      <c r="U31" s="29" t="s">
        <v>4559</v>
      </c>
    </row>
    <row r="32" customHeight="1" spans="1:21">
      <c r="B32" s="31" t="s">
        <v>590</v>
      </c>
      <c r="C32" s="13" t="s">
        <v>191</v>
      </c>
      <c r="D32" s="33" t="s">
        <v>4560</v>
      </c>
      <c r="E32" s="33" t="s">
        <v>4561</v>
      </c>
      <c r="F32" s="33" t="s">
        <v>4561</v>
      </c>
      <c r="G32" s="33" t="s">
        <v>4562</v>
      </c>
      <c r="I32" s="34" t="s">
        <v>591</v>
      </c>
      <c r="J32" s="9" t="s">
        <v>192</v>
      </c>
      <c r="K32" s="36" t="s">
        <v>4563</v>
      </c>
      <c r="L32" s="36" t="s">
        <v>4564</v>
      </c>
      <c r="M32" s="36" t="s">
        <v>4565</v>
      </c>
      <c r="N32" s="36" t="s">
        <v>4566</v>
      </c>
      <c r="O32" s="35"/>
      <c r="P32" s="34" t="s">
        <v>592</v>
      </c>
      <c r="Q32" s="5" t="s">
        <v>189</v>
      </c>
      <c r="R32" s="29" t="s">
        <v>589</v>
      </c>
      <c r="S32" s="29" t="s">
        <v>4567</v>
      </c>
      <c r="T32" s="29" t="s">
        <v>4568</v>
      </c>
      <c r="U32" s="29" t="s">
        <v>4569</v>
      </c>
    </row>
    <row r="33" customHeight="1" spans="2:21">
      <c r="B33" s="34" t="s">
        <v>594</v>
      </c>
      <c r="C33" s="37" t="s">
        <v>191</v>
      </c>
      <c r="D33" s="38" t="s">
        <v>4570</v>
      </c>
      <c r="E33" s="38" t="s">
        <v>4571</v>
      </c>
      <c r="F33" s="38" t="s">
        <v>4571</v>
      </c>
      <c r="G33" s="38" t="s">
        <v>4572</v>
      </c>
      <c r="H33" s="35"/>
      <c r="I33" s="34" t="s">
        <v>598</v>
      </c>
      <c r="J33" s="9" t="s">
        <v>192</v>
      </c>
      <c r="K33" s="36" t="s">
        <v>4573</v>
      </c>
      <c r="L33" s="36" t="s">
        <v>4574</v>
      </c>
      <c r="M33" s="36" t="s">
        <v>4568</v>
      </c>
      <c r="N33" s="36" t="s">
        <v>4575</v>
      </c>
      <c r="O33" s="35"/>
      <c r="P33" s="34" t="s">
        <v>601</v>
      </c>
      <c r="Q33" s="5" t="s">
        <v>189</v>
      </c>
      <c r="R33" s="29" t="s">
        <v>589</v>
      </c>
      <c r="S33" s="29" t="s">
        <v>4576</v>
      </c>
      <c r="T33" s="29" t="s">
        <v>4577</v>
      </c>
      <c r="U33" s="29" t="s">
        <v>4578</v>
      </c>
    </row>
    <row r="34" customHeight="1" spans="2:21">
      <c r="B34" s="34" t="s">
        <v>602</v>
      </c>
      <c r="C34" s="37" t="s">
        <v>191</v>
      </c>
      <c r="D34" s="38" t="s">
        <v>4497</v>
      </c>
      <c r="E34" s="38" t="s">
        <v>4535</v>
      </c>
      <c r="F34" s="38" t="s">
        <v>4535</v>
      </c>
      <c r="G34" s="38" t="s">
        <v>4562</v>
      </c>
      <c r="H34" s="35"/>
      <c r="I34" s="34" t="s">
        <v>603</v>
      </c>
      <c r="J34" s="9" t="s">
        <v>192</v>
      </c>
      <c r="K34" s="36" t="s">
        <v>4563</v>
      </c>
      <c r="L34" s="36" t="s">
        <v>4564</v>
      </c>
      <c r="M34" s="36" t="s">
        <v>4565</v>
      </c>
      <c r="N34" s="36" t="s">
        <v>4566</v>
      </c>
      <c r="O34" s="35"/>
      <c r="P34" s="34" t="s">
        <v>604</v>
      </c>
      <c r="Q34" s="5" t="s">
        <v>189</v>
      </c>
      <c r="R34" s="30" t="s">
        <v>4513</v>
      </c>
      <c r="S34" s="30" t="s">
        <v>4579</v>
      </c>
      <c r="T34" s="30" t="s">
        <v>4555</v>
      </c>
      <c r="U34" s="30" t="s">
        <v>4580</v>
      </c>
    </row>
    <row r="35" customHeight="1" spans="2:21">
      <c r="B35" s="34" t="s">
        <v>605</v>
      </c>
      <c r="C35" s="37" t="s">
        <v>191</v>
      </c>
      <c r="D35" s="36" t="s">
        <v>501</v>
      </c>
      <c r="E35" s="36" t="s">
        <v>505</v>
      </c>
      <c r="F35" s="36" t="s">
        <v>505</v>
      </c>
      <c r="G35" s="36" t="s">
        <v>506</v>
      </c>
      <c r="H35" s="35"/>
      <c r="I35" s="34" t="s">
        <v>606</v>
      </c>
      <c r="J35" s="9" t="s">
        <v>192</v>
      </c>
      <c r="K35" s="19" t="s">
        <v>4581</v>
      </c>
      <c r="L35" s="19" t="s">
        <v>4582</v>
      </c>
      <c r="M35" s="19" t="s">
        <v>4582</v>
      </c>
      <c r="N35" s="19" t="s">
        <v>4583</v>
      </c>
      <c r="O35" s="35"/>
      <c r="P35" s="34" t="s">
        <v>607</v>
      </c>
      <c r="Q35" s="5" t="s">
        <v>189</v>
      </c>
      <c r="R35" s="30" t="s">
        <v>4584</v>
      </c>
      <c r="S35" s="30" t="s">
        <v>4585</v>
      </c>
      <c r="T35" s="30" t="s">
        <v>4585</v>
      </c>
      <c r="U35" s="30" t="s">
        <v>4586</v>
      </c>
    </row>
    <row r="36" customHeight="1" spans="2:21">
      <c r="B36" s="34" t="s">
        <v>608</v>
      </c>
      <c r="C36" s="37" t="s">
        <v>191</v>
      </c>
      <c r="D36" s="36" t="s">
        <v>4540</v>
      </c>
      <c r="E36" s="36" t="s">
        <v>505</v>
      </c>
      <c r="F36" s="36" t="s">
        <v>505</v>
      </c>
      <c r="G36" s="36" t="s">
        <v>506</v>
      </c>
      <c r="H36" s="35"/>
      <c r="I36" s="34" t="s">
        <v>609</v>
      </c>
      <c r="J36" s="9" t="s">
        <v>192</v>
      </c>
      <c r="K36" s="19" t="s">
        <v>4587</v>
      </c>
      <c r="L36" s="19" t="s">
        <v>4588</v>
      </c>
      <c r="M36" s="19" t="s">
        <v>4542</v>
      </c>
      <c r="N36" s="19" t="s">
        <v>4543</v>
      </c>
      <c r="O36" s="35"/>
      <c r="P36" s="34" t="s">
        <v>611</v>
      </c>
      <c r="Q36" s="5" t="s">
        <v>189</v>
      </c>
      <c r="R36" s="30" t="s">
        <v>4589</v>
      </c>
      <c r="S36" s="30" t="s">
        <v>4590</v>
      </c>
      <c r="T36" s="30" t="s">
        <v>4591</v>
      </c>
      <c r="U36" s="30" t="s">
        <v>4592</v>
      </c>
    </row>
    <row r="37" customHeight="1" spans="2:21">
      <c r="B37" s="34" t="s">
        <v>613</v>
      </c>
      <c r="C37" s="39" t="s">
        <v>191</v>
      </c>
      <c r="D37" s="36" t="s">
        <v>4593</v>
      </c>
      <c r="E37" s="36" t="s">
        <v>4593</v>
      </c>
      <c r="F37" s="36" t="s">
        <v>4593</v>
      </c>
      <c r="G37" s="36" t="s">
        <v>4594</v>
      </c>
      <c r="H37" s="35"/>
      <c r="I37" s="34" t="s">
        <v>614</v>
      </c>
      <c r="J37" s="9" t="s">
        <v>192</v>
      </c>
      <c r="K37" s="19" t="s">
        <v>4595</v>
      </c>
      <c r="L37" s="19" t="s">
        <v>4596</v>
      </c>
      <c r="M37" s="19" t="s">
        <v>4597</v>
      </c>
      <c r="N37" s="19" t="s">
        <v>4598</v>
      </c>
      <c r="O37" s="35"/>
      <c r="P37" s="7" t="s">
        <v>616</v>
      </c>
      <c r="Q37" s="5" t="s">
        <v>189</v>
      </c>
      <c r="R37" s="16" t="s">
        <v>4599</v>
      </c>
      <c r="S37" s="16" t="s">
        <v>4600</v>
      </c>
      <c r="T37" s="16" t="s">
        <v>4601</v>
      </c>
      <c r="U37" s="16" t="s">
        <v>4602</v>
      </c>
    </row>
    <row r="38" customHeight="1" spans="2:21">
      <c r="B38" s="34" t="s">
        <v>618</v>
      </c>
      <c r="C38" s="37" t="s">
        <v>191</v>
      </c>
      <c r="D38" s="36" t="s">
        <v>4603</v>
      </c>
      <c r="E38" s="36" t="s">
        <v>4603</v>
      </c>
      <c r="F38" s="36" t="s">
        <v>4603</v>
      </c>
      <c r="G38" s="36" t="s">
        <v>4604</v>
      </c>
      <c r="H38" s="35"/>
      <c r="I38" s="34" t="s">
        <v>619</v>
      </c>
      <c r="J38" s="9" t="s">
        <v>192</v>
      </c>
      <c r="K38" s="19" t="s">
        <v>4577</v>
      </c>
      <c r="L38" s="19" t="s">
        <v>4605</v>
      </c>
      <c r="M38" s="19" t="s">
        <v>4605</v>
      </c>
      <c r="N38" s="19" t="s">
        <v>4606</v>
      </c>
      <c r="O38" s="35"/>
      <c r="P38" s="7" t="s">
        <v>620</v>
      </c>
      <c r="Q38" s="5" t="s">
        <v>189</v>
      </c>
      <c r="R38" s="16" t="s">
        <v>4565</v>
      </c>
      <c r="S38" s="16" t="s">
        <v>4607</v>
      </c>
      <c r="T38" s="16" t="s">
        <v>4607</v>
      </c>
      <c r="U38" s="16" t="s">
        <v>4608</v>
      </c>
    </row>
    <row r="39" customHeight="1" spans="2:21">
      <c r="B39" s="34" t="s">
        <v>621</v>
      </c>
      <c r="C39" s="37" t="s">
        <v>191</v>
      </c>
      <c r="D39" s="36" t="s">
        <v>4530</v>
      </c>
      <c r="E39" s="36" t="s">
        <v>4609</v>
      </c>
      <c r="F39" s="36" t="s">
        <v>4609</v>
      </c>
      <c r="G39" s="36" t="s">
        <v>4610</v>
      </c>
      <c r="H39" s="35"/>
      <c r="I39" s="34"/>
      <c r="J39" s="9"/>
      <c r="K39" s="19"/>
      <c r="L39" s="19"/>
      <c r="M39" s="19"/>
      <c r="N39" s="19"/>
      <c r="P39" s="7" t="s">
        <v>624</v>
      </c>
      <c r="Q39" s="5" t="s">
        <v>189</v>
      </c>
      <c r="R39" s="16"/>
      <c r="S39" s="16"/>
      <c r="T39" s="16"/>
      <c r="U39" s="16" t="s">
        <v>4611</v>
      </c>
    </row>
    <row r="40" customHeight="1" spans="2:21">
      <c r="B40" s="34" t="s">
        <v>628</v>
      </c>
      <c r="C40" s="37" t="s">
        <v>191</v>
      </c>
      <c r="D40" s="36" t="s">
        <v>4539</v>
      </c>
      <c r="E40" s="36" t="s">
        <v>4559</v>
      </c>
      <c r="F40" s="36" t="s">
        <v>4559</v>
      </c>
      <c r="G40" s="36" t="s">
        <v>4612</v>
      </c>
      <c r="H40" s="35"/>
      <c r="I40" s="35"/>
    </row>
    <row r="41" customHeight="1" spans="2:21">
      <c r="B41" s="34" t="s">
        <v>632</v>
      </c>
      <c r="C41" s="37" t="s">
        <v>191</v>
      </c>
      <c r="D41" s="36" t="s">
        <v>4530</v>
      </c>
      <c r="E41" s="36" t="s">
        <v>4609</v>
      </c>
      <c r="F41" s="36" t="s">
        <v>4609</v>
      </c>
      <c r="G41" s="36" t="s">
        <v>4610</v>
      </c>
      <c r="H41" s="35"/>
      <c r="I41" s="35"/>
    </row>
    <row r="42" customHeight="1" spans="2:21">
      <c r="B42" s="34" t="s">
        <v>635</v>
      </c>
      <c r="C42" s="37" t="s">
        <v>191</v>
      </c>
      <c r="D42" s="36" t="s">
        <v>4539</v>
      </c>
      <c r="E42" s="36" t="s">
        <v>4559</v>
      </c>
      <c r="F42" s="36" t="s">
        <v>4559</v>
      </c>
      <c r="G42" s="36" t="s">
        <v>4612</v>
      </c>
      <c r="H42" s="35"/>
      <c r="I42" s="35"/>
    </row>
    <row r="43" customHeight="1" spans="2:21">
      <c r="B43" s="34" t="s">
        <v>636</v>
      </c>
      <c r="C43" s="37" t="s">
        <v>191</v>
      </c>
      <c r="D43" s="36" t="s">
        <v>4613</v>
      </c>
      <c r="E43" s="36" t="s">
        <v>4614</v>
      </c>
      <c r="F43" s="36" t="s">
        <v>4614</v>
      </c>
      <c r="G43" s="36" t="s">
        <v>4615</v>
      </c>
      <c r="H43" s="35"/>
      <c r="I43" s="35"/>
    </row>
    <row r="44" customHeight="1" spans="2:21">
      <c r="B44" s="34" t="s">
        <v>637</v>
      </c>
      <c r="C44" s="37" t="s">
        <v>191</v>
      </c>
      <c r="D44" s="36" t="s">
        <v>4616</v>
      </c>
      <c r="E44" s="36" t="s">
        <v>4609</v>
      </c>
      <c r="F44" s="36" t="s">
        <v>4609</v>
      </c>
      <c r="G44" s="36" t="s">
        <v>4617</v>
      </c>
      <c r="H44" s="35"/>
      <c r="I44" s="35"/>
    </row>
    <row r="45" customHeight="1" spans="2:21">
      <c r="B45" s="34" t="s">
        <v>638</v>
      </c>
      <c r="C45" s="37" t="s">
        <v>191</v>
      </c>
      <c r="D45" s="36" t="s">
        <v>477</v>
      </c>
      <c r="E45" s="36" t="s">
        <v>4613</v>
      </c>
      <c r="F45" s="36" t="s">
        <v>4614</v>
      </c>
      <c r="G45" s="36" t="s">
        <v>4615</v>
      </c>
      <c r="H45" s="35"/>
      <c r="I45" s="35"/>
    </row>
    <row r="46" customHeight="1" spans="2:21">
      <c r="B46" s="34" t="s">
        <v>639</v>
      </c>
      <c r="C46" s="37" t="s">
        <v>191</v>
      </c>
      <c r="D46" s="36" t="s">
        <v>4618</v>
      </c>
      <c r="E46" s="40" t="s">
        <v>4619</v>
      </c>
      <c r="F46" s="36" t="s">
        <v>4619</v>
      </c>
      <c r="G46" s="36" t="s">
        <v>4620</v>
      </c>
      <c r="H46" s="35"/>
      <c r="I46" s="35"/>
    </row>
    <row r="47" customHeight="1" spans="2:21">
      <c r="B47" s="34" t="s">
        <v>640</v>
      </c>
      <c r="C47" s="37" t="s">
        <v>191</v>
      </c>
      <c r="D47" s="36" t="s">
        <v>4621</v>
      </c>
      <c r="E47" s="36" t="s">
        <v>4622</v>
      </c>
      <c r="F47" s="36" t="s">
        <v>4622</v>
      </c>
      <c r="G47" s="36" t="s">
        <v>4623</v>
      </c>
      <c r="H47" s="35"/>
      <c r="I47" s="35"/>
    </row>
    <row r="48" customHeight="1" spans="2:21">
      <c r="B48" s="34" t="s">
        <v>642</v>
      </c>
      <c r="C48" s="37" t="s">
        <v>191</v>
      </c>
      <c r="D48" s="36" t="s">
        <v>472</v>
      </c>
      <c r="E48" s="36" t="s">
        <v>4516</v>
      </c>
      <c r="F48" s="36" t="s">
        <v>4624</v>
      </c>
      <c r="G48" s="36" t="s">
        <v>4625</v>
      </c>
      <c r="H48" s="35"/>
      <c r="I48" s="35"/>
    </row>
    <row r="49" customHeight="1" spans="2:9">
      <c r="B49" s="34" t="s">
        <v>643</v>
      </c>
      <c r="C49" s="37" t="s">
        <v>191</v>
      </c>
      <c r="D49" s="36" t="s">
        <v>4626</v>
      </c>
      <c r="E49" s="36" t="s">
        <v>4627</v>
      </c>
      <c r="F49" s="36" t="s">
        <v>4627</v>
      </c>
      <c r="G49" s="36" t="s">
        <v>4628</v>
      </c>
      <c r="H49" s="35"/>
      <c r="I49" s="35"/>
    </row>
    <row r="50" customHeight="1" spans="2:9">
      <c r="B50" s="34" t="s">
        <v>644</v>
      </c>
      <c r="C50" s="37" t="s">
        <v>191</v>
      </c>
      <c r="D50" s="36" t="s">
        <v>4629</v>
      </c>
      <c r="E50" s="36" t="s">
        <v>4630</v>
      </c>
      <c r="F50" s="36" t="s">
        <v>4630</v>
      </c>
      <c r="G50" s="36" t="s">
        <v>4631</v>
      </c>
      <c r="H50" s="35"/>
      <c r="I50" s="35"/>
    </row>
    <row r="51" customHeight="1" spans="2:9">
      <c r="B51" s="34" t="s">
        <v>645</v>
      </c>
      <c r="C51" s="37" t="s">
        <v>191</v>
      </c>
      <c r="D51" s="36" t="s">
        <v>4632</v>
      </c>
      <c r="E51" s="36" t="s">
        <v>4633</v>
      </c>
      <c r="F51" s="36" t="s">
        <v>4633</v>
      </c>
      <c r="G51" s="36" t="s">
        <v>4634</v>
      </c>
      <c r="H51" s="35"/>
      <c r="I51" s="35"/>
    </row>
    <row r="52" customHeight="1" spans="2:9">
      <c r="B52" s="34" t="s">
        <v>646</v>
      </c>
      <c r="C52" s="37" t="s">
        <v>191</v>
      </c>
      <c r="D52" s="36" t="s">
        <v>4635</v>
      </c>
      <c r="E52" s="36" t="s">
        <v>4636</v>
      </c>
      <c r="F52" s="36" t="s">
        <v>4637</v>
      </c>
      <c r="G52" s="36" t="s">
        <v>4638</v>
      </c>
      <c r="H52" s="35"/>
      <c r="I52" s="35"/>
    </row>
    <row r="53" customHeight="1" spans="2:9">
      <c r="B53" s="34" t="s">
        <v>647</v>
      </c>
      <c r="C53" s="37" t="s">
        <v>191</v>
      </c>
      <c r="D53" s="36" t="s">
        <v>4639</v>
      </c>
      <c r="E53" s="36" t="s">
        <v>4640</v>
      </c>
      <c r="F53" s="36" t="s">
        <v>4640</v>
      </c>
      <c r="G53" s="36" t="s">
        <v>4641</v>
      </c>
      <c r="H53" s="35"/>
      <c r="I53" s="35"/>
    </row>
    <row r="54" customHeight="1" spans="2:9">
      <c r="B54" s="34" t="s">
        <v>648</v>
      </c>
      <c r="C54" s="37" t="s">
        <v>191</v>
      </c>
      <c r="D54" s="36" t="s">
        <v>4642</v>
      </c>
      <c r="E54" s="36" t="s">
        <v>4643</v>
      </c>
      <c r="F54" s="36" t="s">
        <v>4644</v>
      </c>
      <c r="G54" s="36" t="s">
        <v>4645</v>
      </c>
      <c r="H54" s="35"/>
      <c r="I54" s="35"/>
    </row>
    <row r="55" customHeight="1" spans="2:9">
      <c r="B55" s="34" t="s">
        <v>649</v>
      </c>
      <c r="C55" s="37" t="s">
        <v>191</v>
      </c>
      <c r="D55" s="36" t="s">
        <v>4646</v>
      </c>
      <c r="E55" s="36" t="s">
        <v>4647</v>
      </c>
      <c r="F55" s="36" t="s">
        <v>4647</v>
      </c>
      <c r="G55" s="36" t="s">
        <v>4648</v>
      </c>
      <c r="H55" s="35"/>
      <c r="I55" s="35"/>
    </row>
    <row r="56" customHeight="1" spans="2:9">
      <c r="B56" s="34" t="s">
        <v>650</v>
      </c>
      <c r="C56" s="37" t="s">
        <v>191</v>
      </c>
      <c r="D56" s="36" t="s">
        <v>4614</v>
      </c>
      <c r="E56" s="36" t="s">
        <v>4649</v>
      </c>
      <c r="F56" s="36" t="s">
        <v>4649</v>
      </c>
      <c r="G56" s="36" t="s">
        <v>4650</v>
      </c>
      <c r="H56" s="35"/>
      <c r="I56" s="35"/>
    </row>
    <row r="57" customHeight="1" spans="2:9">
      <c r="B57" s="34" t="s">
        <v>651</v>
      </c>
      <c r="C57" s="37" t="s">
        <v>191</v>
      </c>
      <c r="D57" s="36" t="s">
        <v>4651</v>
      </c>
      <c r="E57" s="36" t="s">
        <v>4652</v>
      </c>
      <c r="F57" s="36" t="s">
        <v>4652</v>
      </c>
      <c r="G57" s="36" t="s">
        <v>4653</v>
      </c>
      <c r="H57" s="35"/>
      <c r="I57" s="35"/>
    </row>
    <row r="58" customHeight="1" spans="2:9">
      <c r="B58" s="34" t="s">
        <v>652</v>
      </c>
      <c r="C58" s="37" t="s">
        <v>191</v>
      </c>
      <c r="D58" s="36" t="s">
        <v>4516</v>
      </c>
      <c r="E58" s="36" t="s">
        <v>4624</v>
      </c>
      <c r="F58" s="36" t="s">
        <v>4654</v>
      </c>
      <c r="G58" s="36" t="s">
        <v>4655</v>
      </c>
      <c r="H58" s="35"/>
      <c r="I58" s="35"/>
    </row>
    <row r="64" customHeight="1" spans="2:9">
      <c r="D64" s="5" t="s">
        <v>662</v>
      </c>
      <c r="E64" s="41"/>
      <c r="F64" s="41"/>
    </row>
    <row r="65" customHeight="1" spans="4:7">
      <c r="D65" s="5" t="s">
        <v>663</v>
      </c>
      <c r="E65" s="41"/>
      <c r="F65" s="41"/>
    </row>
    <row r="66" customHeight="1" spans="4:7">
      <c r="D66" s="5" t="s">
        <v>664</v>
      </c>
      <c r="E66" s="41"/>
      <c r="F66" s="41"/>
    </row>
    <row r="67" customHeight="1" spans="4:7">
      <c r="D67" s="5" t="s">
        <v>663</v>
      </c>
      <c r="E67" s="41"/>
      <c r="F67" s="41"/>
    </row>
    <row r="68" customHeight="1" spans="4:7">
      <c r="D68" s="5" t="s">
        <v>665</v>
      </c>
      <c r="E68" s="41"/>
      <c r="F68" s="41"/>
    </row>
    <row r="69" customHeight="1" spans="4:7">
      <c r="D69" s="5" t="s">
        <v>663</v>
      </c>
      <c r="E69" s="41"/>
      <c r="F69" s="41"/>
    </row>
    <row r="70" customHeight="1" spans="4:7">
      <c r="D70" s="5" t="s">
        <v>666</v>
      </c>
      <c r="E70" s="41"/>
      <c r="F70" s="41"/>
    </row>
    <row r="71" customHeight="1" spans="4:7">
      <c r="D71" s="5" t="s">
        <v>663</v>
      </c>
      <c r="E71" s="41"/>
      <c r="F71" s="41"/>
    </row>
    <row r="72" customHeight="1" spans="4:7">
      <c r="D72" s="5" t="s">
        <v>667</v>
      </c>
      <c r="E72" s="41"/>
      <c r="F72" s="41"/>
    </row>
    <row r="73" customHeight="1" spans="4:7">
      <c r="D73" s="5" t="s">
        <v>663</v>
      </c>
      <c r="E73" s="41"/>
      <c r="F73" s="41"/>
    </row>
    <row r="74" customHeight="1" spans="4:7">
      <c r="D74" s="5" t="s">
        <v>668</v>
      </c>
      <c r="E74" s="41"/>
      <c r="F74" s="41"/>
      <c r="G74" s="26"/>
    </row>
    <row r="75" customHeight="1" spans="4:7">
      <c r="D75" s="5" t="s">
        <v>663</v>
      </c>
      <c r="E75" s="41"/>
      <c r="F75" s="41"/>
    </row>
    <row r="76" customHeight="1" spans="4:7">
      <c r="D76" s="42" t="s">
        <v>669</v>
      </c>
      <c r="E76" s="5" t="s">
        <v>670</v>
      </c>
      <c r="F76" s="5" t="s">
        <v>671</v>
      </c>
    </row>
    <row r="77" customHeight="1" spans="4:7">
      <c r="D77" s="5" t="s">
        <v>663</v>
      </c>
      <c r="E77" s="13"/>
      <c r="F77" s="5" t="s">
        <v>663</v>
      </c>
    </row>
    <row r="78" customHeight="1" spans="4:7">
      <c r="D78" s="5" t="s">
        <v>672</v>
      </c>
      <c r="E78" s="5" t="s">
        <v>670</v>
      </c>
      <c r="F78" s="5" t="s">
        <v>673</v>
      </c>
    </row>
    <row r="79" customHeight="1" spans="4:7">
      <c r="D79" s="5" t="s">
        <v>663</v>
      </c>
      <c r="E79" s="13"/>
      <c r="F79" s="5" t="s">
        <v>663</v>
      </c>
    </row>
    <row r="80" customHeight="1" spans="4:7">
      <c r="D80" s="5" t="s">
        <v>674</v>
      </c>
      <c r="E80" s="5" t="s">
        <v>670</v>
      </c>
      <c r="F80" s="5" t="s">
        <v>675</v>
      </c>
    </row>
    <row r="81" customHeight="1" spans="4:6">
      <c r="D81" s="5" t="s">
        <v>663</v>
      </c>
      <c r="E81" s="13"/>
      <c r="F81" s="5" t="s">
        <v>663</v>
      </c>
    </row>
    <row r="82" customHeight="1" spans="4:6">
      <c r="D82" s="5" t="s">
        <v>676</v>
      </c>
      <c r="E82" s="5" t="s">
        <v>670</v>
      </c>
      <c r="F82" s="5" t="s">
        <v>677</v>
      </c>
    </row>
    <row r="83" customHeight="1" spans="4:6">
      <c r="D83" s="5" t="s">
        <v>663</v>
      </c>
      <c r="E83" s="13"/>
      <c r="F83" s="5" t="s">
        <v>663</v>
      </c>
    </row>
    <row r="84" customHeight="1" spans="4:6">
      <c r="D84" s="5" t="s">
        <v>678</v>
      </c>
      <c r="E84" s="5" t="s">
        <v>670</v>
      </c>
      <c r="F84" s="5" t="s">
        <v>679</v>
      </c>
    </row>
    <row r="85" customHeight="1" spans="4:6">
      <c r="D85" s="5" t="s">
        <v>663</v>
      </c>
      <c r="E85" s="13"/>
      <c r="F85" s="5" t="s">
        <v>663</v>
      </c>
    </row>
    <row r="86" customHeight="1" spans="4:6">
      <c r="D86" s="5" t="s">
        <v>680</v>
      </c>
      <c r="E86" s="5" t="s">
        <v>670</v>
      </c>
      <c r="F86" s="5" t="s">
        <v>681</v>
      </c>
    </row>
    <row r="87" customHeight="1" spans="4:6">
      <c r="D87" s="5" t="s">
        <v>663</v>
      </c>
      <c r="E87" s="13"/>
      <c r="F87" s="5" t="s">
        <v>663</v>
      </c>
    </row>
    <row r="88" customHeight="1" spans="4:6">
      <c r="D88" s="5" t="s">
        <v>682</v>
      </c>
      <c r="E88" s="5" t="s">
        <v>670</v>
      </c>
      <c r="F88" s="5" t="s">
        <v>683</v>
      </c>
    </row>
    <row r="89" customHeight="1" spans="4:6">
      <c r="D89" s="41"/>
      <c r="E89" s="41"/>
      <c r="F89" s="5" t="s">
        <v>663</v>
      </c>
    </row>
    <row r="90" customHeight="1" spans="4:6">
      <c r="D90" s="41"/>
      <c r="E90" s="41"/>
      <c r="F90" s="5" t="s">
        <v>684</v>
      </c>
    </row>
    <row r="91" customHeight="1" spans="4:6">
      <c r="D91" s="41"/>
      <c r="E91" s="41"/>
      <c r="F91" s="5" t="s">
        <v>663</v>
      </c>
    </row>
    <row r="92" customHeight="1" spans="4:6">
      <c r="D92" s="41"/>
      <c r="E92" s="41"/>
      <c r="F92" s="5" t="s">
        <v>685</v>
      </c>
    </row>
    <row r="93" customHeight="1" spans="4:6">
      <c r="D93" s="41"/>
      <c r="E93" s="41"/>
      <c r="F93" s="5" t="s">
        <v>663</v>
      </c>
    </row>
    <row r="94" customHeight="1" spans="4:6">
      <c r="D94" s="41"/>
      <c r="E94" s="41"/>
      <c r="F94" s="5" t="s">
        <v>686</v>
      </c>
    </row>
    <row r="95" customHeight="1" spans="4:6">
      <c r="D95" s="41"/>
      <c r="E95" s="41"/>
      <c r="F95" s="5" t="s">
        <v>663</v>
      </c>
    </row>
    <row r="96" customHeight="1" spans="4:6">
      <c r="D96" s="41"/>
      <c r="E96" s="41"/>
      <c r="F96" s="5" t="s">
        <v>687</v>
      </c>
    </row>
    <row r="97" customHeight="1" spans="6:6">
      <c r="F97" s="5" t="s">
        <v>663</v>
      </c>
    </row>
    <row r="98" customHeight="1" spans="6:6">
      <c r="F98" s="5" t="s">
        <v>688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章节掉落新版 </vt:lpstr>
      <vt:lpstr>新兵法</vt:lpstr>
      <vt:lpstr>合阵</vt:lpstr>
      <vt:lpstr>特殊属性装备</vt:lpstr>
      <vt:lpstr>图鉴汇总</vt:lpstr>
      <vt:lpstr>铭文</vt:lpstr>
      <vt:lpstr>逐鹿</vt:lpstr>
      <vt:lpstr>弟子首发</vt:lpstr>
      <vt:lpstr>神将速度</vt:lpstr>
      <vt:lpstr>神将25阶</vt:lpstr>
      <vt:lpstr>戎装</vt:lpstr>
      <vt:lpstr>橙装锻造</vt:lpstr>
      <vt:lpstr>紫装锻造</vt:lpstr>
      <vt:lpstr>神兵典籍</vt:lpstr>
      <vt:lpstr>红色汇总</vt:lpstr>
      <vt:lpstr>橙色典籍</vt:lpstr>
      <vt:lpstr>典籍属性</vt:lpstr>
      <vt:lpstr>典籍技能</vt:lpstr>
      <vt:lpstr>机关觉醒</vt:lpstr>
      <vt:lpstr>常用机关</vt:lpstr>
      <vt:lpstr>钓鱼</vt:lpstr>
      <vt:lpstr>六堂</vt:lpstr>
      <vt:lpstr>六堂属性</vt:lpstr>
      <vt:lpstr>战匣丹囊</vt:lpstr>
      <vt:lpstr>守护神</vt:lpstr>
      <vt:lpstr>灵宝</vt:lpstr>
      <vt:lpstr>紫色典籍</vt:lpstr>
      <vt:lpstr>紫色装备锻造</vt:lpstr>
      <vt:lpstr>账号升级</vt:lpstr>
      <vt:lpstr>弟子升金</vt:lpstr>
      <vt:lpstr>兵法</vt:lpstr>
      <vt:lpstr>卡册</vt:lpstr>
      <vt:lpstr>百家卡副属性</vt:lpstr>
      <vt:lpstr>金蟾试炼</vt:lpstr>
      <vt:lpstr>小圣</vt:lpstr>
      <vt:lpstr>神将图鉴</vt:lpstr>
      <vt:lpstr>图鉴</vt:lpstr>
      <vt:lpstr>章节掉落</vt:lpstr>
      <vt:lpstr>其他装备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nongken</dc:creator>
  <cp:lastModifiedBy>菡萏</cp:lastModifiedBy>
  <dcterms:created xsi:type="dcterms:W3CDTF">2023-08-28T05:16:00Z</dcterms:created>
  <dcterms:modified xsi:type="dcterms:W3CDTF">2026-08-12T06:42:32Z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DD7033B678D8481E982BB606385879AC_12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